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D:\ADITYA\"/>
    </mc:Choice>
  </mc:AlternateContent>
  <xr:revisionPtr revIDLastSave="0" documentId="13_ncr:1_{8FE0ED29-B7EB-407F-8560-C942B7ED9A2B}" xr6:coauthVersionLast="47" xr6:coauthVersionMax="47" xr10:uidLastSave="{00000000-0000-0000-0000-000000000000}"/>
  <bookViews>
    <workbookView xWindow="-108" yWindow="-108" windowWidth="23256" windowHeight="13896" xr2:uid="{00000000-000D-0000-FFFF-FFFF00000000}"/>
  </bookViews>
  <sheets>
    <sheet name="Dashboard " sheetId="15" r:id="rId1"/>
    <sheet name="IPL Matches 2008-2020 - New" sheetId="1" r:id="rId2"/>
    <sheet name="Cleaned Data " sheetId="2" r:id="rId3"/>
    <sheet name="Matches per Season" sheetId="16" r:id="rId4"/>
    <sheet name="Most Frequent Umpires" sheetId="12" r:id="rId5"/>
    <sheet name="Team Wise Perfomance " sheetId="3" r:id="rId6"/>
    <sheet name="Mode of Wins" sheetId="4" r:id="rId7"/>
    <sheet name="Players of the Match" sheetId="6" r:id="rId8"/>
    <sheet name="Toss Decision Priority" sheetId="7" r:id="rId9"/>
    <sheet name="Top players" sheetId="8" r:id="rId10"/>
    <sheet name="Toss Impact on Victory" sheetId="14" r:id="rId11"/>
  </sheets>
  <definedNames>
    <definedName name="ExternalData_1" localSheetId="2" hidden="1">'Cleaned Data '!$A$1:$U$800</definedName>
    <definedName name="Slicer_Season">#N/A</definedName>
    <definedName name="Slicer_Toss_Win">#N/A</definedName>
    <definedName name="Slicer_Venue">#N/A</definedName>
    <definedName name="Slicer_Winner">#N/A</definedName>
    <definedName name="Slicer_Year">#N/A</definedName>
    <definedName name="Slicer_Year1">#N/A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IPL Matches 2008-2020 - New" description="Connection to the 'IPL Matches 2008-2020 - New' query in the workbook." type="5" refreshedVersion="8" background="1" saveData="1">
    <dbPr connection="Provider=Microsoft.Mashup.OleDb.1;Data Source=$Workbook$;Location=&quot;IPL Matches 2008-2020 - New&quot;;Extended Properties=&quot;&quot;" command="SELECT * FROM [IPL Matches 2008-2020 - New]"/>
  </connection>
</connections>
</file>

<file path=xl/sharedStrings.xml><?xml version="1.0" encoding="utf-8"?>
<sst xmlns="http://schemas.openxmlformats.org/spreadsheetml/2006/main" count="24033" uniqueCount="1607">
  <si>
    <t>id</t>
  </si>
  <si>
    <t>city</t>
  </si>
  <si>
    <t>date</t>
  </si>
  <si>
    <t>player_of_match</t>
  </si>
  <si>
    <t>venue</t>
  </si>
  <si>
    <t>neutral_venue</t>
  </si>
  <si>
    <t>team1</t>
  </si>
  <si>
    <t>team2</t>
  </si>
  <si>
    <t>toss_winner</t>
  </si>
  <si>
    <t>toss_decision</t>
  </si>
  <si>
    <t>winner</t>
  </si>
  <si>
    <t>result</t>
  </si>
  <si>
    <t>result_margin</t>
  </si>
  <si>
    <t>eliminator</t>
  </si>
  <si>
    <t>method</t>
  </si>
  <si>
    <t>umpire1</t>
  </si>
  <si>
    <t>umpire2</t>
  </si>
  <si>
    <t>Bangalore</t>
  </si>
  <si>
    <t>18-04-2008</t>
  </si>
  <si>
    <t>BB McCullum</t>
  </si>
  <si>
    <t>M Chinnaswamy Stadium</t>
  </si>
  <si>
    <t>Royal Challengers Bangalore</t>
  </si>
  <si>
    <t>Kolkata Knight Riders</t>
  </si>
  <si>
    <t>field</t>
  </si>
  <si>
    <t>runs</t>
  </si>
  <si>
    <t>N</t>
  </si>
  <si>
    <t>NA</t>
  </si>
  <si>
    <t>Asad Rauf</t>
  </si>
  <si>
    <t>RE Koertzen</t>
  </si>
  <si>
    <t>Chandigarh</t>
  </si>
  <si>
    <t>19-04-2008</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</si>
  <si>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</si>
  <si>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</si>
  <si>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</si>
  <si>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</si>
  <si>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</si>
  <si>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</si>
  <si>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</si>
  <si>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</si>
  <si>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</si>
  <si>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</si>
  <si>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</si>
  <si>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</si>
  <si>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</si>
  <si>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</si>
  <si>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</si>
  <si>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</si>
  <si>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20-04-2008</t>
  </si>
  <si>
    <t>MV Boucher</t>
  </si>
  <si>
    <t>Wankhede Stadium</t>
  </si>
  <si>
    <t>Mumbai Indians</t>
  </si>
  <si>
    <t>SJ Davis</t>
  </si>
  <si>
    <t>DJ Harper</t>
  </si>
  <si>
    <t>Kolkata</t>
  </si>
  <si>
    <t>DJ Hussey</t>
  </si>
  <si>
    <t>Eden Gardens</t>
  </si>
  <si>
    <t>Deccan Chargers</t>
  </si>
  <si>
    <t>BF Bowden</t>
  </si>
  <si>
    <t>K Hariharan</t>
  </si>
  <si>
    <t>Jaipur</t>
  </si>
  <si>
    <t>21-04-2008</t>
  </si>
  <si>
    <t>SR Watson</t>
  </si>
  <si>
    <t>Sawai Mansingh Stadium</t>
  </si>
  <si>
    <t>RB Tiffin</t>
  </si>
  <si>
    <t>Hyderabad</t>
  </si>
  <si>
    <t>22-04-2008</t>
  </si>
  <si>
    <t>V Sehwag</t>
  </si>
  <si>
    <t>Rajiv Gandhi International Stadium, Uppal</t>
  </si>
  <si>
    <t>IL Howell</t>
  </si>
  <si>
    <t>AM Saheba</t>
  </si>
  <si>
    <t>Chennai</t>
  </si>
  <si>
    <t>23-04-2008</t>
  </si>
  <si>
    <t>ML Hayden</t>
  </si>
  <si>
    <t>MA Chidambaram Stadium, Chepauk</t>
  </si>
  <si>
    <t>24-04-2008</t>
  </si>
  <si>
    <t>YK Pathan</t>
  </si>
  <si>
    <t>25-04-2008</t>
  </si>
  <si>
    <t>KC Sangakkara</t>
  </si>
  <si>
    <t>26-04-2008</t>
  </si>
  <si>
    <t>JDP Oram</t>
  </si>
  <si>
    <t>AV Jayaprakash</t>
  </si>
  <si>
    <t>27-04-2008</t>
  </si>
  <si>
    <t>AC Gilchrist</t>
  </si>
  <si>
    <t>Dr DY Patil Sports Academy</t>
  </si>
  <si>
    <t>SM Katich</t>
  </si>
  <si>
    <t>I Shivram</t>
  </si>
  <si>
    <t>28-04-2008</t>
  </si>
  <si>
    <t>MS Dhoni</t>
  </si>
  <si>
    <t>BR Doctrove</t>
  </si>
  <si>
    <t>29-04-2008</t>
  </si>
  <si>
    <t>ST Jayasuriya</t>
  </si>
  <si>
    <t>30-04-2008</t>
  </si>
  <si>
    <t>GD McGrath</t>
  </si>
  <si>
    <t>SE Marsh</t>
  </si>
  <si>
    <t>SA Asnodkar</t>
  </si>
  <si>
    <t>25-05-2008</t>
  </si>
  <si>
    <t>R Vinay Kumar</t>
  </si>
  <si>
    <t>IK Pathan</t>
  </si>
  <si>
    <t>SM Pollock</t>
  </si>
  <si>
    <t>Sohail Tanvir</t>
  </si>
  <si>
    <t>S Sreesanth</t>
  </si>
  <si>
    <t>A Nehra</t>
  </si>
  <si>
    <t>SC Ganguly</t>
  </si>
  <si>
    <t>28-05-2008</t>
  </si>
  <si>
    <t>CRD Fernando</t>
  </si>
  <si>
    <t>L Balaji</t>
  </si>
  <si>
    <t>BG Jerling</t>
  </si>
  <si>
    <t>13-05-2008</t>
  </si>
  <si>
    <t>Shoaib Akhtar</t>
  </si>
  <si>
    <t>14-05-2008</t>
  </si>
  <si>
    <t>15-05-2008</t>
  </si>
  <si>
    <t>A Mishra</t>
  </si>
  <si>
    <t>16-05-2008</t>
  </si>
  <si>
    <t>17-05-2008</t>
  </si>
  <si>
    <t>DPMD Jayawardene</t>
  </si>
  <si>
    <t>D/L</t>
  </si>
  <si>
    <t>GC Smith</t>
  </si>
  <si>
    <t>18-05-2008</t>
  </si>
  <si>
    <t>DJ Bravo</t>
  </si>
  <si>
    <t>M Ntini</t>
  </si>
  <si>
    <t>19-05-2008</t>
  </si>
  <si>
    <t>SP Goswami</t>
  </si>
  <si>
    <t>20-05-2008</t>
  </si>
  <si>
    <t>21-05-2008</t>
  </si>
  <si>
    <t>A Kumble</t>
  </si>
  <si>
    <t>23-05-2008</t>
  </si>
  <si>
    <t>24-05-2008</t>
  </si>
  <si>
    <t>KD Karthik</t>
  </si>
  <si>
    <t>JA Morkel</t>
  </si>
  <si>
    <t>P Kumar</t>
  </si>
  <si>
    <t>Umar Gul</t>
  </si>
  <si>
    <t>26-05-2008</t>
  </si>
  <si>
    <t>27-05-2008</t>
  </si>
  <si>
    <t>SK Raina</t>
  </si>
  <si>
    <t>30-05-2008</t>
  </si>
  <si>
    <t>31-05-2008</t>
  </si>
  <si>
    <t>Cape Town</t>
  </si>
  <si>
    <t>18-04-2009</t>
  </si>
  <si>
    <t>SR Tendulkar</t>
  </si>
  <si>
    <t>Newlands</t>
  </si>
  <si>
    <t>R Dravid</t>
  </si>
  <si>
    <t>19-04-2009</t>
  </si>
  <si>
    <t>DL Vettori</t>
  </si>
  <si>
    <t>SD Ranade</t>
  </si>
  <si>
    <t>RP Singh</t>
  </si>
  <si>
    <t>Port Elizabeth</t>
  </si>
  <si>
    <t>20-04-2009</t>
  </si>
  <si>
    <t>M Muralitharan</t>
  </si>
  <si>
    <t>St George's Park</t>
  </si>
  <si>
    <t>SJA Taufel</t>
  </si>
  <si>
    <t>Durban</t>
  </si>
  <si>
    <t>21-04-2009</t>
  </si>
  <si>
    <t>CH Gayle</t>
  </si>
  <si>
    <t>Kingsmead</t>
  </si>
  <si>
    <t>22-04-2009</t>
  </si>
  <si>
    <t>M Erasmus</t>
  </si>
  <si>
    <t>23-04-2009</t>
  </si>
  <si>
    <t>AB de Villiers</t>
  </si>
  <si>
    <t>tie</t>
  </si>
  <si>
    <t>Y</t>
  </si>
  <si>
    <t>24-04-2009</t>
  </si>
  <si>
    <t>RS Bopara</t>
  </si>
  <si>
    <t>TH Wijewardene</t>
  </si>
  <si>
    <t>25-04-2009</t>
  </si>
  <si>
    <t>PP Ojha</t>
  </si>
  <si>
    <t>HDPK Dharmasena</t>
  </si>
  <si>
    <t>26-04-2009</t>
  </si>
  <si>
    <t>TM Dilshan</t>
  </si>
  <si>
    <t>S Asnani</t>
  </si>
  <si>
    <t>27-04-2009</t>
  </si>
  <si>
    <t>HH Gibbs</t>
  </si>
  <si>
    <t>Centurion</t>
  </si>
  <si>
    <t>28-04-2009</t>
  </si>
  <si>
    <t>SuperSport Park</t>
  </si>
  <si>
    <t>GAV Baxter</t>
  </si>
  <si>
    <t>29-04-2009</t>
  </si>
  <si>
    <t>30-04-2009</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</si>
  <si>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</si>
  <si>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</si>
  <si>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</si>
  <si>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</si>
  <si>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</si>
  <si>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</si>
  <si>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</si>
  <si>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</si>
  <si>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</si>
  <si>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</si>
  <si>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</si>
  <si>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</si>
  <si>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</si>
  <si>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</si>
  <si>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</si>
  <si>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</si>
  <si>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</si>
  <si>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</si>
  <si>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</si>
  <si>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</si>
  <si>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</si>
  <si>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13-05-2009</t>
  </si>
  <si>
    <t>R Bhatia</t>
  </si>
  <si>
    <t>14-05-2009</t>
  </si>
  <si>
    <t>SK Warne</t>
  </si>
  <si>
    <t>Bloemfontein</t>
  </si>
  <si>
    <t>15-05-2009</t>
  </si>
  <si>
    <t>B Lee</t>
  </si>
  <si>
    <t>OUTsurance Oval</t>
  </si>
  <si>
    <t>16-05-2009</t>
  </si>
  <si>
    <t>17-05-2009</t>
  </si>
  <si>
    <t>18-05-2009</t>
  </si>
  <si>
    <t>BJ Hodge</t>
  </si>
  <si>
    <t>19-05-2009</t>
  </si>
  <si>
    <t>20-05-2009</t>
  </si>
  <si>
    <t>LR Shukla</t>
  </si>
  <si>
    <t>21-05-2009</t>
  </si>
  <si>
    <t>MK Pandey</t>
  </si>
  <si>
    <t>22-05-2009</t>
  </si>
  <si>
    <t>23-05-2009</t>
  </si>
  <si>
    <t>24-05-2009</t>
  </si>
  <si>
    <t>AD Mathews</t>
  </si>
  <si>
    <t>13-03-2010</t>
  </si>
  <si>
    <t>Brabourne Stadium</t>
  </si>
  <si>
    <t>14-03-2010</t>
  </si>
  <si>
    <t>MK Tiwary</t>
  </si>
  <si>
    <t>WPUJC Vaas</t>
  </si>
  <si>
    <t>Ahmedabad</t>
  </si>
  <si>
    <t>15-03-2010</t>
  </si>
  <si>
    <t>Sardar Patel Stadium, Motera</t>
  </si>
  <si>
    <t>16-03-2010</t>
  </si>
  <si>
    <t>S Das</t>
  </si>
  <si>
    <t>17-03-2010</t>
  </si>
  <si>
    <t>18-03-2010</t>
  </si>
  <si>
    <t>19-03-2010</t>
  </si>
  <si>
    <t>Cuttack</t>
  </si>
  <si>
    <t>A Symonds</t>
  </si>
  <si>
    <t>Barabati Stadium</t>
  </si>
  <si>
    <t>20-03-2010</t>
  </si>
  <si>
    <t>AA Jhunjhunwala</t>
  </si>
  <si>
    <t>21-03-2010</t>
  </si>
  <si>
    <t>J Theron</t>
  </si>
  <si>
    <t>22-03-2010</t>
  </si>
  <si>
    <t>23-03-2010</t>
  </si>
  <si>
    <t>RV Uthappa</t>
  </si>
  <si>
    <t>24-03-2010</t>
  </si>
  <si>
    <t>AC Voges</t>
  </si>
  <si>
    <t>25-03-2010</t>
  </si>
  <si>
    <t>26-03-2010</t>
  </si>
  <si>
    <t>27-03-2010</t>
  </si>
  <si>
    <t>KM Jadhav</t>
  </si>
  <si>
    <t>28-03-2010</t>
  </si>
  <si>
    <t>NV Ojha</t>
  </si>
  <si>
    <t>29-03-2010</t>
  </si>
  <si>
    <t>DA Warner</t>
  </si>
  <si>
    <t>30-03-2010</t>
  </si>
  <si>
    <t>SL Malinga</t>
  </si>
  <si>
    <t>31-03-2010</t>
  </si>
  <si>
    <t>M Vijay</t>
  </si>
  <si>
    <t>KP Pietersen</t>
  </si>
  <si>
    <t>AT Rayudu</t>
  </si>
  <si>
    <t>PD Collingwood</t>
  </si>
  <si>
    <t>Nagpur</t>
  </si>
  <si>
    <t>Vidarbha Cricket Association Stadium, Jamtha</t>
  </si>
  <si>
    <t>MJ Lumb</t>
  </si>
  <si>
    <t>TL Suman</t>
  </si>
  <si>
    <t>RJ Harris</t>
  </si>
  <si>
    <t>PP Chawla</t>
  </si>
  <si>
    <t>Harmeet Singh</t>
  </si>
  <si>
    <t>13-04-2010</t>
  </si>
  <si>
    <t>KA Pollard</t>
  </si>
  <si>
    <t>R Ashwin</t>
  </si>
  <si>
    <t>14-04-2010</t>
  </si>
  <si>
    <t>15-04-2010</t>
  </si>
  <si>
    <t>Dharamsala</t>
  </si>
  <si>
    <t>16-04-2010</t>
  </si>
  <si>
    <t>Himachal Pradesh Cricket Association Stadium</t>
  </si>
  <si>
    <t>17-04-2010</t>
  </si>
  <si>
    <t>R McLaren</t>
  </si>
  <si>
    <t>JD Unadkat</t>
  </si>
  <si>
    <t>18-04-2010</t>
  </si>
  <si>
    <t>19-04-2010</t>
  </si>
  <si>
    <t>M Kartik</t>
  </si>
  <si>
    <t>21-04-2010</t>
  </si>
  <si>
    <t>22-04-2010</t>
  </si>
  <si>
    <t>DE Bollinger</t>
  </si>
  <si>
    <t>24-04-2010</t>
  </si>
  <si>
    <t>25-04-2010</t>
  </si>
  <si>
    <t>S Anirudha</t>
  </si>
  <si>
    <t>PR Reiffel</t>
  </si>
  <si>
    <t>SK Trivedi</t>
  </si>
  <si>
    <t>Kochi</t>
  </si>
  <si>
    <t>Nehru Stadium</t>
  </si>
  <si>
    <t>Kochi Tuskers Kerala</t>
  </si>
  <si>
    <t>SB Wagh</t>
  </si>
  <si>
    <t>Pune Warriors</t>
  </si>
  <si>
    <t>AL Hill</t>
  </si>
  <si>
    <t>13-04-2011</t>
  </si>
  <si>
    <t>PC Valthaty</t>
  </si>
  <si>
    <t>MD Mishra</t>
  </si>
  <si>
    <t>14-04-2011</t>
  </si>
  <si>
    <t>DW Steyn</t>
  </si>
  <si>
    <t>15-04-2011</t>
  </si>
  <si>
    <t>16-04-2011</t>
  </si>
  <si>
    <t>17-04-2011</t>
  </si>
  <si>
    <t>18-04-2011</t>
  </si>
  <si>
    <t>19-04-2011</t>
  </si>
  <si>
    <t>S Sohal</t>
  </si>
  <si>
    <t>RJ Tucker</t>
  </si>
  <si>
    <t>20-04-2011</t>
  </si>
  <si>
    <t>MM Patel</t>
  </si>
  <si>
    <t>21-04-2011</t>
  </si>
  <si>
    <t>22-04-2011</t>
  </si>
  <si>
    <t>23-04-2011</t>
  </si>
  <si>
    <t>24-04-2011</t>
  </si>
  <si>
    <t>25-04-2011</t>
  </si>
  <si>
    <t>26-04-2011</t>
  </si>
  <si>
    <t>V Kohli</t>
  </si>
  <si>
    <t>27-04-2011</t>
  </si>
  <si>
    <t>I Sharma</t>
  </si>
  <si>
    <t>28-04-2011</t>
  </si>
  <si>
    <t>29-04-2011</t>
  </si>
  <si>
    <t>J Botha</t>
  </si>
  <si>
    <t>30-04-2011</t>
  </si>
  <si>
    <t>Iqbal Abdulla</t>
  </si>
  <si>
    <t>P Parameswaran</t>
  </si>
  <si>
    <t>R Sharma</t>
  </si>
  <si>
    <t>MR Marsh</t>
  </si>
  <si>
    <t>BA Bhatt</t>
  </si>
  <si>
    <t>S Aravind</t>
  </si>
  <si>
    <t>Indore</t>
  </si>
  <si>
    <t>13-05-2011</t>
  </si>
  <si>
    <t>Holkar Cricket Stadium</t>
  </si>
  <si>
    <t>14-05-2011</t>
  </si>
  <si>
    <t>15-05-2011</t>
  </si>
  <si>
    <t>16-05-2011</t>
  </si>
  <si>
    <t>17-05-2011</t>
  </si>
  <si>
    <t>18-05-2011</t>
  </si>
  <si>
    <t>WP Saha</t>
  </si>
  <si>
    <t>19-05-2011</t>
  </si>
  <si>
    <t>20-05-2011</t>
  </si>
  <si>
    <t>21-05-2011</t>
  </si>
  <si>
    <t>S Dhawan</t>
  </si>
  <si>
    <t>22-05-2011</t>
  </si>
  <si>
    <t>JEC Franklin</t>
  </si>
  <si>
    <t>24-05-2011</t>
  </si>
  <si>
    <t>25-05-2011</t>
  </si>
  <si>
    <t>27-05-2011</t>
  </si>
  <si>
    <t>28-05-2011</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</si>
  <si>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</si>
  <si>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</si>
  <si>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</si>
  <si>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</si>
  <si>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</si>
  <si>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</si>
  <si>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</si>
  <si>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</si>
  <si>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</si>
  <si>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</si>
  <si>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</si>
  <si>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</si>
  <si>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</si>
  <si>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</si>
  <si>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</si>
  <si>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</si>
  <si>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13-04-2012</t>
  </si>
  <si>
    <t>Shakib Al Hasan</t>
  </si>
  <si>
    <t>19-04-2012</t>
  </si>
  <si>
    <t>14-04-2012</t>
  </si>
  <si>
    <t>JD Ryder</t>
  </si>
  <si>
    <t>15-04-2012</t>
  </si>
  <si>
    <t>SP Narine</t>
  </si>
  <si>
    <t>16-04-2012</t>
  </si>
  <si>
    <t>S Nadeem</t>
  </si>
  <si>
    <t>17-04-2012</t>
  </si>
  <si>
    <t>18-04-2012</t>
  </si>
  <si>
    <t>KMDN Kulasekara</t>
  </si>
  <si>
    <t>20-04-2012</t>
  </si>
  <si>
    <t>21-04-2012</t>
  </si>
  <si>
    <t>22-04-2012</t>
  </si>
  <si>
    <t>23-04-2012</t>
  </si>
  <si>
    <t>24-04-2012</t>
  </si>
  <si>
    <t>25-04-2012</t>
  </si>
  <si>
    <t>26-04-2012</t>
  </si>
  <si>
    <t>CL White</t>
  </si>
  <si>
    <t>27-04-2012</t>
  </si>
  <si>
    <t>28-04-2012</t>
  </si>
  <si>
    <t>Mandeep Singh</t>
  </si>
  <si>
    <t>29-04-2012</t>
  </si>
  <si>
    <t>30-04-2012</t>
  </si>
  <si>
    <t>C Shamshuddin</t>
  </si>
  <si>
    <t>P Negi</t>
  </si>
  <si>
    <t>Azhar Mahmood</t>
  </si>
  <si>
    <t>BW Hilfenhaus</t>
  </si>
  <si>
    <t>13-05-2012</t>
  </si>
  <si>
    <t>A Chandila</t>
  </si>
  <si>
    <t>14-05-2012</t>
  </si>
  <si>
    <t>15-05-2012</t>
  </si>
  <si>
    <t>UT Yadav</t>
  </si>
  <si>
    <t>16-05-2012</t>
  </si>
  <si>
    <t>17-05-2012</t>
  </si>
  <si>
    <t>18-05-2012</t>
  </si>
  <si>
    <t>19-05-2012</t>
  </si>
  <si>
    <t>20-05-2012</t>
  </si>
  <si>
    <t>22-05-2012</t>
  </si>
  <si>
    <t>23-05-2012</t>
  </si>
  <si>
    <t>25-05-2012</t>
  </si>
  <si>
    <t>27-05-2012</t>
  </si>
  <si>
    <t>MS Bisla</t>
  </si>
  <si>
    <t>Sunrisers Hyderabad</t>
  </si>
  <si>
    <t>M Vohra</t>
  </si>
  <si>
    <t>GH Vihari</t>
  </si>
  <si>
    <t>AJ Finch</t>
  </si>
  <si>
    <t>K Srinath</t>
  </si>
  <si>
    <t>Subroto Das</t>
  </si>
  <si>
    <t>13-04-2013</t>
  </si>
  <si>
    <t>14-04-2013</t>
  </si>
  <si>
    <t>JP Faulkner</t>
  </si>
  <si>
    <t>15-04-2013</t>
  </si>
  <si>
    <t>16-04-2013</t>
  </si>
  <si>
    <t>MS Gony</t>
  </si>
  <si>
    <t>CK Nandan</t>
  </si>
  <si>
    <t>17-04-2013</t>
  </si>
  <si>
    <t>18-04-2013</t>
  </si>
  <si>
    <t>19-04-2013</t>
  </si>
  <si>
    <t>20-04-2013</t>
  </si>
  <si>
    <t>21-04-2013</t>
  </si>
  <si>
    <t>DA Miller</t>
  </si>
  <si>
    <t>22-04-2013</t>
  </si>
  <si>
    <t>23-04-2013</t>
  </si>
  <si>
    <t>16-05-2013</t>
  </si>
  <si>
    <t>24-04-2013</t>
  </si>
  <si>
    <t>25-04-2013</t>
  </si>
  <si>
    <t>26-04-2013</t>
  </si>
  <si>
    <t>27-04-2013</t>
  </si>
  <si>
    <t>28-04-2013</t>
  </si>
  <si>
    <t>Raipur</t>
  </si>
  <si>
    <t>Shaheed Veer Narayan Singh International Stadium</t>
  </si>
  <si>
    <t>29-04-2013</t>
  </si>
  <si>
    <t>SV Samson</t>
  </si>
  <si>
    <t>30-04-2013</t>
  </si>
  <si>
    <t>DJG Sammy</t>
  </si>
  <si>
    <t>14-05-2013</t>
  </si>
  <si>
    <t>MG Johnson</t>
  </si>
  <si>
    <t>NJ Llong</t>
  </si>
  <si>
    <t>KK Cooper</t>
  </si>
  <si>
    <t>PA Patel</t>
  </si>
  <si>
    <t>Ranchi</t>
  </si>
  <si>
    <t>JSCA International Stadium Complex</t>
  </si>
  <si>
    <t>13-05-2013</t>
  </si>
  <si>
    <t>15-05-2013</t>
  </si>
  <si>
    <t>AP Tare</t>
  </si>
  <si>
    <t>17-05-2013</t>
  </si>
  <si>
    <t>18-05-2013</t>
  </si>
  <si>
    <t>19-05-2013</t>
  </si>
  <si>
    <t>LJ Wright</t>
  </si>
  <si>
    <t>21-05-2013</t>
  </si>
  <si>
    <t>22-05-2013</t>
  </si>
  <si>
    <t>24-05-2013</t>
  </si>
  <si>
    <t>26-05-2013</t>
  </si>
  <si>
    <t>Abu Dhabi</t>
  </si>
  <si>
    <t>16-04-2014</t>
  </si>
  <si>
    <t>Sheikh Zayed Stadium</t>
  </si>
  <si>
    <t>RK Illingworth</t>
  </si>
  <si>
    <t>17-04-2014</t>
  </si>
  <si>
    <t>YS Chahal</t>
  </si>
  <si>
    <t>Sharjah Cricket Stadium</t>
  </si>
  <si>
    <t>18-04-2014</t>
  </si>
  <si>
    <t>GJ Maxwell</t>
  </si>
  <si>
    <t>19-04-2014</t>
  </si>
  <si>
    <t>Dubai International Cricket Stadium</t>
  </si>
  <si>
    <t>20-04-2014</t>
  </si>
  <si>
    <t>21-04-2014</t>
  </si>
  <si>
    <t>22-04-2014</t>
  </si>
  <si>
    <t>23-04-2014</t>
  </si>
  <si>
    <t>24-04-2014</t>
  </si>
  <si>
    <t>CA Lynn</t>
  </si>
  <si>
    <t>25-04-2014</t>
  </si>
  <si>
    <t>MM Sharma</t>
  </si>
  <si>
    <t>26-04-2014</t>
  </si>
  <si>
    <t>PV Tambe</t>
  </si>
  <si>
    <t>Sandeep Sharma</t>
  </si>
  <si>
    <t>27-04-2014</t>
  </si>
  <si>
    <t>28-04-2014</t>
  </si>
  <si>
    <t>29-04-2014</t>
  </si>
  <si>
    <t>30-04-2014</t>
  </si>
  <si>
    <t>B Kumar</t>
  </si>
  <si>
    <t>CJ Anderson</t>
  </si>
  <si>
    <t>KK Nair</t>
  </si>
  <si>
    <t>RM Deshpande</t>
  </si>
  <si>
    <t>PG Pathak</t>
  </si>
  <si>
    <t>13-05-2014</t>
  </si>
  <si>
    <t>14-05-2014</t>
  </si>
  <si>
    <t>15-05-2014</t>
  </si>
  <si>
    <t>18-05-2014</t>
  </si>
  <si>
    <t>19-05-2014</t>
  </si>
  <si>
    <t>AR Patel</t>
  </si>
  <si>
    <t>20-05-2014</t>
  </si>
  <si>
    <t>21-05-2014</t>
  </si>
  <si>
    <t>LMP Simmons</t>
  </si>
  <si>
    <t>22-05-2014</t>
  </si>
  <si>
    <t>23-05-2014</t>
  </si>
  <si>
    <t>24-05-2014</t>
  </si>
  <si>
    <t>25-05-2014</t>
  </si>
  <si>
    <t>27-05-2014</t>
  </si>
  <si>
    <t>28-05-2014</t>
  </si>
  <si>
    <t>30-05-2014</t>
  </si>
  <si>
    <t>Maharashtra Cricket Association Stadium</t>
  </si>
  <si>
    <t>SD Fry</t>
  </si>
  <si>
    <t>CB Gaffaney</t>
  </si>
  <si>
    <t>DJ Hooda</t>
  </si>
  <si>
    <t>GJ Bailey</t>
  </si>
  <si>
    <t>K Srinivasan</t>
  </si>
  <si>
    <t>13-04-2015</t>
  </si>
  <si>
    <t>14-04-2015</t>
  </si>
  <si>
    <t>30-04-2015</t>
  </si>
  <si>
    <t>AD Russell</t>
  </si>
  <si>
    <t>15-04-2015</t>
  </si>
  <si>
    <t>MA Agarwal</t>
  </si>
  <si>
    <t>16-04-2015</t>
  </si>
  <si>
    <t>17-04-2015</t>
  </si>
  <si>
    <t>18-04-2015</t>
  </si>
  <si>
    <t>19-04-2015</t>
  </si>
  <si>
    <t>20-04-2015</t>
  </si>
  <si>
    <t>21-04-2015</t>
  </si>
  <si>
    <t>22-04-2015</t>
  </si>
  <si>
    <t>23-04-2015</t>
  </si>
  <si>
    <t>SS Iyer</t>
  </si>
  <si>
    <t>24-04-2015</t>
  </si>
  <si>
    <t>MA Starc</t>
  </si>
  <si>
    <t>25-04-2015</t>
  </si>
  <si>
    <t>26-04-2015</t>
  </si>
  <si>
    <t>VR Aaron</t>
  </si>
  <si>
    <t>27-04-2015</t>
  </si>
  <si>
    <t>TA Boult</t>
  </si>
  <si>
    <t>29-04-2015</t>
  </si>
  <si>
    <t>28-04-2015</t>
  </si>
  <si>
    <t>NM Coulter-Nile</t>
  </si>
  <si>
    <t>EJG Morgan</t>
  </si>
  <si>
    <t>HH Pandya</t>
  </si>
  <si>
    <t>MC Henriques</t>
  </si>
  <si>
    <t>Z Khan</t>
  </si>
  <si>
    <t>13-05-2015</t>
  </si>
  <si>
    <t>14-05-2015</t>
  </si>
  <si>
    <t>15-05-2015</t>
  </si>
  <si>
    <t>16-05-2015</t>
  </si>
  <si>
    <t>17-05-2015</t>
  </si>
  <si>
    <t>MJ McClenaghan</t>
  </si>
  <si>
    <t>19-05-2015</t>
  </si>
  <si>
    <t>20-05-2015</t>
  </si>
  <si>
    <t>22-05-2015</t>
  </si>
  <si>
    <t>24-05-2015</t>
  </si>
  <si>
    <t>Rising Pune Supergiants</t>
  </si>
  <si>
    <t>Punjab Cricket Association IS Bindra Stadium, Mohali</t>
  </si>
  <si>
    <t>Gujarat Lions</t>
  </si>
  <si>
    <t>VK Sharma</t>
  </si>
  <si>
    <t>13-04-2016</t>
  </si>
  <si>
    <t>Nitin Menon</t>
  </si>
  <si>
    <t>Rajkot</t>
  </si>
  <si>
    <t>14-04-2016</t>
  </si>
  <si>
    <t>Saurashtra Cricket Association Stadium</t>
  </si>
  <si>
    <t>15-04-2016</t>
  </si>
  <si>
    <t>16-04-2016</t>
  </si>
  <si>
    <t>17-04-2016</t>
  </si>
  <si>
    <t>Q de Kock</t>
  </si>
  <si>
    <t>A Nand Kishore</t>
  </si>
  <si>
    <t>18-04-2016</t>
  </si>
  <si>
    <t>19-04-2016</t>
  </si>
  <si>
    <t>20-04-2016</t>
  </si>
  <si>
    <t>21-04-2016</t>
  </si>
  <si>
    <t>K Bharatan</t>
  </si>
  <si>
    <t>22-04-2016</t>
  </si>
  <si>
    <t>23-04-2016</t>
  </si>
  <si>
    <t>Mustafizur Rahman</t>
  </si>
  <si>
    <t>24-04-2016</t>
  </si>
  <si>
    <t>SA Yadav</t>
  </si>
  <si>
    <t>25-04-2016</t>
  </si>
  <si>
    <t>26-04-2016</t>
  </si>
  <si>
    <t>AB Dinda</t>
  </si>
  <si>
    <t>AY Dandekar</t>
  </si>
  <si>
    <t>27-04-2016</t>
  </si>
  <si>
    <t>CH Morris</t>
  </si>
  <si>
    <t>28-04-2016</t>
  </si>
  <si>
    <t>29-04-2016</t>
  </si>
  <si>
    <t>30-04-2016</t>
  </si>
  <si>
    <t>CR Brathwaite</t>
  </si>
  <si>
    <t>KN Ananthapadmanabhan</t>
  </si>
  <si>
    <t>RR Pant</t>
  </si>
  <si>
    <t>MP Stoinis</t>
  </si>
  <si>
    <t>A Zampa</t>
  </si>
  <si>
    <t>KH Pandya</t>
  </si>
  <si>
    <t>13-05-2016</t>
  </si>
  <si>
    <t>14-05-2016</t>
  </si>
  <si>
    <t>15-05-2016</t>
  </si>
  <si>
    <t>HM Amla</t>
  </si>
  <si>
    <t>16-05-2016</t>
  </si>
  <si>
    <t>17-05-2016</t>
  </si>
  <si>
    <t>18-05-2016</t>
  </si>
  <si>
    <t>Kanpur</t>
  </si>
  <si>
    <t>19-05-2016</t>
  </si>
  <si>
    <t>Green Park</t>
  </si>
  <si>
    <t>20-05-2016</t>
  </si>
  <si>
    <t>21-05-2016</t>
  </si>
  <si>
    <t>22-05-2016</t>
  </si>
  <si>
    <t>24-05-2016</t>
  </si>
  <si>
    <t>25-05-2016</t>
  </si>
  <si>
    <t>27-05-2016</t>
  </si>
  <si>
    <t>29-05-2016</t>
  </si>
  <si>
    <t>BCJ Cutting</t>
  </si>
  <si>
    <t>Rising Pune Supergiant</t>
  </si>
  <si>
    <t>Bengaluru</t>
  </si>
  <si>
    <t>M.Chinnaswamy Stadium</t>
  </si>
  <si>
    <t>Rashid Khan</t>
  </si>
  <si>
    <t>A Deshmukh</t>
  </si>
  <si>
    <t>N Rana</t>
  </si>
  <si>
    <t>JJ Bumrah</t>
  </si>
  <si>
    <t>13-04-2017</t>
  </si>
  <si>
    <t>14-04-2017</t>
  </si>
  <si>
    <t>AJ Tye</t>
  </si>
  <si>
    <t>15-04-2017</t>
  </si>
  <si>
    <t>YC Barde</t>
  </si>
  <si>
    <t>16-04-2017</t>
  </si>
  <si>
    <t>BA Stokes</t>
  </si>
  <si>
    <t>17-04-2017</t>
  </si>
  <si>
    <t>18-04-2017</t>
  </si>
  <si>
    <t>19-04-2017</t>
  </si>
  <si>
    <t>KS Williamson</t>
  </si>
  <si>
    <t>20-04-2017</t>
  </si>
  <si>
    <t>JC Buttler</t>
  </si>
  <si>
    <t>21-04-2017</t>
  </si>
  <si>
    <t>22-04-2017</t>
  </si>
  <si>
    <t>23-04-2017</t>
  </si>
  <si>
    <t>24-04-2017</t>
  </si>
  <si>
    <t>26-04-2017</t>
  </si>
  <si>
    <t>27-04-2017</t>
  </si>
  <si>
    <t>28-04-2017</t>
  </si>
  <si>
    <t>29-04-2017</t>
  </si>
  <si>
    <t>LH Ferguson</t>
  </si>
  <si>
    <t>30-04-2017</t>
  </si>
  <si>
    <t>Mohammed Shami</t>
  </si>
  <si>
    <t>RA Tripathi</t>
  </si>
  <si>
    <t>13-05-2017</t>
  </si>
  <si>
    <t>Mohammed Siraj</t>
  </si>
  <si>
    <t>14-05-2017</t>
  </si>
  <si>
    <t>HV Patel</t>
  </si>
  <si>
    <t>16-05-2017</t>
  </si>
  <si>
    <t>Washington Sundar</t>
  </si>
  <si>
    <t>17-05-2017</t>
  </si>
  <si>
    <t>19-05-2017</t>
  </si>
  <si>
    <t>KV Sharma</t>
  </si>
  <si>
    <t>21-05-2017</t>
  </si>
  <si>
    <t>KL Rahul</t>
  </si>
  <si>
    <t>SW Billings</t>
  </si>
  <si>
    <t>13-04-2018</t>
  </si>
  <si>
    <t>14-04-2018</t>
  </si>
  <si>
    <t>JJ Roy</t>
  </si>
  <si>
    <t>B Stanlake</t>
  </si>
  <si>
    <t>15-04-2018</t>
  </si>
  <si>
    <t>16-04-2018</t>
  </si>
  <si>
    <t>17-04-2018</t>
  </si>
  <si>
    <t>18-04-2018</t>
  </si>
  <si>
    <t>19-04-2018</t>
  </si>
  <si>
    <t>20-04-2018</t>
  </si>
  <si>
    <t>21-04-2018</t>
  </si>
  <si>
    <t>22-04-2018</t>
  </si>
  <si>
    <t>JC Archer</t>
  </si>
  <si>
    <t>23-04-2018</t>
  </si>
  <si>
    <t>AS Rajpoot</t>
  </si>
  <si>
    <t>24-04-2018</t>
  </si>
  <si>
    <t>25-04-2018</t>
  </si>
  <si>
    <t>26-04-2018</t>
  </si>
  <si>
    <t>27-04-2018</t>
  </si>
  <si>
    <t>28-04-2018</t>
  </si>
  <si>
    <t>29-04-2018</t>
  </si>
  <si>
    <t>30-04-2018</t>
  </si>
  <si>
    <t>TG Southee</t>
  </si>
  <si>
    <t>Mujeeb Ur Rahman</t>
  </si>
  <si>
    <t>Ishan Kishan</t>
  </si>
  <si>
    <t>13-05-2018</t>
  </si>
  <si>
    <t>14-05-2018</t>
  </si>
  <si>
    <t>15-05-2018</t>
  </si>
  <si>
    <t>Kuldeep Yadav</t>
  </si>
  <si>
    <t>16-05-2018</t>
  </si>
  <si>
    <t>17-05-2018</t>
  </si>
  <si>
    <t>18-05-2018</t>
  </si>
  <si>
    <t>19-05-2018</t>
  </si>
  <si>
    <t>S Gopal</t>
  </si>
  <si>
    <t>20-05-2018</t>
  </si>
  <si>
    <t>L Ngidi</t>
  </si>
  <si>
    <t>22-05-2018</t>
  </si>
  <si>
    <t>23-05-2018</t>
  </si>
  <si>
    <t>25-05-2018</t>
  </si>
  <si>
    <t>27-05-2018</t>
  </si>
  <si>
    <t>23-03-2019</t>
  </si>
  <si>
    <t>24-03-2019</t>
  </si>
  <si>
    <t>Delhi Capitals</t>
  </si>
  <si>
    <t>25-03-2019</t>
  </si>
  <si>
    <t>26-03-2019</t>
  </si>
  <si>
    <t>27-03-2019</t>
  </si>
  <si>
    <t>28-03-2019</t>
  </si>
  <si>
    <t>29-03-2019</t>
  </si>
  <si>
    <t>30-03-2019</t>
  </si>
  <si>
    <t>PP Shaw</t>
  </si>
  <si>
    <t>31-03-2019</t>
  </si>
  <si>
    <t>JM Bairstow</t>
  </si>
  <si>
    <t>SM Curran</t>
  </si>
  <si>
    <t>AS Joseph</t>
  </si>
  <si>
    <t>K Rabada</t>
  </si>
  <si>
    <t>HF Gurney</t>
  </si>
  <si>
    <t>DL Chahar</t>
  </si>
  <si>
    <t>UV Gandhe</t>
  </si>
  <si>
    <t>13-04-2019</t>
  </si>
  <si>
    <t>14-04-2019</t>
  </si>
  <si>
    <t>Imran Tahir</t>
  </si>
  <si>
    <t>KMA Paul</t>
  </si>
  <si>
    <t>15-04-2019</t>
  </si>
  <si>
    <t>16-04-2019</t>
  </si>
  <si>
    <t>17-04-2019</t>
  </si>
  <si>
    <t>IJ Gould</t>
  </si>
  <si>
    <t>18-04-2019</t>
  </si>
  <si>
    <t>19-04-2019</t>
  </si>
  <si>
    <t>20-04-2019</t>
  </si>
  <si>
    <t>21-04-2019</t>
  </si>
  <si>
    <t>KK Ahmed</t>
  </si>
  <si>
    <t>22-04-2019</t>
  </si>
  <si>
    <t>23-04-2019</t>
  </si>
  <si>
    <t>24-04-2019</t>
  </si>
  <si>
    <t>25-04-2019</t>
  </si>
  <si>
    <t>26-04-2019</t>
  </si>
  <si>
    <t>27-04-2019</t>
  </si>
  <si>
    <t>28-04-2019</t>
  </si>
  <si>
    <t>29-04-2019</t>
  </si>
  <si>
    <t>30-04-2019</t>
  </si>
  <si>
    <t>Shubman Gill</t>
  </si>
  <si>
    <t>SO Hetmyer</t>
  </si>
  <si>
    <t>19-09-2020</t>
  </si>
  <si>
    <t>Dubai</t>
  </si>
  <si>
    <t>20-09-2020</t>
  </si>
  <si>
    <t>21-10-2020</t>
  </si>
  <si>
    <t>Sharjah</t>
  </si>
  <si>
    <t>22-09-2020</t>
  </si>
  <si>
    <t>24-10-2020</t>
  </si>
  <si>
    <t>CV Varun</t>
  </si>
  <si>
    <t>CJ Jordan</t>
  </si>
  <si>
    <t>28-10-2020</t>
  </si>
  <si>
    <t>31-10-2020</t>
  </si>
  <si>
    <t>30-09-2020</t>
  </si>
  <si>
    <t>Shivam Mavi</t>
  </si>
  <si>
    <t>A Nortje</t>
  </si>
  <si>
    <t>RD Gaikwad</t>
  </si>
  <si>
    <t>R Tewatia</t>
  </si>
  <si>
    <t>23-09-2020</t>
  </si>
  <si>
    <t>17-10-2020</t>
  </si>
  <si>
    <t>24-09-2020</t>
  </si>
  <si>
    <t>18-10-2020</t>
  </si>
  <si>
    <t>PK Garg</t>
  </si>
  <si>
    <t>22-10-2020</t>
  </si>
  <si>
    <t>26-10-2020</t>
  </si>
  <si>
    <t>23-10-2020</t>
  </si>
  <si>
    <t>27-10-2020</t>
  </si>
  <si>
    <t>16-10-2020</t>
  </si>
  <si>
    <t>27-09-2020</t>
  </si>
  <si>
    <t>13-10-2020</t>
  </si>
  <si>
    <t>PJ Cummins</t>
  </si>
  <si>
    <t>15-10-2020</t>
  </si>
  <si>
    <t>29-09-2020</t>
  </si>
  <si>
    <t>19-10-2020</t>
  </si>
  <si>
    <t>21-09-2020</t>
  </si>
  <si>
    <t>29-10-2020</t>
  </si>
  <si>
    <t>30-10-2020</t>
  </si>
  <si>
    <t>25-09-2020</t>
  </si>
  <si>
    <t>25-10-2020</t>
  </si>
  <si>
    <t>14-10-2020</t>
  </si>
  <si>
    <t>26-09-2020</t>
  </si>
  <si>
    <t>20-10-2020</t>
  </si>
  <si>
    <t>28-09-2020</t>
  </si>
  <si>
    <t>ID</t>
  </si>
  <si>
    <t>City</t>
  </si>
  <si>
    <t>Season</t>
  </si>
  <si>
    <t xml:space="preserve">Date </t>
  </si>
  <si>
    <t>Player of the Match</t>
  </si>
  <si>
    <t>Venue</t>
  </si>
  <si>
    <t>Team 1</t>
  </si>
  <si>
    <t>Team 2</t>
  </si>
  <si>
    <t>Toss Winner</t>
  </si>
  <si>
    <t>Toss Decision</t>
  </si>
  <si>
    <t>Winner</t>
  </si>
  <si>
    <t>Result</t>
  </si>
  <si>
    <t>Result Margin</t>
  </si>
  <si>
    <t>Eliminator</t>
  </si>
  <si>
    <t>Method</t>
  </si>
  <si>
    <t>Umpire 1</t>
  </si>
  <si>
    <t>Umpire 2</t>
  </si>
  <si>
    <t>Year</t>
  </si>
  <si>
    <t>Win Type</t>
  </si>
  <si>
    <t xml:space="preserve">Toss Win </t>
  </si>
  <si>
    <t>Toss Impact</t>
  </si>
  <si>
    <t>335982</t>
  </si>
  <si>
    <t>M. Chinnaswamy Stadium</t>
  </si>
  <si>
    <t>Normal Match</t>
  </si>
  <si>
    <t>Batting First</t>
  </si>
  <si>
    <t>No</t>
  </si>
  <si>
    <t>335983</t>
  </si>
  <si>
    <t>Punjab Kings</t>
  </si>
  <si>
    <t>Yes</t>
  </si>
  <si>
    <t>335984</t>
  </si>
  <si>
    <t>Chasing</t>
  </si>
  <si>
    <t>335985</t>
  </si>
  <si>
    <t>335986</t>
  </si>
  <si>
    <t>335987</t>
  </si>
  <si>
    <t>335988</t>
  </si>
  <si>
    <t>335989</t>
  </si>
  <si>
    <t>335990</t>
  </si>
  <si>
    <t>335991</t>
  </si>
  <si>
    <t>335992</t>
  </si>
  <si>
    <t>335993</t>
  </si>
  <si>
    <t>335994</t>
  </si>
  <si>
    <t>335995</t>
  </si>
  <si>
    <t>335996</t>
  </si>
  <si>
    <t>335997</t>
  </si>
  <si>
    <t>335998</t>
  </si>
  <si>
    <t>335999</t>
  </si>
  <si>
    <t>336000</t>
  </si>
  <si>
    <t>336001</t>
  </si>
  <si>
    <t>336002</t>
  </si>
  <si>
    <t>336003</t>
  </si>
  <si>
    <t>336004</t>
  </si>
  <si>
    <t>336005</t>
  </si>
  <si>
    <t>336006</t>
  </si>
  <si>
    <t>336007</t>
  </si>
  <si>
    <t>336008</t>
  </si>
  <si>
    <t>336009</t>
  </si>
  <si>
    <t>336010</t>
  </si>
  <si>
    <t>336011</t>
  </si>
  <si>
    <t>336012</t>
  </si>
  <si>
    <t>336013</t>
  </si>
  <si>
    <t>336014</t>
  </si>
  <si>
    <t>336015</t>
  </si>
  <si>
    <t>336016</t>
  </si>
  <si>
    <t>336017</t>
  </si>
  <si>
    <t>336018</t>
  </si>
  <si>
    <t>336019</t>
  </si>
  <si>
    <t>336020</t>
  </si>
  <si>
    <t>336021</t>
  </si>
  <si>
    <t>336022</t>
  </si>
  <si>
    <t>336023</t>
  </si>
  <si>
    <t>336024</t>
  </si>
  <si>
    <t>336025</t>
  </si>
  <si>
    <t>336026</t>
  </si>
  <si>
    <t>336027</t>
  </si>
  <si>
    <t>336028</t>
  </si>
  <si>
    <t>336029</t>
  </si>
  <si>
    <t>336031</t>
  </si>
  <si>
    <t>336032</t>
  </si>
  <si>
    <t>336033</t>
  </si>
  <si>
    <t>336034</t>
  </si>
  <si>
    <t>336035</t>
  </si>
  <si>
    <t>336036</t>
  </si>
  <si>
    <t>336037</t>
  </si>
  <si>
    <t>336038</t>
  </si>
  <si>
    <t>336039</t>
  </si>
  <si>
    <t>336040</t>
  </si>
  <si>
    <t>392181</t>
  </si>
  <si>
    <t>392182</t>
  </si>
  <si>
    <t>392183</t>
  </si>
  <si>
    <t>392184</t>
  </si>
  <si>
    <t>392185</t>
  </si>
  <si>
    <t>392186</t>
  </si>
  <si>
    <t>392188</t>
  </si>
  <si>
    <t>392189</t>
  </si>
  <si>
    <t>392191</t>
  </si>
  <si>
    <t>392192</t>
  </si>
  <si>
    <t>392194</t>
  </si>
  <si>
    <t>392195</t>
  </si>
  <si>
    <t>392196</t>
  </si>
  <si>
    <t>392197</t>
  </si>
  <si>
    <t>392198</t>
  </si>
  <si>
    <t>392199</t>
  </si>
  <si>
    <t>392200</t>
  </si>
  <si>
    <t>392201</t>
  </si>
  <si>
    <t>392202</t>
  </si>
  <si>
    <t>392203</t>
  </si>
  <si>
    <t>392204</t>
  </si>
  <si>
    <t>392205</t>
  </si>
  <si>
    <t>392206</t>
  </si>
  <si>
    <t>392207</t>
  </si>
  <si>
    <t>392208</t>
  </si>
  <si>
    <t>392209</t>
  </si>
  <si>
    <t>392210</t>
  </si>
  <si>
    <t>392211</t>
  </si>
  <si>
    <t>392212</t>
  </si>
  <si>
    <t>392213</t>
  </si>
  <si>
    <t>392214</t>
  </si>
  <si>
    <t>392215</t>
  </si>
  <si>
    <t>392216</t>
  </si>
  <si>
    <t>392217</t>
  </si>
  <si>
    <t>392218</t>
  </si>
  <si>
    <t>392219</t>
  </si>
  <si>
    <t>392220</t>
  </si>
  <si>
    <t>392221</t>
  </si>
  <si>
    <t>392222</t>
  </si>
  <si>
    <t>392223</t>
  </si>
  <si>
    <t>392224</t>
  </si>
  <si>
    <t>392225</t>
  </si>
  <si>
    <t>392226</t>
  </si>
  <si>
    <t>392227</t>
  </si>
  <si>
    <t>392228</t>
  </si>
  <si>
    <t>392229</t>
  </si>
  <si>
    <t>392230</t>
  </si>
  <si>
    <t>392231</t>
  </si>
  <si>
    <t>392232</t>
  </si>
  <si>
    <t>392233</t>
  </si>
  <si>
    <t>392234</t>
  </si>
  <si>
    <t>392235</t>
  </si>
  <si>
    <t>392236</t>
  </si>
  <si>
    <t>392237</t>
  </si>
  <si>
    <t>392238</t>
  </si>
  <si>
    <t>392239</t>
  </si>
  <si>
    <t>419106</t>
  </si>
  <si>
    <t>419107</t>
  </si>
  <si>
    <t>419108</t>
  </si>
  <si>
    <t>419109</t>
  </si>
  <si>
    <t>419110</t>
  </si>
  <si>
    <t>419111</t>
  </si>
  <si>
    <t>419112</t>
  </si>
  <si>
    <t>419113</t>
  </si>
  <si>
    <t>419114</t>
  </si>
  <si>
    <t>419115</t>
  </si>
  <si>
    <t>419116</t>
  </si>
  <si>
    <t>419117</t>
  </si>
  <si>
    <t>419118</t>
  </si>
  <si>
    <t>419119</t>
  </si>
  <si>
    <t>419120</t>
  </si>
  <si>
    <t>419122</t>
  </si>
  <si>
    <t>419123</t>
  </si>
  <si>
    <t>419124</t>
  </si>
  <si>
    <t>419125</t>
  </si>
  <si>
    <t>419126</t>
  </si>
  <si>
    <t>419127</t>
  </si>
  <si>
    <t>419128</t>
  </si>
  <si>
    <t>419129</t>
  </si>
  <si>
    <t>419130</t>
  </si>
  <si>
    <t>419131</t>
  </si>
  <si>
    <t>419132</t>
  </si>
  <si>
    <t>419133</t>
  </si>
  <si>
    <t>419134</t>
  </si>
  <si>
    <t>419135</t>
  </si>
  <si>
    <t>419136</t>
  </si>
  <si>
    <t>419137</t>
  </si>
  <si>
    <t>419138</t>
  </si>
  <si>
    <t>419139</t>
  </si>
  <si>
    <t>419140</t>
  </si>
  <si>
    <t>419141</t>
  </si>
  <si>
    <t>419142</t>
  </si>
  <si>
    <t>419143</t>
  </si>
  <si>
    <t>419144</t>
  </si>
  <si>
    <t>419145</t>
  </si>
  <si>
    <t>419146</t>
  </si>
  <si>
    <t>419147</t>
  </si>
  <si>
    <t>419148</t>
  </si>
  <si>
    <t>419149</t>
  </si>
  <si>
    <t>419150</t>
  </si>
  <si>
    <t>419151</t>
  </si>
  <si>
    <t>419152</t>
  </si>
  <si>
    <t>419153</t>
  </si>
  <si>
    <t>419154</t>
  </si>
  <si>
    <t>419155</t>
  </si>
  <si>
    <t>419156</t>
  </si>
  <si>
    <t>419157</t>
  </si>
  <si>
    <t>419158</t>
  </si>
  <si>
    <t>419159</t>
  </si>
  <si>
    <t>419160</t>
  </si>
  <si>
    <t>419161</t>
  </si>
  <si>
    <t>419162</t>
  </si>
  <si>
    <t>419163</t>
  </si>
  <si>
    <t>419164</t>
  </si>
  <si>
    <t>419165</t>
  </si>
  <si>
    <t>501198</t>
  </si>
  <si>
    <t>501199</t>
  </si>
  <si>
    <t>501200</t>
  </si>
  <si>
    <t>501201</t>
  </si>
  <si>
    <t>501202</t>
  </si>
  <si>
    <t>501203</t>
  </si>
  <si>
    <t>501204</t>
  </si>
  <si>
    <t>501205</t>
  </si>
  <si>
    <t>501206</t>
  </si>
  <si>
    <t>501207</t>
  </si>
  <si>
    <t>501208</t>
  </si>
  <si>
    <t>501209</t>
  </si>
  <si>
    <t>501210</t>
  </si>
  <si>
    <t>501211</t>
  </si>
  <si>
    <t>501212</t>
  </si>
  <si>
    <t>501213</t>
  </si>
  <si>
    <t>501214</t>
  </si>
  <si>
    <t>501215</t>
  </si>
  <si>
    <t>501216</t>
  </si>
  <si>
    <t>501218</t>
  </si>
  <si>
    <t>501219</t>
  </si>
  <si>
    <t>501220</t>
  </si>
  <si>
    <t>501221</t>
  </si>
  <si>
    <t>501222</t>
  </si>
  <si>
    <t>501223</t>
  </si>
  <si>
    <t>501224</t>
  </si>
  <si>
    <t>501225</t>
  </si>
  <si>
    <t>501226</t>
  </si>
  <si>
    <t>501227</t>
  </si>
  <si>
    <t>501228</t>
  </si>
  <si>
    <t>501229</t>
  </si>
  <si>
    <t>501230</t>
  </si>
  <si>
    <t>501231</t>
  </si>
  <si>
    <t>501232</t>
  </si>
  <si>
    <t>501233</t>
  </si>
  <si>
    <t>501234</t>
  </si>
  <si>
    <t>501235</t>
  </si>
  <si>
    <t>501236</t>
  </si>
  <si>
    <t>501237</t>
  </si>
  <si>
    <t>501238</t>
  </si>
  <si>
    <t>501239</t>
  </si>
  <si>
    <t>501240</t>
  </si>
  <si>
    <t>501241</t>
  </si>
  <si>
    <t>501242</t>
  </si>
  <si>
    <t>501243</t>
  </si>
  <si>
    <t>501244</t>
  </si>
  <si>
    <t>501245</t>
  </si>
  <si>
    <t>501246</t>
  </si>
  <si>
    <t>501247</t>
  </si>
  <si>
    <t>501248</t>
  </si>
  <si>
    <t>501249</t>
  </si>
  <si>
    <t>501250</t>
  </si>
  <si>
    <t>501251</t>
  </si>
  <si>
    <t>501252</t>
  </si>
  <si>
    <t>501253</t>
  </si>
  <si>
    <t>501254</t>
  </si>
  <si>
    <t>501255</t>
  </si>
  <si>
    <t>501256</t>
  </si>
  <si>
    <t>501257</t>
  </si>
  <si>
    <t>501258</t>
  </si>
  <si>
    <t>501259</t>
  </si>
  <si>
    <t>501260</t>
  </si>
  <si>
    <t>501261</t>
  </si>
  <si>
    <t>501262</t>
  </si>
  <si>
    <t>501263</t>
  </si>
  <si>
    <t>501264</t>
  </si>
  <si>
    <t>501266</t>
  </si>
  <si>
    <t>501267</t>
  </si>
  <si>
    <t>501268</t>
  </si>
  <si>
    <t>501269</t>
  </si>
  <si>
    <t>501270</t>
  </si>
  <si>
    <t>501271</t>
  </si>
  <si>
    <t>548306</t>
  </si>
  <si>
    <t>548307</t>
  </si>
  <si>
    <t>548308</t>
  </si>
  <si>
    <t>548309</t>
  </si>
  <si>
    <t>548310</t>
  </si>
  <si>
    <t>548311</t>
  </si>
  <si>
    <t>548312</t>
  </si>
  <si>
    <t>548313</t>
  </si>
  <si>
    <t>548314</t>
  </si>
  <si>
    <t>548315</t>
  </si>
  <si>
    <t>548316</t>
  </si>
  <si>
    <t>548317</t>
  </si>
  <si>
    <t>548318</t>
  </si>
  <si>
    <t>548319</t>
  </si>
  <si>
    <t>548320</t>
  </si>
  <si>
    <t>548321</t>
  </si>
  <si>
    <t>548322</t>
  </si>
  <si>
    <t>548323</t>
  </si>
  <si>
    <t>548324</t>
  </si>
  <si>
    <t>548325</t>
  </si>
  <si>
    <t>548326</t>
  </si>
  <si>
    <t>548327</t>
  </si>
  <si>
    <t>548328</t>
  </si>
  <si>
    <t>548329</t>
  </si>
  <si>
    <t>548330</t>
  </si>
  <si>
    <t>548331</t>
  </si>
  <si>
    <t>548332</t>
  </si>
  <si>
    <t>548333</t>
  </si>
  <si>
    <t>548334</t>
  </si>
  <si>
    <t>548335</t>
  </si>
  <si>
    <t>548336</t>
  </si>
  <si>
    <t>548337</t>
  </si>
  <si>
    <t>548339</t>
  </si>
  <si>
    <t>548341</t>
  </si>
  <si>
    <t>548342</t>
  </si>
  <si>
    <t>548343</t>
  </si>
  <si>
    <t>548344</t>
  </si>
  <si>
    <t>548345</t>
  </si>
  <si>
    <t>548346</t>
  </si>
  <si>
    <t>548347</t>
  </si>
  <si>
    <t>548348</t>
  </si>
  <si>
    <t>548349</t>
  </si>
  <si>
    <t>548350</t>
  </si>
  <si>
    <t>548351</t>
  </si>
  <si>
    <t>548352</t>
  </si>
  <si>
    <t>548353</t>
  </si>
  <si>
    <t>548354</t>
  </si>
  <si>
    <t>548355</t>
  </si>
  <si>
    <t>548356</t>
  </si>
  <si>
    <t>548357</t>
  </si>
  <si>
    <t>548358</t>
  </si>
  <si>
    <t>548359</t>
  </si>
  <si>
    <t>548360</t>
  </si>
  <si>
    <t>548361</t>
  </si>
  <si>
    <t>548362</t>
  </si>
  <si>
    <t>548363</t>
  </si>
  <si>
    <t>548364</t>
  </si>
  <si>
    <t>548365</t>
  </si>
  <si>
    <t>548366</t>
  </si>
  <si>
    <t>548367</t>
  </si>
  <si>
    <t>548368</t>
  </si>
  <si>
    <t>548369</t>
  </si>
  <si>
    <t>548370</t>
  </si>
  <si>
    <t>548371</t>
  </si>
  <si>
    <t>548372</t>
  </si>
  <si>
    <t>548373</t>
  </si>
  <si>
    <t>548374</t>
  </si>
  <si>
    <t>548375</t>
  </si>
  <si>
    <t>548376</t>
  </si>
  <si>
    <t>548377</t>
  </si>
  <si>
    <t>548378</t>
  </si>
  <si>
    <t>548379</t>
  </si>
  <si>
    <t>548380</t>
  </si>
  <si>
    <t>548381</t>
  </si>
  <si>
    <t>597998</t>
  </si>
  <si>
    <t>597999</t>
  </si>
  <si>
    <t>598000</t>
  </si>
  <si>
    <t>598001</t>
  </si>
  <si>
    <t>598002</t>
  </si>
  <si>
    <t>598003</t>
  </si>
  <si>
    <t>598005</t>
  </si>
  <si>
    <t>598006</t>
  </si>
  <si>
    <t>598007</t>
  </si>
  <si>
    <t>598008</t>
  </si>
  <si>
    <t>598009</t>
  </si>
  <si>
    <t>598010</t>
  </si>
  <si>
    <t>598011</t>
  </si>
  <si>
    <t>598012</t>
  </si>
  <si>
    <t>598013</t>
  </si>
  <si>
    <t>598014</t>
  </si>
  <si>
    <t>598015</t>
  </si>
  <si>
    <t>598016</t>
  </si>
  <si>
    <t>598018</t>
  </si>
  <si>
    <t>598019</t>
  </si>
  <si>
    <t>598020</t>
  </si>
  <si>
    <t>598021</t>
  </si>
  <si>
    <t>598022</t>
  </si>
  <si>
    <t>598023</t>
  </si>
  <si>
    <t>598024</t>
  </si>
  <si>
    <t>598025</t>
  </si>
  <si>
    <t>598026</t>
  </si>
  <si>
    <t>598027</t>
  </si>
  <si>
    <t>598028</t>
  </si>
  <si>
    <t>598029</t>
  </si>
  <si>
    <t>598030</t>
  </si>
  <si>
    <t>598031</t>
  </si>
  <si>
    <t>598032</t>
  </si>
  <si>
    <t>598033</t>
  </si>
  <si>
    <t>598034</t>
  </si>
  <si>
    <t>598035</t>
  </si>
  <si>
    <t>598036</t>
  </si>
  <si>
    <t>598037</t>
  </si>
  <si>
    <t>598038</t>
  </si>
  <si>
    <t>598039</t>
  </si>
  <si>
    <t>598040</t>
  </si>
  <si>
    <t>598041</t>
  </si>
  <si>
    <t>598042</t>
  </si>
  <si>
    <t>598043</t>
  </si>
  <si>
    <t>598044</t>
  </si>
  <si>
    <t>598045</t>
  </si>
  <si>
    <t>598046</t>
  </si>
  <si>
    <t>598047</t>
  </si>
  <si>
    <t>598048</t>
  </si>
  <si>
    <t>598049</t>
  </si>
  <si>
    <t>598050</t>
  </si>
  <si>
    <t>598051</t>
  </si>
  <si>
    <t>598052</t>
  </si>
  <si>
    <t>598053</t>
  </si>
  <si>
    <t>598054</t>
  </si>
  <si>
    <t>598055</t>
  </si>
  <si>
    <t>598056</t>
  </si>
  <si>
    <t>598057</t>
  </si>
  <si>
    <t>598058</t>
  </si>
  <si>
    <t>598059</t>
  </si>
  <si>
    <t>598060</t>
  </si>
  <si>
    <t>598061</t>
  </si>
  <si>
    <t>598062</t>
  </si>
  <si>
    <t>598063</t>
  </si>
  <si>
    <t>598064</t>
  </si>
  <si>
    <t>598065</t>
  </si>
  <si>
    <t>598066</t>
  </si>
  <si>
    <t>598067</t>
  </si>
  <si>
    <t>598068</t>
  </si>
  <si>
    <t>598069</t>
  </si>
  <si>
    <t>598070</t>
  </si>
  <si>
    <t>598071</t>
  </si>
  <si>
    <t>598072</t>
  </si>
  <si>
    <t>598073</t>
  </si>
  <si>
    <t>729279</t>
  </si>
  <si>
    <t>729281</t>
  </si>
  <si>
    <t>Unknown</t>
  </si>
  <si>
    <t>729283</t>
  </si>
  <si>
    <t>729285</t>
  </si>
  <si>
    <t>729287</t>
  </si>
  <si>
    <t>729289</t>
  </si>
  <si>
    <t>729291</t>
  </si>
  <si>
    <t>729293</t>
  </si>
  <si>
    <t>729295</t>
  </si>
  <si>
    <t>729297</t>
  </si>
  <si>
    <t>729299</t>
  </si>
  <si>
    <t>729301</t>
  </si>
  <si>
    <t>729303</t>
  </si>
  <si>
    <t>729305</t>
  </si>
  <si>
    <t>729307</t>
  </si>
  <si>
    <t>729309</t>
  </si>
  <si>
    <t>729311</t>
  </si>
  <si>
    <t>729313</t>
  </si>
  <si>
    <t>729317</t>
  </si>
  <si>
    <t>733971</t>
  </si>
  <si>
    <t>733973</t>
  </si>
  <si>
    <t>733975</t>
  </si>
  <si>
    <t>733977</t>
  </si>
  <si>
    <t>733979</t>
  </si>
  <si>
    <t>733981</t>
  </si>
  <si>
    <t>733983</t>
  </si>
  <si>
    <t>733985</t>
  </si>
  <si>
    <t>733987</t>
  </si>
  <si>
    <t>733989</t>
  </si>
  <si>
    <t>733991</t>
  </si>
  <si>
    <t>733993</t>
  </si>
  <si>
    <t>733995</t>
  </si>
  <si>
    <t>733997</t>
  </si>
  <si>
    <t>733999</t>
  </si>
  <si>
    <t>734001</t>
  </si>
  <si>
    <t>734003</t>
  </si>
  <si>
    <t>734005</t>
  </si>
  <si>
    <t>734007</t>
  </si>
  <si>
    <t>734009</t>
  </si>
  <si>
    <t>734011</t>
  </si>
  <si>
    <t>734013</t>
  </si>
  <si>
    <t>734015</t>
  </si>
  <si>
    <t>734017</t>
  </si>
  <si>
    <t>734019</t>
  </si>
  <si>
    <t>734021</t>
  </si>
  <si>
    <t>734023</t>
  </si>
  <si>
    <t>734025</t>
  </si>
  <si>
    <t>734027</t>
  </si>
  <si>
    <t>734029</t>
  </si>
  <si>
    <t>734031</t>
  </si>
  <si>
    <t>734033</t>
  </si>
  <si>
    <t>734035</t>
  </si>
  <si>
    <t>734037</t>
  </si>
  <si>
    <t>734039</t>
  </si>
  <si>
    <t>734041</t>
  </si>
  <si>
    <t>734043</t>
  </si>
  <si>
    <t>734045</t>
  </si>
  <si>
    <t>734047</t>
  </si>
  <si>
    <t>734049</t>
  </si>
  <si>
    <t>829705</t>
  </si>
  <si>
    <t>829707</t>
  </si>
  <si>
    <t>829709</t>
  </si>
  <si>
    <t>829711</t>
  </si>
  <si>
    <t>829713</t>
  </si>
  <si>
    <t>829715</t>
  </si>
  <si>
    <t>829717</t>
  </si>
  <si>
    <t>829719</t>
  </si>
  <si>
    <t>829721</t>
  </si>
  <si>
    <t>829723</t>
  </si>
  <si>
    <t>829725</t>
  </si>
  <si>
    <t>829727</t>
  </si>
  <si>
    <t>829729</t>
  </si>
  <si>
    <t>829731</t>
  </si>
  <si>
    <t>829733</t>
  </si>
  <si>
    <t>829735</t>
  </si>
  <si>
    <t>829737</t>
  </si>
  <si>
    <t>829739</t>
  </si>
  <si>
    <t>829743</t>
  </si>
  <si>
    <t>829745</t>
  </si>
  <si>
    <t>829747</t>
  </si>
  <si>
    <t>829749</t>
  </si>
  <si>
    <t>829751</t>
  </si>
  <si>
    <t>829753</t>
  </si>
  <si>
    <t>829757</t>
  </si>
  <si>
    <t>829759</t>
  </si>
  <si>
    <t>829761</t>
  </si>
  <si>
    <t>829765</t>
  </si>
  <si>
    <t>829767</t>
  </si>
  <si>
    <t>829769</t>
  </si>
  <si>
    <t>829771</t>
  </si>
  <si>
    <t>829773</t>
  </si>
  <si>
    <t>829775</t>
  </si>
  <si>
    <t>829777</t>
  </si>
  <si>
    <t>829779</t>
  </si>
  <si>
    <t>829781</t>
  </si>
  <si>
    <t>829783</t>
  </si>
  <si>
    <t>829785</t>
  </si>
  <si>
    <t>829787</t>
  </si>
  <si>
    <t>829789</t>
  </si>
  <si>
    <t>829791</t>
  </si>
  <si>
    <t>829793</t>
  </si>
  <si>
    <t>829795</t>
  </si>
  <si>
    <t>829797</t>
  </si>
  <si>
    <t>829799</t>
  </si>
  <si>
    <t>829801</t>
  </si>
  <si>
    <t>829803</t>
  </si>
  <si>
    <t>829805</t>
  </si>
  <si>
    <t>829807</t>
  </si>
  <si>
    <t>829809</t>
  </si>
  <si>
    <t>829811</t>
  </si>
  <si>
    <t>829815</t>
  </si>
  <si>
    <t>829817</t>
  </si>
  <si>
    <t>829819</t>
  </si>
  <si>
    <t>829821</t>
  </si>
  <si>
    <t>829823</t>
  </si>
  <si>
    <t>980901</t>
  </si>
  <si>
    <t>980903</t>
  </si>
  <si>
    <t>980905</t>
  </si>
  <si>
    <t>980907</t>
  </si>
  <si>
    <t>980909</t>
  </si>
  <si>
    <t>980911</t>
  </si>
  <si>
    <t>980913</t>
  </si>
  <si>
    <t>980915</t>
  </si>
  <si>
    <t>980917</t>
  </si>
  <si>
    <t>980919</t>
  </si>
  <si>
    <t>980921</t>
  </si>
  <si>
    <t>980923</t>
  </si>
  <si>
    <t>980925</t>
  </si>
  <si>
    <t>980927</t>
  </si>
  <si>
    <t>980929</t>
  </si>
  <si>
    <t>980931</t>
  </si>
  <si>
    <t>980933</t>
  </si>
  <si>
    <t>980935</t>
  </si>
  <si>
    <t>980937</t>
  </si>
  <si>
    <t>980939</t>
  </si>
  <si>
    <t>980941</t>
  </si>
  <si>
    <t>980943</t>
  </si>
  <si>
    <t>980945</t>
  </si>
  <si>
    <t>980947</t>
  </si>
  <si>
    <t>980949</t>
  </si>
  <si>
    <t>980951</t>
  </si>
  <si>
    <t>980953</t>
  </si>
  <si>
    <t>980955</t>
  </si>
  <si>
    <t>980957</t>
  </si>
  <si>
    <t>980959</t>
  </si>
  <si>
    <t>980961</t>
  </si>
  <si>
    <t>980963</t>
  </si>
  <si>
    <t>980965</t>
  </si>
  <si>
    <t>980967</t>
  </si>
  <si>
    <t>980969</t>
  </si>
  <si>
    <t>980971</t>
  </si>
  <si>
    <t>980973</t>
  </si>
  <si>
    <t>980975</t>
  </si>
  <si>
    <t>980977</t>
  </si>
  <si>
    <t>980979</t>
  </si>
  <si>
    <t>980981</t>
  </si>
  <si>
    <t>980983</t>
  </si>
  <si>
    <t>980985</t>
  </si>
  <si>
    <t>980987</t>
  </si>
  <si>
    <t>980989</t>
  </si>
  <si>
    <t>980991</t>
  </si>
  <si>
    <t>980993</t>
  </si>
  <si>
    <t>980995</t>
  </si>
  <si>
    <t>980997</t>
  </si>
  <si>
    <t>980999</t>
  </si>
  <si>
    <t>981001</t>
  </si>
  <si>
    <t>981003</t>
  </si>
  <si>
    <t>981005</t>
  </si>
  <si>
    <t>981007</t>
  </si>
  <si>
    <t>981009</t>
  </si>
  <si>
    <t>981011</t>
  </si>
  <si>
    <t>981013</t>
  </si>
  <si>
    <t>981015</t>
  </si>
  <si>
    <t>981017</t>
  </si>
  <si>
    <t>981019</t>
  </si>
  <si>
    <t>1082591</t>
  </si>
  <si>
    <t>1082592</t>
  </si>
  <si>
    <t>1082593</t>
  </si>
  <si>
    <t>1082594</t>
  </si>
  <si>
    <t>1082595</t>
  </si>
  <si>
    <t>1082596</t>
  </si>
  <si>
    <t>1082597</t>
  </si>
  <si>
    <t>1082598</t>
  </si>
  <si>
    <t>1082599</t>
  </si>
  <si>
    <t>1082600</t>
  </si>
  <si>
    <t>1082601</t>
  </si>
  <si>
    <t>1082602</t>
  </si>
  <si>
    <t>1082603</t>
  </si>
  <si>
    <t>1082604</t>
  </si>
  <si>
    <t>1082605</t>
  </si>
  <si>
    <t>1082606</t>
  </si>
  <si>
    <t>1082607</t>
  </si>
  <si>
    <t>1082608</t>
  </si>
  <si>
    <t>1082609</t>
  </si>
  <si>
    <t>1082610</t>
  </si>
  <si>
    <t>1082611</t>
  </si>
  <si>
    <t>1082612</t>
  </si>
  <si>
    <t>1082613</t>
  </si>
  <si>
    <t>1082614</t>
  </si>
  <si>
    <t>1082615</t>
  </si>
  <si>
    <t>1082616</t>
  </si>
  <si>
    <t>1082617</t>
  </si>
  <si>
    <t>1082618</t>
  </si>
  <si>
    <t>1082620</t>
  </si>
  <si>
    <t>1082621</t>
  </si>
  <si>
    <t>1082622</t>
  </si>
  <si>
    <t>1082623</t>
  </si>
  <si>
    <t>1082624</t>
  </si>
  <si>
    <t>1082626</t>
  </si>
  <si>
    <t>1082627</t>
  </si>
  <si>
    <t>1082628</t>
  </si>
  <si>
    <t>1082629</t>
  </si>
  <si>
    <t>1082630</t>
  </si>
  <si>
    <t>1082631</t>
  </si>
  <si>
    <t>1082632</t>
  </si>
  <si>
    <t>1082633</t>
  </si>
  <si>
    <t>1082634</t>
  </si>
  <si>
    <t>1082635</t>
  </si>
  <si>
    <t>1082636</t>
  </si>
  <si>
    <t>1082637</t>
  </si>
  <si>
    <t>1082638</t>
  </si>
  <si>
    <t>1082639</t>
  </si>
  <si>
    <t>1082640</t>
  </si>
  <si>
    <t>1082641</t>
  </si>
  <si>
    <t>1082642</t>
  </si>
  <si>
    <t>1082643</t>
  </si>
  <si>
    <t>1082644</t>
  </si>
  <si>
    <t>1082645</t>
  </si>
  <si>
    <t>1082646</t>
  </si>
  <si>
    <t>1082647</t>
  </si>
  <si>
    <t>1082648</t>
  </si>
  <si>
    <t>1082649</t>
  </si>
  <si>
    <t>1082650</t>
  </si>
  <si>
    <t>1136561</t>
  </si>
  <si>
    <t>1136562</t>
  </si>
  <si>
    <t>1136563</t>
  </si>
  <si>
    <t>1136564</t>
  </si>
  <si>
    <t>1136565</t>
  </si>
  <si>
    <t>1136566</t>
  </si>
  <si>
    <t>1136567</t>
  </si>
  <si>
    <t>1136568</t>
  </si>
  <si>
    <t>1136569</t>
  </si>
  <si>
    <t>1136570</t>
  </si>
  <si>
    <t>1136571</t>
  </si>
  <si>
    <t>1136572</t>
  </si>
  <si>
    <t>1136573</t>
  </si>
  <si>
    <t>1136574</t>
  </si>
  <si>
    <t>1136575</t>
  </si>
  <si>
    <t>1136576</t>
  </si>
  <si>
    <t>1136577</t>
  </si>
  <si>
    <t>1136578</t>
  </si>
  <si>
    <t>1136579</t>
  </si>
  <si>
    <t>1136580</t>
  </si>
  <si>
    <t>1136581</t>
  </si>
  <si>
    <t>1136582</t>
  </si>
  <si>
    <t>1136583</t>
  </si>
  <si>
    <t>1136584</t>
  </si>
  <si>
    <t>1136585</t>
  </si>
  <si>
    <t>1136586</t>
  </si>
  <si>
    <t>1136587</t>
  </si>
  <si>
    <t>1136588</t>
  </si>
  <si>
    <t>1136589</t>
  </si>
  <si>
    <t>1136590</t>
  </si>
  <si>
    <t>1136591</t>
  </si>
  <si>
    <t>1136592</t>
  </si>
  <si>
    <t>1136593</t>
  </si>
  <si>
    <t>1136594</t>
  </si>
  <si>
    <t>1136595</t>
  </si>
  <si>
    <t>1136596</t>
  </si>
  <si>
    <t>1136597</t>
  </si>
  <si>
    <t>1136598</t>
  </si>
  <si>
    <t>1136599</t>
  </si>
  <si>
    <t>1136600</t>
  </si>
  <si>
    <t>1136601</t>
  </si>
  <si>
    <t>1136602</t>
  </si>
  <si>
    <t>1136603</t>
  </si>
  <si>
    <t>1136604</t>
  </si>
  <si>
    <t>1136605</t>
  </si>
  <si>
    <t>1136606</t>
  </si>
  <si>
    <t>1136607</t>
  </si>
  <si>
    <t>1136608</t>
  </si>
  <si>
    <t>1136609</t>
  </si>
  <si>
    <t>1136610</t>
  </si>
  <si>
    <t>1136611</t>
  </si>
  <si>
    <t>1136612</t>
  </si>
  <si>
    <t>1136613</t>
  </si>
  <si>
    <t>1136614</t>
  </si>
  <si>
    <t>1136615</t>
  </si>
  <si>
    <t>1136616</t>
  </si>
  <si>
    <t>1136617</t>
  </si>
  <si>
    <t>1136618</t>
  </si>
  <si>
    <t>1136619</t>
  </si>
  <si>
    <t>1136620</t>
  </si>
  <si>
    <t>1175356</t>
  </si>
  <si>
    <t>1175357</t>
  </si>
  <si>
    <t>1175358</t>
  </si>
  <si>
    <t>1175359</t>
  </si>
  <si>
    <t>1175360</t>
  </si>
  <si>
    <t>1175361</t>
  </si>
  <si>
    <t>1175362</t>
  </si>
  <si>
    <t>1175363</t>
  </si>
  <si>
    <t>1175364</t>
  </si>
  <si>
    <t>1175366</t>
  </si>
  <si>
    <t>1175367</t>
  </si>
  <si>
    <t>1175368</t>
  </si>
  <si>
    <t>1175369</t>
  </si>
  <si>
    <t>1175370</t>
  </si>
  <si>
    <t>1175371</t>
  </si>
  <si>
    <t>1175372</t>
  </si>
  <si>
    <t>1178393</t>
  </si>
  <si>
    <t>1178394</t>
  </si>
  <si>
    <t>1178395</t>
  </si>
  <si>
    <t>1178396</t>
  </si>
  <si>
    <t>1178397</t>
  </si>
  <si>
    <t>1178398</t>
  </si>
  <si>
    <t>1178399</t>
  </si>
  <si>
    <t>1178400</t>
  </si>
  <si>
    <t>1178401</t>
  </si>
  <si>
    <t>1178402</t>
  </si>
  <si>
    <t>1178403</t>
  </si>
  <si>
    <t>1178404</t>
  </si>
  <si>
    <t>1178405</t>
  </si>
  <si>
    <t>1178406</t>
  </si>
  <si>
    <t>1178407</t>
  </si>
  <si>
    <t>1178408</t>
  </si>
  <si>
    <t>1178409</t>
  </si>
  <si>
    <t>1178410</t>
  </si>
  <si>
    <t>1178411</t>
  </si>
  <si>
    <t>1178412</t>
  </si>
  <si>
    <t>1178413</t>
  </si>
  <si>
    <t>1178414</t>
  </si>
  <si>
    <t>1178415</t>
  </si>
  <si>
    <t>1178416</t>
  </si>
  <si>
    <t>1178417</t>
  </si>
  <si>
    <t>1178418</t>
  </si>
  <si>
    <t>1178419</t>
  </si>
  <si>
    <t>1178420</t>
  </si>
  <si>
    <t>1178421</t>
  </si>
  <si>
    <t>1178422</t>
  </si>
  <si>
    <t>1178423</t>
  </si>
  <si>
    <t>1178425</t>
  </si>
  <si>
    <t>1178427</t>
  </si>
  <si>
    <t>1178428</t>
  </si>
  <si>
    <t>1178429</t>
  </si>
  <si>
    <t>1178430</t>
  </si>
  <si>
    <t>1178431</t>
  </si>
  <si>
    <t>1181764</t>
  </si>
  <si>
    <t>1181766</t>
  </si>
  <si>
    <t>1181767</t>
  </si>
  <si>
    <t>1181768</t>
  </si>
  <si>
    <t>1216492</t>
  </si>
  <si>
    <t>1216494</t>
  </si>
  <si>
    <t>1216495</t>
  </si>
  <si>
    <t>1216496</t>
  </si>
  <si>
    <t>1216497</t>
  </si>
  <si>
    <t>1216498</t>
  </si>
  <si>
    <t>1216499</t>
  </si>
  <si>
    <t>1216500</t>
  </si>
  <si>
    <t>1216501</t>
  </si>
  <si>
    <t>1216502</t>
  </si>
  <si>
    <t>1216503</t>
  </si>
  <si>
    <t>1216504</t>
  </si>
  <si>
    <t>1216505</t>
  </si>
  <si>
    <t>1216506</t>
  </si>
  <si>
    <t>1216507</t>
  </si>
  <si>
    <t>1216508</t>
  </si>
  <si>
    <t>1216509</t>
  </si>
  <si>
    <t>1216510</t>
  </si>
  <si>
    <t>1216511</t>
  </si>
  <si>
    <t>1216513</t>
  </si>
  <si>
    <t>1216514</t>
  </si>
  <si>
    <t>1216515</t>
  </si>
  <si>
    <t>1216516</t>
  </si>
  <si>
    <t>1216518</t>
  </si>
  <si>
    <t>1216519</t>
  </si>
  <si>
    <t>1216520</t>
  </si>
  <si>
    <t>1216521</t>
  </si>
  <si>
    <t>1216522</t>
  </si>
  <si>
    <t>1216523</t>
  </si>
  <si>
    <t>1216524</t>
  </si>
  <si>
    <t>1216525</t>
  </si>
  <si>
    <t>1216526</t>
  </si>
  <si>
    <t>1216527</t>
  </si>
  <si>
    <t>1216528</t>
  </si>
  <si>
    <t>1216529</t>
  </si>
  <si>
    <t>1216530</t>
  </si>
  <si>
    <t>1216531</t>
  </si>
  <si>
    <t>1216532</t>
  </si>
  <si>
    <t>1216533</t>
  </si>
  <si>
    <t>1216534</t>
  </si>
  <si>
    <t>1216535</t>
  </si>
  <si>
    <t>1216536</t>
  </si>
  <si>
    <t>1216537</t>
  </si>
  <si>
    <t>1216538</t>
  </si>
  <si>
    <t>1216539</t>
  </si>
  <si>
    <t>1216540</t>
  </si>
  <si>
    <t>1216541</t>
  </si>
  <si>
    <t>1216542</t>
  </si>
  <si>
    <t>1216543</t>
  </si>
  <si>
    <t>1216544</t>
  </si>
  <si>
    <t>1216545</t>
  </si>
  <si>
    <t>1216546</t>
  </si>
  <si>
    <t>1237177</t>
  </si>
  <si>
    <t>1237178</t>
  </si>
  <si>
    <t>1237180</t>
  </si>
  <si>
    <t>1237181</t>
  </si>
  <si>
    <t>Count of ID</t>
  </si>
  <si>
    <t>Grand Total</t>
  </si>
  <si>
    <t>Row Labels</t>
  </si>
  <si>
    <t>Count of Winner</t>
  </si>
  <si>
    <t>Count of Player of the Match</t>
  </si>
  <si>
    <t>Count of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</si>
</sst>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[IPL_Analytics_Dashboard.xlsx]Most Frequent Umpires!PivotTable1</c:name>
    <c:fmtId val="9"/>
  </c:pivotSource>
  <c:chart>
    <c:title>
      <c:tx>
        <c:rich>
          <a:bodyPr rot="0" spcFirstLastPara="1" vertOverflow="ellipsis" vert="horz" wrap="square" anchor="ctr" anchorCtr="1"/>
          <a:lstStyle/>
          <a:p>
            <a:pPr>
              <a:defRPr sz="1400" b="1" i="0" u="none" strike="noStrike" kern="1200" spc="0" baseline="0">
                <a:solidFill>
                  <a:schemeClr val="dk1"/>
                </a:solidFill>
                <a:latin typeface="Arial Black" panose="020B0A04020102020204" pitchFamily="34" charset="0"/>
                <a:ea typeface="+mn-ea"/>
                <a:cs typeface="+mn-cs"/>
              </a:defRPr>
            </a:pPr>
            <a:r>
              <a:rPr lang="en-US" b="1">
                <a:latin typeface="Arial Black" panose="020B0A04020102020204" pitchFamily="34" charset="0"/>
              </a:rPr>
              <a:t>Most</a:t>
            </a:r>
            <a:r>
              <a:rPr lang="en-US" b="1" baseline="0">
                <a:latin typeface="Arial Black" panose="020B0A04020102020204" pitchFamily="34" charset="0"/>
              </a:rPr>
              <a:t> Frequent </a:t>
            </a:r>
            <a:r>
              <a:rPr lang="en-US" b="1">
                <a:latin typeface="Arial Black" panose="020B0A04020102020204" pitchFamily="34" charset="0"/>
              </a:rPr>
              <a:t>Umpires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Frequent Umpires'!$B$1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Frequent Umpires'!$A$2:$A$9</c:f>
              <c:strCache>
                <c:ptCount val="7"/>
                <c:pt idx="0">
                  <c:v>S Ravi</c:v>
                </c:pt>
                <c:pt idx="1">
                  <c:v>M Erasmus</c:v>
                </c:pt>
                <c:pt idx="2">
                  <c:v>HDPK Dharmasena</c:v>
                </c:pt>
                <c:pt idx="3">
                  <c:v>BF Bowden</c:v>
                </c:pt>
                <c:pt idx="4">
                  <c:v>Asad Rauf</c:v>
                </c:pt>
                <c:pt idx="5">
                  <c:v>Aleem Dar</c:v>
                </c:pt>
                <c:pt idx="6">
                  <c:v>AK Chaudhary</c:v>
                </c:pt>
              </c:strCache>
            </c:strRef>
          </c:cat>
          <c:val>
            <c:numRef>
              <c:f>'Most Frequent Umpires'!$B$2:$B$9</c:f>
              <c:numCache>
                <c:formatCode>General</c:formatCode>
                <c:ptCount val="7"/>
                <c:pt idx="0">
                  <c:v>37</c:v>
                </c:pt>
                <c:pt idx="1">
                  <c:v>38</c:v>
                </c:pt>
                <c:pt idx="2">
                  <c:v>77</c:v>
                </c:pt>
                <c:pt idx="3">
                  <c:v>37</c:v>
                </c:pt>
                <c:pt idx="4">
                  <c:v>51</c:v>
                </c:pt>
                <c:pt idx="5">
                  <c:v>37</c:v>
                </c:pt>
                <c:pt idx="6">
                  <c:v>53</c:v>
                </c:pt>
              </c:numCache>
            </c:numRef>
          </c:val>
          <c:extLst>
            <c:ext xmlns:c16="http://schemas.microsoft.com/office/drawing/2014/chart" uri="{C3380CC4-5D6E-409C-BE32-E72D297353CC}">
              <c16:uniqueId val="{00000000-D70E-46AD-9B98-F3B90808F719}"/>
            </c:ext>
          </c:extLst>
        </c:ser>
        <c:dLbls>
          <c:dLblPos val="outEnd"/>
          <c:showLegendKey val="0"/>
          <c:showVal val="1"/>
          <c:showCatName val="0"/>
          <c:showSerName val="0"/>
          <c:showPercent val="0"/>
          <c:showBubbleSize val="0"/>
        </c:dLbls>
        <c:gapWidth val="182"/>
        <c:axId val="368502224"/>
        <c:axId val="368503312"/>
      </c:barChart>
      <c:catAx>
        <c:axId val="3685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8503312"/>
        <c:crosses val="autoZero"/>
        <c:auto val="1"/>
        <c:lblAlgn val="ctr"/>
        <c:lblOffset val="100"/>
        <c:noMultiLvlLbl val="0"/>
      </c:catAx>
      <c:valAx>
        <c:axId val="368503312"/>
        <c:scaling>
          <c:orientation val="minMax"/>
        </c:scaling>
        <c:delete val="1"/>
        <c:axPos val="b"/>
        <c:numFmt formatCode="General" sourceLinked="1"/>
        <c:majorTickMark val="none"/>
        <c:minorTickMark val="none"/>
        <c:tickLblPos val="nextTo"/>
        <c:crossAx val="368502224"/>
        <c:crosses val="autoZero"/>
        <c:crossBetween val="between"/>
      </c:valAx>
      <c:spPr>
        <a:noFill/>
        <a:ln>
          <a:noFill/>
        </a:ln>
        <a:effectLst/>
      </c:spPr>
    </c:plotArea>
    <c:plotVisOnly val="1"/>
    <c:dispBlanksAs val="gap"/>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[IPL_Analytics_Dashboard.xlsx]Top players!PivotTable6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4339457567804E-2"/>
          <c:y val="0.15147546197683814"/>
          <c:w val="0.88533267716535435"/>
          <c:h val="0.60669186351706039"/>
        </c:manualLayout>
      </c:layout>
      <c:barChart>
        <c:barDir val="col"/>
        <c:grouping val="clustered"/>
        <c:varyColors val="0"/>
        <c:ser>
          <c:idx val="0"/>
          <c:order val="0"/>
          <c:tx>
            <c:strRef>
              <c:f>'Top players'!$B$3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players'!$A$4:$A$16</c:f>
              <c:strCache>
                <c:ptCount val="12"/>
                <c:pt idx="0">
                  <c:v>AB de Villiers</c:v>
                </c:pt>
                <c:pt idx="1">
                  <c:v>AM Rahane</c:v>
                </c:pt>
                <c:pt idx="2">
                  <c:v>CH Gayle</c:v>
                </c:pt>
                <c:pt idx="3">
                  <c:v>DA Warner</c:v>
                </c:pt>
                <c:pt idx="4">
                  <c:v>G Gambhir</c:v>
                </c:pt>
                <c:pt idx="5">
                  <c:v>MEK Hussey</c:v>
                </c:pt>
                <c:pt idx="6">
                  <c:v>MS Dhoni</c:v>
                </c:pt>
                <c:pt idx="7">
                  <c:v>RG Sharma</c:v>
                </c:pt>
                <c:pt idx="8">
                  <c:v>SK Raina</c:v>
                </c:pt>
                <c:pt idx="9">
                  <c:v>SR Watson</c:v>
                </c:pt>
                <c:pt idx="10">
                  <c:v>V Kohli</c:v>
                </c:pt>
                <c:pt idx="11">
                  <c:v>YK Pathan</c:v>
                </c:pt>
              </c:strCache>
            </c:strRef>
          </c:cat>
          <c:val>
            <c:numRef>
              <c:f>'Top players'!$B$4:$B$16</c:f>
              <c:numCache>
                <c:formatCode>General</c:formatCode>
                <c:ptCount val="12"/>
                <c:pt idx="0">
                  <c:v>22</c:v>
                </c:pt>
                <c:pt idx="1">
                  <c:v>12</c:v>
                </c:pt>
                <c:pt idx="2">
                  <c:v>22</c:v>
                </c:pt>
                <c:pt idx="3">
                  <c:v>17</c:v>
                </c:pt>
                <c:pt idx="4">
                  <c:v>13</c:v>
                </c:pt>
                <c:pt idx="5">
                  <c:v>12</c:v>
                </c:pt>
                <c:pt idx="6">
                  <c:v>17</c:v>
                </c:pt>
                <c:pt idx="7">
                  <c:v>18</c:v>
                </c:pt>
                <c:pt idx="8">
                  <c:v>14</c:v>
                </c:pt>
                <c:pt idx="9">
                  <c:v>16</c:v>
                </c:pt>
                <c:pt idx="10">
                  <c:v>12</c:v>
                </c:pt>
                <c:pt idx="11">
                  <c:v>15</c:v>
                </c:pt>
              </c:numCache>
            </c:numRef>
          </c:val>
          <c:extLst>
            <c:ext xmlns:c16="http://schemas.microsoft.com/office/drawing/2014/chart" uri="{C3380CC4-5D6E-409C-BE32-E72D297353CC}">
              <c16:uniqueId val="{00000000-8389-4DE5-BA43-400B155CB268}"/>
            </c:ext>
          </c:extLst>
        </c:ser>
        <c:dLbls>
          <c:dLblPos val="outEnd"/>
          <c:showLegendKey val="0"/>
          <c:showVal val="1"/>
          <c:showCatName val="0"/>
          <c:showSerName val="0"/>
          <c:showPercent val="0"/>
          <c:showBubbleSize val="0"/>
        </c:dLbls>
        <c:gapWidth val="219"/>
        <c:overlap val="-27"/>
        <c:axId val="368503856"/>
        <c:axId val="368504944"/>
      </c:barChart>
      <c:catAx>
        <c:axId val="368503856"/>
        <c:scaling>
          <c:orientation val="minMax"/>
        </c:scaling>
        <c:delete val="0"/>
        <c:axPos val="b"/>
        <c:title>
          <c:tx>
            <c:rich>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Arial Black" panose="020B0A04020102020204" pitchFamily="34" charset="0"/>
                    <a:ea typeface="+mn-ea"/>
                    <a:cs typeface="+mn-cs"/>
                  </a:defRPr>
                </a:pPr>
                <a:r>
                  <a:rPr lang="en-IN" sz="1400" b="1" i="0">
                    <a:latin typeface="Arial Black" panose="020B0A04020102020204" pitchFamily="34" charset="0"/>
                  </a:rPr>
                  <a:t>Top 10 Players of the Match </a:t>
                </a:r>
              </a:p>
            </c:rich>
          </c:tx>
          <c:layout>
            <c:manualLayout>
              <c:xMode val="edge"/>
              <c:yMode val="edge"/>
              <c:x val="0.42070866141732283"/>
              <c:y val="4.2744130715246582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504944"/>
        <c:crosses val="autoZero"/>
        <c:auto val="1"/>
        <c:lblAlgn val="ctr"/>
        <c:lblOffset val="100"/>
        <c:noMultiLvlLbl val="0"/>
      </c:catAx>
      <c:valAx>
        <c:axId val="368504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50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[IPL_Analytics_Dashboard.xlsx]Toss Decision Priority!PivotTable5</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IN" b="1">
                <a:latin typeface="Arial Black" panose="020B0A04020102020204" pitchFamily="34" charset="0"/>
              </a:rPr>
              <a:t>Toss</a:t>
            </a:r>
            <a:r>
              <a:rPr lang="en-IN" b="1" baseline="0">
                <a:latin typeface="Arial Black" panose="020B0A04020102020204" pitchFamily="34" charset="0"/>
              </a:rPr>
              <a:t> Decision Priority</a:t>
            </a:r>
            <a:endParaRPr lang="en-IN"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'Toss Decision Priority'!$B$3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E46-4468-B37F-C1813C9F60C3}"/>
              </c:ext>
            </c:extLst>
          </c:dPt>
          <c:dPt>
            <c:idx val="1"/>
            <c:bubble3D val="0"/>
            <c:spPr>
              <a:solidFill>
                <a:schemeClr val="accent2"/>
              </a:solidFill>
              <a:ln>
                <a:noFill/>
              </a:ln>
              <a:effectLst/>
            </c:spPr>
            <c:extLst>
              <c:ext xmlns:c16="http://schemas.microsoft.com/office/drawing/2014/chart" uri="{C3380CC4-5D6E-409C-BE32-E72D297353CC}">
                <c16:uniqueId val="{00000003-5E46-4468-B37F-C1813C9F60C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'Toss Decision Priority'!$A$4:$A$6</c:f>
              <c:strCache>
                <c:ptCount val="2"/>
                <c:pt idx="0">
                  <c:v>bat</c:v>
                </c:pt>
                <c:pt idx="1">
                  <c:v>field</c:v>
                </c:pt>
              </c:strCache>
            </c:strRef>
          </c:cat>
          <c:val>
            <c:numRef>
              <c:f>'Toss Decision Priority'!$B$4:$B$6</c:f>
              <c:numCache>
                <c:formatCode>General</c:formatCode>
                <c:ptCount val="2"/>
                <c:pt idx="0">
                  <c:v>314</c:v>
                </c:pt>
                <c:pt idx="1">
                  <c:v>485</c:v>
                </c:pt>
              </c:numCache>
            </c:numRef>
          </c:val>
          <c:extLst>
            <c:ext xmlns:c16="http://schemas.microsoft.com/office/drawing/2014/chart" uri="{C3380CC4-5D6E-409C-BE32-E72D297353CC}">
              <c16:uniqueId val="{00000000-5DB6-4153-A833-D1AAAE5BE5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[IPL_Analytics_Dashboard.xlsx]Mode of Wins!PivotTable2</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Mode of</a:t>
            </a:r>
            <a:r>
              <a:rPr lang="en-US" b="1" baseline="0">
                <a:latin typeface="Arial Black" panose="020B0A04020102020204" pitchFamily="34" charset="0"/>
              </a:rPr>
              <a:t> </a:t>
            </a:r>
            <a:r>
              <a:rPr lang="en-US" b="1">
                <a:latin typeface="Arial Black" panose="020B0A04020102020204" pitchFamily="34" charset="0"/>
              </a:rPr>
              <a:t>Wins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barChart>
        <c:barDir val="col"/>
        <c:grouping val="clustered"/>
        <c:varyColors val="0"/>
        <c:ser>
          <c:idx val="0"/>
          <c:order val="0"/>
          <c:tx>
            <c:strRef>
              <c:f>'Mode of Wins'!$B$3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1A8-4134-8BE3-260788F76393}"/>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1A8-4134-8BE3-260788F763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'Mode of Wins'!$A$4:$A$6</c:f>
              <c:strCache>
                <c:ptCount val="2"/>
                <c:pt idx="0">
                  <c:v>Batting First</c:v>
                </c:pt>
                <c:pt idx="1">
                  <c:v>Chasing</c:v>
                </c:pt>
              </c:strCache>
            </c:strRef>
          </c:cat>
          <c:val>
            <c:numRef>
              <c:f>'Mode of Wins'!$B$4:$B$6</c:f>
              <c:numCache>
                <c:formatCode>General</c:formatCode>
                <c:ptCount val="2"/>
                <c:pt idx="0">
                  <c:v>364</c:v>
                </c:pt>
                <c:pt idx="1">
                  <c:v>435</c:v>
                </c:pt>
              </c:numCache>
            </c:numRef>
          </c:val>
          <c:extLst>
            <c:ext xmlns:c16="http://schemas.microsoft.com/office/drawing/2014/chart" uri="{C3380CC4-5D6E-409C-BE32-E72D297353CC}">
              <c16:uniqueId val="{00000000-5E52-4563-AA14-D54BE1C07099}"/>
            </c:ext>
          </c:extLst>
        </c:ser>
        <c:dLbls>
          <c:showLegendKey val="0"/>
          <c:showVal val="0"/>
          <c:showCatName val="0"/>
          <c:showSerName val="0"/>
          <c:showPercent val="0"/>
          <c:showBubbleSize val="0"/>
        </c:dLbls>
        <c:gapWidth val="100"/>
        <c:axId val="368493520"/>
        <c:axId val="368501136"/>
      </c:barChart>
      <c:valAx>
        <c:axId val="368501136"/>
        <c:scaling>
          <c:orientation val="minMax"/>
        </c:scaling>
        <c:delete val="1"/>
        <c:axPos val="l"/>
        <c:numFmt formatCode="General" sourceLinked="1"/>
        <c:majorTickMark val="out"/>
        <c:minorTickMark val="none"/>
        <c:tickLblPos val="nextTo"/>
        <c:crossAx val="368493520"/>
        <c:crosses val="autoZero"/>
        <c:crossBetween val="between"/>
      </c:valAx>
      <c:catAx>
        <c:axId val="368493520"/>
        <c:scaling>
          <c:orientation val="minMax"/>
        </c:scaling>
        <c:delete val="1"/>
        <c:axPos val="b"/>
        <c:numFmt formatCode="General" sourceLinked="1"/>
        <c:majorTickMark val="out"/>
        <c:minorTickMark val="none"/>
        <c:tickLblPos val="nextTo"/>
        <c:crossAx val="3685011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[IPL_Analytics_Dashboard.xlsx]Team Wise Perfomance !PivotTable1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Team</a:t>
            </a:r>
            <a:r>
              <a:rPr lang="en-US" b="1" baseline="0">
                <a:latin typeface="Arial Black" panose="020B0A04020102020204" pitchFamily="34" charset="0"/>
              </a:rPr>
              <a:t> Wise Performance (No. of Wins)</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08056867255583E-2"/>
          <c:y val="0.15499676234501739"/>
          <c:w val="0.96224796224796227"/>
          <c:h val="0.67554301231320057"/>
        </c:manualLayout>
      </c:layout>
      <c:lineChart>
        <c:grouping val="stacked"/>
        <c:varyColors val="0"/>
        <c:ser>
          <c:idx val="0"/>
          <c:order val="0"/>
          <c:tx>
            <c:strRef>
              <c:f>'Team Wise Perfomance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Wise Perfomance '!$A$4:$A$17</c:f>
              <c:strCache>
                <c:ptCount val="13"/>
                <c:pt idx="0">
                  <c:v>Chennai Super Kings</c:v>
                </c:pt>
                <c:pt idx="1">
                  <c:v>Deccan Chargers</c:v>
                </c:pt>
                <c:pt idx="2">
                  <c:v>Delhi Capitals</c:v>
                </c:pt>
                <c:pt idx="3">
                  <c:v>Gujarat Lions</c:v>
                </c:pt>
                <c:pt idx="4">
                  <c:v>Kochi Tuskers Kerala</c:v>
                </c:pt>
                <c:pt idx="5">
                  <c:v>Kolkata Knight Riders</c:v>
                </c:pt>
                <c:pt idx="6">
                  <c:v>Mumbai Indians</c:v>
                </c:pt>
                <c:pt idx="7">
                  <c:v>Pune Warriors</c:v>
                </c:pt>
                <c:pt idx="8">
                  <c:v>Punjab Kings</c:v>
                </c:pt>
                <c:pt idx="9">
                  <c:v>Rajasthan Royals</c:v>
                </c:pt>
                <c:pt idx="10">
                  <c:v>Rising Pune Supergiant</c:v>
                </c:pt>
                <c:pt idx="11">
                  <c:v>Royal Challengers Bangalore</c:v>
                </c:pt>
                <c:pt idx="12">
                  <c:v>Sunrisers Hyderabad</c:v>
                </c:pt>
              </c:strCache>
            </c:strRef>
          </c:cat>
          <c:val>
            <c:numRef>
              <c:f>'Team Wise Perfomance '!$B$4:$B$17</c:f>
              <c:numCache>
                <c:formatCode>General</c:formatCode>
                <c:ptCount val="13"/>
                <c:pt idx="0">
                  <c:v>93</c:v>
                </c:pt>
                <c:pt idx="1">
                  <c:v>39</c:v>
                </c:pt>
                <c:pt idx="2">
                  <c:v>99</c:v>
                </c:pt>
                <c:pt idx="3">
                  <c:v>15</c:v>
                </c:pt>
                <c:pt idx="4">
                  <c:v>7</c:v>
                </c:pt>
                <c:pt idx="5">
                  <c:v>92</c:v>
                </c:pt>
                <c:pt idx="6">
                  <c:v>95</c:v>
                </c:pt>
                <c:pt idx="7">
                  <c:v>23</c:v>
                </c:pt>
                <c:pt idx="8">
                  <c:v>92</c:v>
                </c:pt>
                <c:pt idx="9">
                  <c:v>69</c:v>
                </c:pt>
                <c:pt idx="10">
                  <c:v>14</c:v>
                </c:pt>
                <c:pt idx="11">
                  <c:v>103</c:v>
                </c:pt>
                <c:pt idx="12">
                  <c:v>58</c:v>
                </c:pt>
              </c:numCache>
            </c:numRef>
          </c:val>
          <c:smooth val="0"/>
          <c:extLst>
            <c:ext xmlns:c16="http://schemas.microsoft.com/office/drawing/2014/chart" uri="{C3380CC4-5D6E-409C-BE32-E72D297353CC}">
              <c16:uniqueId val="{00000000-CBD0-4B30-9F28-18D7679E44CA}"/>
            </c:ext>
          </c:extLst>
        </c:ser>
        <c:dLbls>
          <c:showLegendKey val="0"/>
          <c:showVal val="1"/>
          <c:showCatName val="0"/>
          <c:showSerName val="0"/>
          <c:showPercent val="0"/>
          <c:showBubbleSize val="0"/>
        </c:dLbls>
        <c:marker val="1"/>
        <c:smooth val="0"/>
        <c:axId val="368498416"/>
        <c:axId val="368506576"/>
      </c:lineChart>
      <c:catAx>
        <c:axId val="36849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506576"/>
        <c:crosses val="autoZero"/>
        <c:auto val="1"/>
        <c:lblAlgn val="ctr"/>
        <c:lblOffset val="100"/>
        <c:noMultiLvlLbl val="0"/>
      </c:catAx>
      <c:valAx>
        <c:axId val="368506576"/>
        <c:scaling>
          <c:orientation val="minMax"/>
        </c:scaling>
        <c:delete val="1"/>
        <c:axPos val="l"/>
        <c:numFmt formatCode="General" sourceLinked="1"/>
        <c:majorTickMark val="none"/>
        <c:minorTickMark val="none"/>
        <c:tickLblPos val="nextTo"/>
        <c:crossAx val="36849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[IPL_Analytics_Dashboard.xlsx]Matches per Season!PivotTable4</c:name>
    <c:fmtId val="2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per Season'!$B$1:$B$2</c:f>
              <c:strCache>
                <c:ptCount val="1"/>
                <c:pt idx="0">
                  <c:v>Batting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per Season'!$A$3:$A$16</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'Matches per Season'!$B$3:$B$16</c:f>
              <c:numCache>
                <c:formatCode>General</c:formatCode>
                <c:ptCount val="13"/>
                <c:pt idx="0">
                  <c:v>24</c:v>
                </c:pt>
                <c:pt idx="1">
                  <c:v>27</c:v>
                </c:pt>
                <c:pt idx="2">
                  <c:v>31</c:v>
                </c:pt>
                <c:pt idx="3">
                  <c:v>33</c:v>
                </c:pt>
                <c:pt idx="4">
                  <c:v>34</c:v>
                </c:pt>
                <c:pt idx="5">
                  <c:v>37</c:v>
                </c:pt>
                <c:pt idx="6">
                  <c:v>22</c:v>
                </c:pt>
                <c:pt idx="7">
                  <c:v>32</c:v>
                </c:pt>
                <c:pt idx="8">
                  <c:v>21</c:v>
                </c:pt>
                <c:pt idx="9">
                  <c:v>26</c:v>
                </c:pt>
                <c:pt idx="10">
                  <c:v>28</c:v>
                </c:pt>
                <c:pt idx="11">
                  <c:v>22</c:v>
                </c:pt>
                <c:pt idx="12">
                  <c:v>27</c:v>
                </c:pt>
              </c:numCache>
            </c:numRef>
          </c:val>
          <c:extLst>
            <c:ext xmlns:c16="http://schemas.microsoft.com/office/drawing/2014/chart" uri="{C3380CC4-5D6E-409C-BE32-E72D297353CC}">
              <c16:uniqueId val="{00000000-C214-4A0D-AE8F-31C6C1F0F633}"/>
            </c:ext>
          </c:extLst>
        </c:ser>
        <c:ser>
          <c:idx val="1"/>
          <c:order val="1"/>
          <c:tx>
            <c:strRef>
              <c:f>'Matches per Season'!$C$1:$C$2</c:f>
              <c:strCache>
                <c:ptCount val="1"/>
                <c:pt idx="0">
                  <c:v>Chasing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per Season'!$A$3:$A$16</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'Matches per Season'!$C$3:$C$16</c:f>
              <c:numCache>
                <c:formatCode>General</c:formatCode>
                <c:ptCount val="13"/>
                <c:pt idx="0">
                  <c:v>34</c:v>
                </c:pt>
                <c:pt idx="1">
                  <c:v>29</c:v>
                </c:pt>
                <c:pt idx="2">
                  <c:v>28</c:v>
                </c:pt>
                <c:pt idx="3">
                  <c:v>39</c:v>
                </c:pt>
                <c:pt idx="4">
                  <c:v>40</c:v>
                </c:pt>
                <c:pt idx="5">
                  <c:v>37</c:v>
                </c:pt>
                <c:pt idx="6">
                  <c:v>37</c:v>
                </c:pt>
                <c:pt idx="7">
                  <c:v>24</c:v>
                </c:pt>
                <c:pt idx="8">
                  <c:v>39</c:v>
                </c:pt>
                <c:pt idx="9">
                  <c:v>32</c:v>
                </c:pt>
                <c:pt idx="10">
                  <c:v>32</c:v>
                </c:pt>
                <c:pt idx="11">
                  <c:v>35</c:v>
                </c:pt>
                <c:pt idx="12">
                  <c:v>29</c:v>
                </c:pt>
              </c:numCache>
            </c:numRef>
          </c:val>
          <c:extLst>
            <c:ext xmlns:c16="http://schemas.microsoft.com/office/drawing/2014/chart" uri="{C3380CC4-5D6E-409C-BE32-E72D297353CC}">
              <c16:uniqueId val="{00000001-C214-4A0D-AE8F-31C6C1F0F633}"/>
            </c:ext>
          </c:extLst>
        </c:ser>
        <c:dLbls>
          <c:dLblPos val="inEnd"/>
          <c:showLegendKey val="0"/>
          <c:showVal val="1"/>
          <c:showCatName val="0"/>
          <c:showSerName val="0"/>
          <c:showPercent val="0"/>
          <c:showBubbleSize val="0"/>
        </c:dLbls>
        <c:gapWidth val="150"/>
        <c:overlap val="100"/>
        <c:axId val="368495696"/>
        <c:axId val="368496784"/>
      </c:barChart>
      <c:catAx>
        <c:axId val="3684956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rial Black" panose="020B0A04020102020204" pitchFamily="34" charset="0"/>
                    <a:ea typeface="+mn-ea"/>
                    <a:cs typeface="+mn-cs"/>
                  </a:defRPr>
                </a:pPr>
                <a:r>
                  <a:rPr lang="en-IN" sz="1300" b="1">
                    <a:latin typeface="Arial Black" panose="020B0A04020102020204" pitchFamily="34" charset="0"/>
                  </a:rPr>
                  <a:t>Matches</a:t>
                </a:r>
                <a:r>
                  <a:rPr lang="en-IN" sz="1300" b="1" baseline="0">
                    <a:latin typeface="Arial Black" panose="020B0A04020102020204" pitchFamily="34" charset="0"/>
                  </a:rPr>
                  <a:t> Played Per Season</a:t>
                </a:r>
                <a:endParaRPr lang="en-IN" sz="1300" b="1">
                  <a:latin typeface="Arial Black" panose="020B0A04020102020204" pitchFamily="34" charset="0"/>
                </a:endParaRPr>
              </a:p>
            </c:rich>
          </c:tx>
          <c:layout>
            <c:manualLayout>
              <c:xMode val="edge"/>
              <c:yMode val="edge"/>
              <c:x val="0.44528613569321535"/>
              <c:y val="4.215401646222793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Black" panose="020B0A04020102020204" pitchFamily="34" charset="0"/>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96784"/>
        <c:crosses val="autoZero"/>
        <c:auto val="1"/>
        <c:lblAlgn val="ctr"/>
        <c:lblOffset val="100"/>
        <c:noMultiLvlLbl val="0"/>
      </c:catAx>
      <c:valAx>
        <c:axId val="368496784"/>
        <c:scaling>
          <c:orientation val="minMax"/>
        </c:scaling>
        <c:delete val="1"/>
        <c:axPos val="l"/>
        <c:numFmt formatCode="General" sourceLinked="1"/>
        <c:majorTickMark val="out"/>
        <c:minorTickMark val="none"/>
        <c:tickLblPos val="nextTo"/>
        <c:crossAx val="36849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[IPL_Analytics_Dashboard.xlsx]Toss Impact on Victory!PivotTable3</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Toss</a:t>
            </a:r>
            <a:r>
              <a:rPr lang="en-US" baseline="0">
                <a:latin typeface="Arial Black" panose="020B0A04020102020204" pitchFamily="34" charset="0"/>
              </a:rPr>
              <a:t> Impact on Victory </a:t>
            </a:r>
            <a:endParaRPr lang="en-US">
              <a:latin typeface="Arial Black" panose="020B0A04020102020204" pitchFamily="34" charset="0"/>
            </a:endParaRPr>
          </a:p>
        </c:rich>
      </c:tx>
      <c:layout>
        <c:manualLayout>
          <c:xMode val="edge"/>
          <c:yMode val="edge"/>
          <c:x val="5.8898230941471279E-2"/>
          <c:y val="2.5457431966516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2.8066788261636784E-2"/>
          <c:y val="0.27791597844737737"/>
          <c:w val="0.67919005886975992"/>
          <c:h val="0.57382630213762242"/>
        </c:manualLayout>
      </c:layout>
      <c:doughnutChart>
        <c:varyColors val="1"/>
        <c:ser>
          <c:idx val="0"/>
          <c:order val="0"/>
          <c:tx>
            <c:strRef>
              <c:f>'Toss Impact on Victory'!$B$3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53-4EBC-B883-29E35AE0D8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53-4EBC-B883-29E35AE0D8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Impact on Victory'!$A$4:$A$6</c:f>
              <c:strCache>
                <c:ptCount val="2"/>
                <c:pt idx="0">
                  <c:v>No</c:v>
                </c:pt>
                <c:pt idx="1">
                  <c:v>Yes</c:v>
                </c:pt>
              </c:strCache>
            </c:strRef>
          </c:cat>
          <c:val>
            <c:numRef>
              <c:f>'Toss Impact on Victory'!$B$4:$B$6</c:f>
              <c:numCache>
                <c:formatCode>General</c:formatCode>
                <c:ptCount val="2"/>
                <c:pt idx="0">
                  <c:v>386</c:v>
                </c:pt>
                <c:pt idx="1">
                  <c:v>413</c:v>
                </c:pt>
              </c:numCache>
            </c:numRef>
          </c:val>
          <c:extLst>
            <c:ext xmlns:c16="http://schemas.microsoft.com/office/drawing/2014/chart" uri="{C3380CC4-5D6E-409C-BE32-E72D297353CC}">
              <c16:uniqueId val="{00000004-9E53-4EBC-B883-29E35AE0D8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4626540326527"/>
          <c:y val="0.14412639915649705"/>
          <c:w val="0.12613050717974147"/>
          <c:h val="0.14558544075434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[IPL_Analytics_Dashboard.xlsx]Matches per Season!PivotTable4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per Season'!$B$1:$B$2</c:f>
              <c:strCache>
                <c:ptCount val="1"/>
                <c:pt idx="0">
                  <c:v>Batting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per Season'!$A$3:$A$16</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'Matches per Season'!$B$3:$B$16</c:f>
              <c:numCache>
                <c:formatCode>General</c:formatCode>
                <c:ptCount val="13"/>
                <c:pt idx="0">
                  <c:v>24</c:v>
                </c:pt>
                <c:pt idx="1">
                  <c:v>27</c:v>
                </c:pt>
                <c:pt idx="2">
                  <c:v>31</c:v>
                </c:pt>
                <c:pt idx="3">
                  <c:v>33</c:v>
                </c:pt>
                <c:pt idx="4">
                  <c:v>34</c:v>
                </c:pt>
                <c:pt idx="5">
                  <c:v>37</c:v>
                </c:pt>
                <c:pt idx="6">
                  <c:v>22</c:v>
                </c:pt>
                <c:pt idx="7">
                  <c:v>32</c:v>
                </c:pt>
                <c:pt idx="8">
                  <c:v>21</c:v>
                </c:pt>
                <c:pt idx="9">
                  <c:v>26</c:v>
                </c:pt>
                <c:pt idx="10">
                  <c:v>28</c:v>
                </c:pt>
                <c:pt idx="11">
                  <c:v>22</c:v>
                </c:pt>
                <c:pt idx="12">
                  <c:v>27</c:v>
                </c:pt>
              </c:numCache>
            </c:numRef>
          </c:val>
          <c:extLst>
            <c:ext xmlns:c16="http://schemas.microsoft.com/office/drawing/2014/chart" uri="{C3380CC4-5D6E-409C-BE32-E72D297353CC}">
              <c16:uniqueId val="{00000000-8FE7-4BF4-BBA3-E4B7AF747582}"/>
            </c:ext>
          </c:extLst>
        </c:ser>
        <c:ser>
          <c:idx val="1"/>
          <c:order val="1"/>
          <c:tx>
            <c:strRef>
              <c:f>'Matches per Season'!$C$1:$C$2</c:f>
              <c:strCache>
                <c:ptCount val="1"/>
                <c:pt idx="0">
                  <c:v>Chasing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per Season'!$A$3:$A$16</c:f>
              <c:strCach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strCache>
            </c:strRef>
          </c:cat>
          <c:val>
            <c:numRef>
              <c:f>'Matches per Season'!$C$3:$C$16</c:f>
              <c:numCache>
                <c:formatCode>General</c:formatCode>
                <c:ptCount val="13"/>
                <c:pt idx="0">
                  <c:v>34</c:v>
                </c:pt>
                <c:pt idx="1">
                  <c:v>29</c:v>
                </c:pt>
                <c:pt idx="2">
                  <c:v>28</c:v>
                </c:pt>
                <c:pt idx="3">
                  <c:v>39</c:v>
                </c:pt>
                <c:pt idx="4">
                  <c:v>40</c:v>
                </c:pt>
                <c:pt idx="5">
                  <c:v>37</c:v>
                </c:pt>
                <c:pt idx="6">
                  <c:v>37</c:v>
                </c:pt>
                <c:pt idx="7">
                  <c:v>24</c:v>
                </c:pt>
                <c:pt idx="8">
                  <c:v>39</c:v>
                </c:pt>
                <c:pt idx="9">
                  <c:v>32</c:v>
                </c:pt>
                <c:pt idx="10">
                  <c:v>32</c:v>
                </c:pt>
                <c:pt idx="11">
                  <c:v>35</c:v>
                </c:pt>
                <c:pt idx="12">
                  <c:v>29</c:v>
                </c:pt>
              </c:numCache>
            </c:numRef>
          </c:val>
          <c:extLst>
            <c:ext xmlns:c16="http://schemas.microsoft.com/office/drawing/2014/chart" uri="{C3380CC4-5D6E-409C-BE32-E72D297353CC}">
              <c16:uniqueId val="{00000001-8FE7-4BF4-BBA3-E4B7AF747582}"/>
            </c:ext>
          </c:extLst>
        </c:ser>
        <c:dLbls>
          <c:dLblPos val="inEnd"/>
          <c:showLegendKey val="0"/>
          <c:showVal val="1"/>
          <c:showCatName val="0"/>
          <c:showSerName val="0"/>
          <c:showPercent val="0"/>
          <c:showBubbleSize val="0"/>
        </c:dLbls>
        <c:gapWidth val="150"/>
        <c:overlap val="100"/>
        <c:axId val="367663008"/>
        <c:axId val="367664096"/>
      </c:barChart>
      <c:catAx>
        <c:axId val="367663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64096"/>
        <c:crosses val="autoZero"/>
        <c:auto val="1"/>
        <c:lblAlgn val="ctr"/>
        <c:lblOffset val="100"/>
        <c:noMultiLvlLbl val="0"/>
      </c:catAx>
      <c:valAx>
        <c:axId val="367664096"/>
        <c:scaling>
          <c:orientation val="minMax"/>
        </c:scaling>
        <c:delete val="1"/>
        <c:axPos val="l"/>
        <c:numFmt formatCode="General" sourceLinked="1"/>
        <c:majorTickMark val="out"/>
        <c:minorTickMark val="none"/>
        <c:tickLblPos val="nextTo"/>
        <c:crossAx val="367663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[IPL_Analytics_Dashboard.xlsx]Most Frequent Umpires!PivotTable1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aseline="0"/>
              <a:t>Most Frequent Umpires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Frequent Umpires'!$B$1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Frequent Umpires'!$A$2:$A$9</c:f>
              <c:strCache>
                <c:ptCount val="7"/>
                <c:pt idx="0">
                  <c:v>S Ravi</c:v>
                </c:pt>
                <c:pt idx="1">
                  <c:v>M Erasmus</c:v>
                </c:pt>
                <c:pt idx="2">
                  <c:v>HDPK Dharmasena</c:v>
                </c:pt>
                <c:pt idx="3">
                  <c:v>BF Bowden</c:v>
                </c:pt>
                <c:pt idx="4">
                  <c:v>Asad Rauf</c:v>
                </c:pt>
                <c:pt idx="5">
                  <c:v>Aleem Dar</c:v>
                </c:pt>
                <c:pt idx="6">
                  <c:v>AK Chaudhary</c:v>
                </c:pt>
              </c:strCache>
            </c:strRef>
          </c:cat>
          <c:val>
            <c:numRef>
              <c:f>'Most Frequent Umpires'!$B$2:$B$9</c:f>
              <c:numCache>
                <c:formatCode>General</c:formatCode>
                <c:ptCount val="7"/>
                <c:pt idx="0">
                  <c:v>37</c:v>
                </c:pt>
                <c:pt idx="1">
                  <c:v>38</c:v>
                </c:pt>
                <c:pt idx="2">
                  <c:v>77</c:v>
                </c:pt>
                <c:pt idx="3">
                  <c:v>37</c:v>
                </c:pt>
                <c:pt idx="4">
                  <c:v>51</c:v>
                </c:pt>
                <c:pt idx="5">
                  <c:v>37</c:v>
                </c:pt>
                <c:pt idx="6">
                  <c:v>53</c:v>
                </c:pt>
              </c:numCache>
            </c:numRef>
          </c:val>
          <c:extLst>
            <c:ext xmlns:c16="http://schemas.microsoft.com/office/drawing/2014/chart" uri="{C3380CC4-5D6E-409C-BE32-E72D297353CC}">
              <c16:uniqueId val="{00000000-FD92-4790-9FD8-24066F74C30F}"/>
            </c:ext>
          </c:extLst>
        </c:ser>
        <c:dLbls>
          <c:dLblPos val="outEnd"/>
          <c:showLegendKey val="0"/>
          <c:showVal val="1"/>
          <c:showCatName val="0"/>
          <c:showSerName val="0"/>
          <c:showPercent val="0"/>
          <c:showBubbleSize val="0"/>
        </c:dLbls>
        <c:gapWidth val="182"/>
        <c:axId val="367668448"/>
        <c:axId val="325562624"/>
      </c:barChart>
      <c:catAx>
        <c:axId val="36766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562624"/>
        <c:crosses val="autoZero"/>
        <c:auto val="1"/>
        <c:lblAlgn val="ctr"/>
        <c:lblOffset val="100"/>
        <c:noMultiLvlLbl val="0"/>
      </c:catAx>
      <c:valAx>
        <c:axId val="325562624"/>
        <c:scaling>
          <c:orientation val="minMax"/>
        </c:scaling>
        <c:delete val="1"/>
        <c:axPos val="b"/>
        <c:numFmt formatCode="General" sourceLinked="1"/>
        <c:majorTickMark val="none"/>
        <c:minorTickMark val="none"/>
        <c:tickLblPos val="nextTo"/>
        <c:crossAx val="367668448"/>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[IPL_Analytics_Dashboard.xlsx]Team Wise Perfomance !PivotTable1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Team</a:t>
            </a:r>
            <a:r>
              <a:rPr lang="en-US" baseline="0"/>
              <a:t> wise Performance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08022308022309E-2"/>
          <c:y val="0.15147027735320714"/>
          <c:w val="0.96224796224796227"/>
          <c:h val="0.67554301231320057"/>
        </c:manualLayout>
      </c:layout>
      <c:barChart>
        <c:barDir val="col"/>
        <c:grouping val="clustered"/>
        <c:varyColors val="0"/>
        <c:ser>
          <c:idx val="0"/>
          <c:order val="0"/>
          <c:tx>
            <c:strRef>
              <c:f>'Team Wise Perfomance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Wise Perfomance '!$A$4:$A$17</c:f>
              <c:strCache>
                <c:ptCount val="13"/>
                <c:pt idx="0">
                  <c:v>Chennai Super Kings</c:v>
                </c:pt>
                <c:pt idx="1">
                  <c:v>Deccan Chargers</c:v>
                </c:pt>
                <c:pt idx="2">
                  <c:v>Delhi Capitals</c:v>
                </c:pt>
                <c:pt idx="3">
                  <c:v>Gujarat Lions</c:v>
                </c:pt>
                <c:pt idx="4">
                  <c:v>Kochi Tuskers Kerala</c:v>
                </c:pt>
                <c:pt idx="5">
                  <c:v>Kolkata Knight Riders</c:v>
                </c:pt>
                <c:pt idx="6">
                  <c:v>Mumbai Indians</c:v>
                </c:pt>
                <c:pt idx="7">
                  <c:v>Pune Warriors</c:v>
                </c:pt>
                <c:pt idx="8">
                  <c:v>Punjab Kings</c:v>
                </c:pt>
                <c:pt idx="9">
                  <c:v>Rajasthan Royals</c:v>
                </c:pt>
                <c:pt idx="10">
                  <c:v>Rising Pune Supergiant</c:v>
                </c:pt>
                <c:pt idx="11">
                  <c:v>Royal Challengers Bangalore</c:v>
                </c:pt>
                <c:pt idx="12">
                  <c:v>Sunrisers Hyderabad</c:v>
                </c:pt>
              </c:strCache>
            </c:strRef>
          </c:cat>
          <c:val>
            <c:numRef>
              <c:f>'Team Wise Perfomance '!$B$4:$B$17</c:f>
              <c:numCache>
                <c:formatCode>General</c:formatCode>
                <c:ptCount val="13"/>
                <c:pt idx="0">
                  <c:v>93</c:v>
                </c:pt>
                <c:pt idx="1">
                  <c:v>39</c:v>
                </c:pt>
                <c:pt idx="2">
                  <c:v>99</c:v>
                </c:pt>
                <c:pt idx="3">
                  <c:v>15</c:v>
                </c:pt>
                <c:pt idx="4">
                  <c:v>7</c:v>
                </c:pt>
                <c:pt idx="5">
                  <c:v>92</c:v>
                </c:pt>
                <c:pt idx="6">
                  <c:v>95</c:v>
                </c:pt>
                <c:pt idx="7">
                  <c:v>23</c:v>
                </c:pt>
                <c:pt idx="8">
                  <c:v>92</c:v>
                </c:pt>
                <c:pt idx="9">
                  <c:v>69</c:v>
                </c:pt>
                <c:pt idx="10">
                  <c:v>14</c:v>
                </c:pt>
                <c:pt idx="11">
                  <c:v>103</c:v>
                </c:pt>
                <c:pt idx="12">
                  <c:v>58</c:v>
                </c:pt>
              </c:numCache>
            </c:numRef>
          </c:val>
          <c:extLst>
            <c:ext xmlns:c16="http://schemas.microsoft.com/office/drawing/2014/chart" uri="{C3380CC4-5D6E-409C-BE32-E72D297353CC}">
              <c16:uniqueId val="{00000000-CBD0-4B30-9F28-18D7679E44CA}"/>
            </c:ext>
          </c:extLst>
        </c:ser>
        <c:dLbls>
          <c:dLblPos val="outEnd"/>
          <c:showLegendKey val="0"/>
          <c:showVal val="1"/>
          <c:showCatName val="0"/>
          <c:showSerName val="0"/>
          <c:showPercent val="0"/>
          <c:showBubbleSize val="0"/>
        </c:dLbls>
        <c:gapWidth val="219"/>
        <c:overlap val="-27"/>
        <c:axId val="431430768"/>
        <c:axId val="431428592"/>
      </c:barChart>
      <c:catAx>
        <c:axId val="4314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28592"/>
        <c:crosses val="autoZero"/>
        <c:auto val="1"/>
        <c:lblAlgn val="ctr"/>
        <c:lblOffset val="100"/>
        <c:noMultiLvlLbl val="0"/>
      </c:catAx>
      <c:valAx>
        <c:axId val="431428592"/>
        <c:scaling>
          <c:orientation val="minMax"/>
        </c:scaling>
        <c:delete val="1"/>
        <c:axPos val="l"/>
        <c:numFmt formatCode="General" sourceLinked="1"/>
        <c:majorTickMark val="none"/>
        <c:minorTickMark val="none"/>
        <c:tickLblPos val="nextTo"/>
        <c:crossAx val="4314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[IPL_Analytics_Dashboard.xlsx]Mode of Wins!PivotTable2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Mode of</a:t>
            </a:r>
            <a:r>
              <a:rPr lang="en-US" baseline="0"/>
              <a:t> </a:t>
            </a:r>
            <a:r>
              <a:rPr lang="en-US"/>
              <a:t>Wins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bar"/>
        <c:grouping val="stacked"/>
        <c:varyColors val="0"/>
        <c:ser>
          <c:idx val="0"/>
          <c:order val="0"/>
          <c:tx>
            <c:strRef>
              <c:f>'Mode of Wins'!$B$3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1A8-4134-8BE3-260788F76393}"/>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1A8-4134-8BE3-260788F763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'Mode of Wins'!$A$4:$A$6</c:f>
              <c:strCache>
                <c:ptCount val="2"/>
                <c:pt idx="0">
                  <c:v>Batting First</c:v>
                </c:pt>
                <c:pt idx="1">
                  <c:v>Chasing</c:v>
                </c:pt>
              </c:strCache>
            </c:strRef>
          </c:cat>
          <c:val>
            <c:numRef>
              <c:f>'Mode of Wins'!$B$4:$B$6</c:f>
              <c:numCache>
                <c:formatCode>General</c:formatCode>
                <c:ptCount val="2"/>
                <c:pt idx="0">
                  <c:v>364</c:v>
                </c:pt>
                <c:pt idx="1">
                  <c:v>435</c:v>
                </c:pt>
              </c:numCache>
            </c:numRef>
          </c:val>
          <c:extLst>
            <c:ext xmlns:c16="http://schemas.microsoft.com/office/drawing/2014/chart" uri="{C3380CC4-5D6E-409C-BE32-E72D297353CC}">
              <c16:uniqueId val="{00000000-5E52-4563-AA14-D54BE1C07099}"/>
            </c:ext>
          </c:extLst>
        </c:ser>
        <c:dLbls>
          <c:showLegendKey val="0"/>
          <c:showVal val="0"/>
          <c:showCatName val="0"/>
          <c:showSerName val="0"/>
          <c:showPercent val="0"/>
          <c:showBubbleSize val="0"/>
        </c:dLbls>
        <c:gapWidth val="100"/>
        <c:overlap val="100"/>
        <c:axId val="431425328"/>
        <c:axId val="431428048"/>
      </c:barChart>
      <c:valAx>
        <c:axId val="431428048"/>
        <c:scaling>
          <c:orientation val="minMax"/>
        </c:scaling>
        <c:delete val="1"/>
        <c:axPos val="b"/>
        <c:numFmt formatCode="General" sourceLinked="1"/>
        <c:majorTickMark val="out"/>
        <c:minorTickMark val="none"/>
        <c:tickLblPos val="nextTo"/>
        <c:crossAx val="431425328"/>
        <c:crosses val="autoZero"/>
        <c:crossBetween val="between"/>
      </c:valAx>
      <c:catAx>
        <c:axId val="431425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280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[IPL_Analytics_Dashboard.xlsx]Players of the Match!PivotTable4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a:t>
            </a:r>
            <a:r>
              <a:rPr lang="en-US" baseline="0"/>
              <a:t> 10 Players of Match</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'Players of the Match'!$B$3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 of the Match'!$A$4:$A$16</c:f>
              <c:strCache>
                <c:ptCount val="12"/>
                <c:pt idx="0">
                  <c:v>CH Gayle</c:v>
                </c:pt>
                <c:pt idx="1">
                  <c:v>AB de Villiers</c:v>
                </c:pt>
                <c:pt idx="2">
                  <c:v>RG Sharma</c:v>
                </c:pt>
                <c:pt idx="3">
                  <c:v>DA Warner</c:v>
                </c:pt>
                <c:pt idx="4">
                  <c:v>MS Dhoni</c:v>
                </c:pt>
                <c:pt idx="5">
                  <c:v>SR Watson</c:v>
                </c:pt>
                <c:pt idx="6">
                  <c:v>YK Pathan</c:v>
                </c:pt>
                <c:pt idx="7">
                  <c:v>SK Raina</c:v>
                </c:pt>
                <c:pt idx="8">
                  <c:v>G Gambhir</c:v>
                </c:pt>
                <c:pt idx="9">
                  <c:v>V Kohli</c:v>
                </c:pt>
                <c:pt idx="10">
                  <c:v>AM Rahane</c:v>
                </c:pt>
                <c:pt idx="11">
                  <c:v>MEK Hussey</c:v>
                </c:pt>
              </c:strCache>
            </c:strRef>
          </c:cat>
          <c:val>
            <c:numRef>
              <c:f>'Players of the Match'!$B$4:$B$16</c:f>
              <c:numCache>
                <c:formatCode>General</c:formatCode>
                <c:ptCount val="12"/>
                <c:pt idx="0">
                  <c:v>22</c:v>
                </c:pt>
                <c:pt idx="1">
                  <c:v>22</c:v>
                </c:pt>
                <c:pt idx="2">
                  <c:v>18</c:v>
                </c:pt>
                <c:pt idx="3">
                  <c:v>17</c:v>
                </c:pt>
                <c:pt idx="4">
                  <c:v>17</c:v>
                </c:pt>
                <c:pt idx="5">
                  <c:v>16</c:v>
                </c:pt>
                <c:pt idx="6">
                  <c:v>15</c:v>
                </c:pt>
                <c:pt idx="7">
                  <c:v>14</c:v>
                </c:pt>
                <c:pt idx="8">
                  <c:v>13</c:v>
                </c:pt>
                <c:pt idx="9">
                  <c:v>12</c:v>
                </c:pt>
                <c:pt idx="10">
                  <c:v>12</c:v>
                </c:pt>
                <c:pt idx="11">
                  <c:v>12</c:v>
                </c:pt>
              </c:numCache>
            </c:numRef>
          </c:val>
          <c:extLst>
            <c:ext xmlns:c16="http://schemas.microsoft.com/office/drawing/2014/chart" uri="{C3380CC4-5D6E-409C-BE32-E72D297353CC}">
              <c16:uniqueId val="{00000000-8B1D-40A1-BD2E-7A01F2B92AB7}"/>
            </c:ext>
          </c:extLst>
        </c:ser>
        <c:dLbls>
          <c:showLegendKey val="0"/>
          <c:showVal val="1"/>
          <c:showCatName val="0"/>
          <c:showSerName val="0"/>
          <c:showPercent val="0"/>
          <c:showBubbleSize val="0"/>
        </c:dLbls>
        <c:gapWidth val="219"/>
        <c:overlap val="-27"/>
        <c:axId val="431431312"/>
        <c:axId val="431433488"/>
      </c:barChart>
      <c:catAx>
        <c:axId val="43143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33488"/>
        <c:crosses val="autoZero"/>
        <c:auto val="1"/>
        <c:lblAlgn val="ctr"/>
        <c:lblOffset val="100"/>
        <c:noMultiLvlLbl val="0"/>
      </c:catAx>
      <c:valAx>
        <c:axId val="431433488"/>
        <c:scaling>
          <c:orientation val="minMax"/>
        </c:scaling>
        <c:delete val="1"/>
        <c:axPos val="l"/>
        <c:numFmt formatCode="General" sourceLinked="1"/>
        <c:majorTickMark val="out"/>
        <c:minorTickMark val="none"/>
        <c:tickLblPos val="nextTo"/>
        <c:crossAx val="43143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[IPL_Analytics_Dashboard.xlsx]Toss Decision Priority!PivotTable5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Toss</a:t>
            </a:r>
            <a:r>
              <a:rPr lang="en-IN" baseline="0"/>
              <a:t> Decision</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'Toss Decision Priority'!$B$3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4C4-48C2-AB94-14CC4E2AB0DC}"/>
              </c:ext>
            </c:extLst>
          </c:dPt>
          <c:dPt>
            <c:idx val="1"/>
            <c:bubble3D val="0"/>
            <c:spPr>
              <a:solidFill>
                <a:schemeClr val="accent2"/>
              </a:solidFill>
              <a:ln>
                <a:noFill/>
              </a:ln>
              <a:effectLst/>
            </c:spPr>
            <c:extLst>
              <c:ext xmlns:c16="http://schemas.microsoft.com/office/drawing/2014/chart" uri="{C3380CC4-5D6E-409C-BE32-E72D297353CC}">
                <c16:uniqueId val="{00000003-74C4-48C2-AB94-14CC4E2AB0D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'Toss Decision Priority'!$A$4:$A$6</c:f>
              <c:strCache>
                <c:ptCount val="2"/>
                <c:pt idx="0">
                  <c:v>bat</c:v>
                </c:pt>
                <c:pt idx="1">
                  <c:v>field</c:v>
                </c:pt>
              </c:strCache>
            </c:strRef>
          </c:cat>
          <c:val>
            <c:numRef>
              <c:f>'Toss Decision Priority'!$B$4:$B$6</c:f>
              <c:numCache>
                <c:formatCode>General</c:formatCode>
                <c:ptCount val="2"/>
                <c:pt idx="0">
                  <c:v>314</c:v>
                </c:pt>
                <c:pt idx="1">
                  <c:v>485</c:v>
                </c:pt>
              </c:numCache>
            </c:numRef>
          </c:val>
          <c:extLst>
            <c:ext xmlns:c16="http://schemas.microsoft.com/office/drawing/2014/chart" uri="{C3380CC4-5D6E-409C-BE32-E72D297353CC}">
              <c16:uniqueId val="{00000000-5DB6-4153-A833-D1AAAE5BE5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[IPL_Analytics_Dashboard.xlsx]Top players!PivotTable6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players'!$B$3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players'!$A$4:$A$16</c:f>
              <c:strCache>
                <c:ptCount val="12"/>
                <c:pt idx="0">
                  <c:v>AB de Villiers</c:v>
                </c:pt>
                <c:pt idx="1">
                  <c:v>AM Rahane</c:v>
                </c:pt>
                <c:pt idx="2">
                  <c:v>CH Gayle</c:v>
                </c:pt>
                <c:pt idx="3">
                  <c:v>DA Warner</c:v>
                </c:pt>
                <c:pt idx="4">
                  <c:v>G Gambhir</c:v>
                </c:pt>
                <c:pt idx="5">
                  <c:v>MEK Hussey</c:v>
                </c:pt>
                <c:pt idx="6">
                  <c:v>MS Dhoni</c:v>
                </c:pt>
                <c:pt idx="7">
                  <c:v>RG Sharma</c:v>
                </c:pt>
                <c:pt idx="8">
                  <c:v>SK Raina</c:v>
                </c:pt>
                <c:pt idx="9">
                  <c:v>SR Watson</c:v>
                </c:pt>
                <c:pt idx="10">
                  <c:v>V Kohli</c:v>
                </c:pt>
                <c:pt idx="11">
                  <c:v>YK Pathan</c:v>
                </c:pt>
              </c:strCache>
            </c:strRef>
          </c:cat>
          <c:val>
            <c:numRef>
              <c:f>'Top players'!$B$4:$B$16</c:f>
              <c:numCache>
                <c:formatCode>General</c:formatCode>
                <c:ptCount val="12"/>
                <c:pt idx="0">
                  <c:v>22</c:v>
                </c:pt>
                <c:pt idx="1">
                  <c:v>12</c:v>
                </c:pt>
                <c:pt idx="2">
                  <c:v>22</c:v>
                </c:pt>
                <c:pt idx="3">
                  <c:v>17</c:v>
                </c:pt>
                <c:pt idx="4">
                  <c:v>13</c:v>
                </c:pt>
                <c:pt idx="5">
                  <c:v>12</c:v>
                </c:pt>
                <c:pt idx="6">
                  <c:v>17</c:v>
                </c:pt>
                <c:pt idx="7">
                  <c:v>18</c:v>
                </c:pt>
                <c:pt idx="8">
                  <c:v>14</c:v>
                </c:pt>
                <c:pt idx="9">
                  <c:v>16</c:v>
                </c:pt>
                <c:pt idx="10">
                  <c:v>12</c:v>
                </c:pt>
                <c:pt idx="11">
                  <c:v>15</c:v>
                </c:pt>
              </c:numCache>
            </c:numRef>
          </c:val>
          <c:extLst>
            <c:ext xmlns:c16="http://schemas.microsoft.com/office/drawing/2014/chart" uri="{C3380CC4-5D6E-409C-BE32-E72D297353CC}">
              <c16:uniqueId val="{00000000-8389-4DE5-BA43-400B155CB268}"/>
            </c:ext>
          </c:extLst>
        </c:ser>
        <c:dLbls>
          <c:dLblPos val="outEnd"/>
          <c:showLegendKey val="0"/>
          <c:showVal val="1"/>
          <c:showCatName val="0"/>
          <c:showSerName val="0"/>
          <c:showPercent val="0"/>
          <c:showBubbleSize val="0"/>
        </c:dLbls>
        <c:gapWidth val="219"/>
        <c:overlap val="-27"/>
        <c:axId val="431419344"/>
        <c:axId val="431420432"/>
      </c:barChart>
      <c:catAx>
        <c:axId val="431419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a:t>
                </a:r>
                <a:r>
                  <a:rPr lang="en-IN" baseline="0"/>
                  <a:t> 10 Players of the Match </a:t>
                </a:r>
                <a:endParaRPr lang="en-IN"/>
              </a:p>
            </c:rich>
          </c:tx>
          <c:layout>
            <c:manualLayout>
              <c:xMode val="edge"/>
              <c:yMode val="edge"/>
              <c:x val="0.47070866141732282"/>
              <c:y val="4.3533158355205617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20432"/>
        <c:crosses val="autoZero"/>
        <c:auto val="1"/>
        <c:lblAlgn val="ctr"/>
        <c:lblOffset val="100"/>
        <c:noMultiLvlLbl val="0"/>
      </c:catAx>
      <c:valAx>
        <c:axId val="4314204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1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[IPL_Analytics_Dashboard.xlsx]Toss Impact on Victory!PivotTable3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Toss</a:t>
            </a:r>
            <a:r>
              <a:rPr lang="en-US" baseline="0"/>
              <a:t> Impact on Victory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'Toss Impact on Victory'!$B$3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53-4EBC-B883-29E35AE0D8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53-4EBC-B883-29E35AE0D8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Impact on Victory'!$A$4:$A$6</c:f>
              <c:strCache>
                <c:ptCount val="2"/>
                <c:pt idx="0">
                  <c:v>No</c:v>
                </c:pt>
                <c:pt idx="1">
                  <c:v>Yes</c:v>
                </c:pt>
              </c:strCache>
            </c:strRef>
          </c:cat>
          <c:val>
            <c:numRef>
              <c:f>'Toss Impact on Victory'!$B$4:$B$6</c:f>
              <c:numCache>
                <c:formatCode>General</c:formatCode>
                <c:ptCount val="2"/>
                <c:pt idx="0">
                  <c:v>386</c:v>
                </c:pt>
                <c:pt idx="1">
                  <c:v>413</c:v>
                </c:pt>
              </c:numCache>
            </c:numRef>
          </c:val>
          <c:extLst>
            <c:ext xmlns:c16="http://schemas.microsoft.com/office/drawing/2014/chart" uri="{C3380CC4-5D6E-409C-BE32-E72D297353CC}">
              <c16:uniqueId val="{00000004-9E53-4EBC-B883-29E35AE0D8F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20</xdr:col>
      <xdr:colOff>147484</xdr:colOff>
      <xdr:row>5</xdr:row>
      <xdr:rowOff>172065</xdr:rowOff>
    </xdr:from>
    <xdr:to>
      <xdr:col>26</xdr:col>
      <xdr:colOff>104775</xdr:colOff>
      <xdr:row>25</xdr:row>
      <xdr:rowOff>28575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516194</xdr:colOff>
      <xdr:row>0</xdr:row>
      <xdr:rowOff>61452</xdr:rowOff>
    </xdr:from>
    <xdr:to>
      <xdr:col>19</xdr:col>
      <xdr:colOff>381000</xdr:colOff>
      <xdr:row>5</xdr:row>
      <xdr:rowOff>12291</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6157452" y="61452"/>
          <a:ext cx="6132871" cy="872613"/>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800">
              <a:latin typeface="Arial Black" panose="020B0A04020102020204" pitchFamily="34" charset="0"/>
            </a:rPr>
            <a:t>IPL</a:t>
          </a:r>
          <a:r>
            <a:rPr lang="en-IN" sz="2800" baseline="0">
              <a:latin typeface="Arial Black" panose="020B0A04020102020204" pitchFamily="34" charset="0"/>
            </a:rPr>
            <a:t> ANALYTICS (2008-2020)</a:t>
          </a:r>
        </a:p>
        <a:p>
          <a:pPr algn="ctr"/>
          <a:endParaRPr lang="en-IN" sz="1400">
            <a:latin typeface="Arial Black" panose="020B0A04020102020204" pitchFamily="34" charset="0"/>
          </a:endParaRPr>
        </a:p>
      </xdr:txBody>
    </xdr:sp>
    <xdr:clientData/>
  </xdr:twoCellAnchor>
  <xdr:twoCellAnchor editAs="oneCell">
    <xdr:from>
      <xdr:col>6</xdr:col>
      <xdr:colOff>133350</xdr:colOff>
      <xdr:row>6</xdr:row>
      <xdr:rowOff>9525</xdr:rowOff>
    </xdr:from>
    <xdr:to>
      <xdr:col>9</xdr:col>
      <xdr:colOff>323850</xdr:colOff>
      <xdr:row>19</xdr:row>
      <xdr:rowOff>57150</xdr:rowOff>
    </xdr:to>
    <mc:AlternateContent xmlns:mc="http://schemas.openxmlformats.org/markup-compatibility/2006" xmlns:a14="http://schemas.microsoft.com/office/drawing/2010/main">
      <mc:Choice Requires="a14">
        <xdr:graphicFrame macro="">
          <xdr:nvGraphicFramePr>
            <xdr:cNvPr id="13" name="Venue" descr="Describing the p;aces matches were pLAYED&#10;">
              <a:extLst>
                <a:ext uri="{FF2B5EF4-FFF2-40B4-BE49-F238E27FC236}">
                  <a16:creationId xmlns:a16="http://schemas.microsoft.com/office/drawing/2014/main" id="{00000000-0008-0000-0000-00000D000000}"/>
                </a:ext>
                <a:ext uri="{147F2762-F138-4A5C-976F-8EAC2B608ADB}">
                  <a16:predDERef xmlns:a16="http://schemas.microsoft.com/office/drawing/2014/main" pred="{00000000-0008-0000-0000-000008000000}"/>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3790950" y="1152525"/>
              <a:ext cx="20193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353205</xdr:colOff>
      <xdr:row>6</xdr:row>
      <xdr:rowOff>12290</xdr:rowOff>
    </xdr:from>
    <xdr:to>
      <xdr:col>6</xdr:col>
      <xdr:colOff>14700</xdr:colOff>
      <xdr:row>19</xdr:row>
      <xdr:rowOff>59915</xdr:rowOff>
    </xdr:to>
    <mc:AlternateContent xmlns:mc="http://schemas.openxmlformats.org/markup-compatibility/2006" xmlns:a14="http://schemas.microsoft.com/office/drawing/2010/main">
      <mc:Choice Requires="a14">
        <xdr:graphicFrame macro="">
          <xdr:nvGraphicFramePr>
            <xdr:cNvPr id="14" name="Winner 1">
              <a:extLst>
                <a:ext uri="{FF2B5EF4-FFF2-40B4-BE49-F238E27FC236}">
                  <a16:creationId xmlns:a16="http://schemas.microsoft.com/office/drawing/2014/main" id="{00000000-0008-0000-0000-00000E00000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Winner 1"/>
            </a:graphicData>
          </a:graphic>
        </xdr:graphicFrame>
      </mc:Choice>
      <mc:Fallback xmlns="">
        <xdr:sp macro="" textlink="">
          <xdr:nvSpPr>
            <xdr:cNvPr id="0" name=""/>
            <xdr:cNvSpPr>
              <a:spLocks noTextEdit="1"/>
            </xdr:cNvSpPr>
          </xdr:nvSpPr>
          <xdr:spPr>
            <a:xfrm>
              <a:off x="1606818" y="1118419"/>
              <a:ext cx="2168721" cy="2444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12290</xdr:rowOff>
    </xdr:from>
    <xdr:to>
      <xdr:col>2</xdr:col>
      <xdr:colOff>219075</xdr:colOff>
      <xdr:row>19</xdr:row>
      <xdr:rowOff>28574</xdr:rowOff>
    </xdr:to>
    <mc:AlternateContent xmlns:mc="http://schemas.openxmlformats.org/markup-compatibility/2006" xmlns:a14="http://schemas.microsoft.com/office/drawing/2010/main">
      <mc:Choice Requires="a14">
        <xdr:graphicFrame macro="">
          <xdr:nvGraphicFramePr>
            <xdr:cNvPr id="18" name="Season 1">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0" y="561975"/>
              <a:ext cx="1390650"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71899</xdr:colOff>
      <xdr:row>0</xdr:row>
      <xdr:rowOff>47625</xdr:rowOff>
    </xdr:from>
    <xdr:to>
      <xdr:col>4</xdr:col>
      <xdr:colOff>172064</xdr:colOff>
      <xdr:row>2</xdr:row>
      <xdr:rowOff>76200</xdr:rowOff>
    </xdr:to>
    <xdr:sp macro="" textlink="">
      <xdr:nvSpPr>
        <xdr:cNvPr id="21" name="Rounded Rectangle 20">
          <a:extLst>
            <a:ext uri="{FF2B5EF4-FFF2-40B4-BE49-F238E27FC236}">
              <a16:creationId xmlns:a16="http://schemas.microsoft.com/office/drawing/2014/main" id="{00000000-0008-0000-0000-000015000000}"/>
            </a:ext>
          </a:extLst>
        </xdr:cNvPr>
        <xdr:cNvSpPr/>
      </xdr:nvSpPr>
      <xdr:spPr>
        <a:xfrm>
          <a:off x="71899" y="47625"/>
          <a:ext cx="2607391" cy="39728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400">
              <a:solidFill>
                <a:schemeClr val="lt1"/>
              </a:solidFill>
              <a:latin typeface="Arial Black" panose="020B0A04020102020204" pitchFamily="34" charset="0"/>
              <a:ea typeface="+mn-ea"/>
              <a:cs typeface="+mn-cs"/>
            </a:rPr>
            <a:t>Total Matches Played</a:t>
          </a:r>
        </a:p>
      </xdr:txBody>
    </xdr:sp>
    <xdr:clientData/>
  </xdr:twoCellAnchor>
  <xdr:twoCellAnchor>
    <xdr:from>
      <xdr:col>1</xdr:col>
      <xdr:colOff>147485</xdr:colOff>
      <xdr:row>2</xdr:row>
      <xdr:rowOff>146870</xdr:rowOff>
    </xdr:from>
    <xdr:to>
      <xdr:col>2</xdr:col>
      <xdr:colOff>595159</xdr:colOff>
      <xdr:row>5</xdr:row>
      <xdr:rowOff>13520</xdr:rowOff>
    </xdr:to>
    <xdr:sp macro="" textlink="">
      <xdr:nvSpPr>
        <xdr:cNvPr id="22" name="Oval 21">
          <a:extLst>
            <a:ext uri="{FF2B5EF4-FFF2-40B4-BE49-F238E27FC236}">
              <a16:creationId xmlns:a16="http://schemas.microsoft.com/office/drawing/2014/main" id="{00000000-0008-0000-0000-000016000000}"/>
            </a:ext>
            <a:ext uri="{147F2762-F138-4A5C-976F-8EAC2B608ADB}">
              <a16:predDERef xmlns:a16="http://schemas.microsoft.com/office/drawing/2014/main" pred="{00000000-0008-0000-0000-000015000000}"/>
            </a:ext>
          </a:extLst>
        </xdr:cNvPr>
        <xdr:cNvSpPr/>
      </xdr:nvSpPr>
      <xdr:spPr>
        <a:xfrm>
          <a:off x="774291" y="515580"/>
          <a:ext cx="1074481" cy="419714"/>
        </a:xfrm>
        <a:prstGeom prst="ellipse">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r>
            <a:rPr lang="en-US" sz="1100">
              <a:solidFill>
                <a:schemeClr val="dk1"/>
              </a:solidFill>
              <a:latin typeface="Arial Black" panose="020B0A04020102020204" pitchFamily="34" charset="0"/>
            </a:rPr>
            <a:t>799</a:t>
          </a:r>
        </a:p>
      </xdr:txBody>
    </xdr:sp>
    <xdr:clientData/>
  </xdr:twoCellAnchor>
  <xdr:twoCellAnchor>
    <xdr:from>
      <xdr:col>9</xdr:col>
      <xdr:colOff>451670</xdr:colOff>
      <xdr:row>6</xdr:row>
      <xdr:rowOff>5223</xdr:rowOff>
    </xdr:from>
    <xdr:to>
      <xdr:col>19</xdr:col>
      <xdr:colOff>368709</xdr:colOff>
      <xdr:row>24</xdr:row>
      <xdr:rowOff>180052</xdr:rowOff>
    </xdr:to>
    <xdr:graphicFrame macro="">
      <xdr:nvGraphicFramePr>
        <xdr:cNvPr id="24" name="Chart 23">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516194</xdr:colOff>
      <xdr:row>26</xdr:row>
      <xdr:rowOff>86032</xdr:rowOff>
    </xdr:from>
    <xdr:to>
      <xdr:col>19</xdr:col>
      <xdr:colOff>331838</xdr:colOff>
      <xdr:row>40</xdr:row>
      <xdr:rowOff>53155</xdr:rowOff>
    </xdr:to>
    <xdr:graphicFrame macro="">
      <xdr:nvGraphicFramePr>
        <xdr:cNvPr id="28" name="Chart 27">
          <a:extLst>
            <a:ext uri="{FF2B5EF4-FFF2-40B4-BE49-F238E27FC236}">
              <a16:creationId xmlns:a16="http://schemas.microsoft.com/office/drawing/2014/main" id="{00000000-0008-0000-00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454435</xdr:colOff>
      <xdr:row>26</xdr:row>
      <xdr:rowOff>73742</xdr:rowOff>
    </xdr:from>
    <xdr:to>
      <xdr:col>14</xdr:col>
      <xdr:colOff>254410</xdr:colOff>
      <xdr:row>40</xdr:row>
      <xdr:rowOff>65446</xdr:rowOff>
    </xdr:to>
    <xdr:graphicFrame macro="">
      <xdr:nvGraphicFramePr>
        <xdr:cNvPr id="31" name="Chart 30">
          <a:extLst>
            <a:ext uri="{FF2B5EF4-FFF2-40B4-BE49-F238E27FC236}">
              <a16:creationId xmlns:a16="http://schemas.microsoft.com/office/drawing/2014/main" id="{00000000-0008-0000-0000-00001F000000}"/>
            </a:ext>
            <a:ext uri="{147F2762-F138-4A5C-976F-8EAC2B608ADB}">
              <a16:predDERef xmlns:a16="http://schemas.microsoft.com/office/drawing/2014/main" pred="{00000000-0008-0000-00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145640</xdr:rowOff>
    </xdr:from>
    <xdr:to>
      <xdr:col>9</xdr:col>
      <xdr:colOff>304800</xdr:colOff>
      <xdr:row>40</xdr:row>
      <xdr:rowOff>59915</xdr:rowOff>
    </xdr:to>
    <xdr:graphicFrame macro="">
      <xdr:nvGraphicFramePr>
        <xdr:cNvPr id="33" name="Chart 32">
          <a:extLst>
            <a:ext uri="{FF2B5EF4-FFF2-40B4-BE49-F238E27FC236}">
              <a16:creationId xmlns:a16="http://schemas.microsoft.com/office/drawing/2014/main" id="{00000000-0008-0000-0000-000021000000}"/>
            </a:ext>
            <a:ext uri="{147F2762-F138-4A5C-976F-8EAC2B608ADB}">
              <a16:predDERef xmlns:a16="http://schemas.microsoft.com/office/drawing/2014/main" pred="{00000000-0008-0000-00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578877</xdr:colOff>
      <xdr:row>0</xdr:row>
      <xdr:rowOff>81732</xdr:rowOff>
    </xdr:from>
    <xdr:to>
      <xdr:col>25</xdr:col>
      <xdr:colOff>294971</xdr:colOff>
      <xdr:row>2</xdr:row>
      <xdr:rowOff>100782</xdr:rowOff>
    </xdr:to>
    <xdr:sp macro="" textlink="">
      <xdr:nvSpPr>
        <xdr:cNvPr id="35" name="Rounded Rectangle 34">
          <a:extLst>
            <a:ext uri="{FF2B5EF4-FFF2-40B4-BE49-F238E27FC236}">
              <a16:creationId xmlns:a16="http://schemas.microsoft.com/office/drawing/2014/main" id="{00000000-0008-0000-0000-000023000000}"/>
            </a:ext>
            <a:ext uri="{147F2762-F138-4A5C-976F-8EAC2B608ADB}">
              <a16:predDERef xmlns:a16="http://schemas.microsoft.com/office/drawing/2014/main" pred="{00000000-0008-0000-0000-000021000000}"/>
            </a:ext>
          </a:extLst>
        </xdr:cNvPr>
        <xdr:cNvSpPr/>
      </xdr:nvSpPr>
      <xdr:spPr>
        <a:xfrm>
          <a:off x="13115006" y="81732"/>
          <a:ext cx="2850126" cy="38776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latin typeface="Arial Black" panose="020B0A04020102020204" pitchFamily="34" charset="0"/>
            </a:rPr>
            <a:t>Chasing</a:t>
          </a:r>
          <a:r>
            <a:rPr lang="en-IN" sz="1400" baseline="0">
              <a:latin typeface="Arial Black" panose="020B0A04020102020204" pitchFamily="34" charset="0"/>
            </a:rPr>
            <a:t> Wins (%) </a:t>
          </a:r>
          <a:endParaRPr lang="en-IN" sz="1400">
            <a:latin typeface="Arial Black" panose="020B0A04020102020204" pitchFamily="34" charset="0"/>
          </a:endParaRPr>
        </a:p>
      </xdr:txBody>
    </xdr:sp>
    <xdr:clientData/>
  </xdr:twoCellAnchor>
  <xdr:twoCellAnchor>
    <xdr:from>
      <xdr:col>5</xdr:col>
      <xdr:colOff>553065</xdr:colOff>
      <xdr:row>3</xdr:row>
      <xdr:rowOff>-1</xdr:rowOff>
    </xdr:from>
    <xdr:to>
      <xdr:col>9</xdr:col>
      <xdr:colOff>49161</xdr:colOff>
      <xdr:row>5</xdr:row>
      <xdr:rowOff>70669</xdr:rowOff>
    </xdr:to>
    <xdr:sp macro="" textlink="">
      <xdr:nvSpPr>
        <xdr:cNvPr id="37" name="Oval 36">
          <a:extLst>
            <a:ext uri="{FF2B5EF4-FFF2-40B4-BE49-F238E27FC236}">
              <a16:creationId xmlns:a16="http://schemas.microsoft.com/office/drawing/2014/main" id="{00000000-0008-0000-0000-000025000000}"/>
            </a:ext>
            <a:ext uri="{147F2762-F138-4A5C-976F-8EAC2B608ADB}">
              <a16:predDERef xmlns:a16="http://schemas.microsoft.com/office/drawing/2014/main" pred="{00000000-0008-0000-0000-000023000000}"/>
            </a:ext>
          </a:extLst>
        </xdr:cNvPr>
        <xdr:cNvSpPr/>
      </xdr:nvSpPr>
      <xdr:spPr>
        <a:xfrm>
          <a:off x="3687097" y="553064"/>
          <a:ext cx="2003322" cy="439379"/>
        </a:xfrm>
        <a:prstGeom prst="ellipse">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r>
            <a:rPr lang="en-US" sz="1100">
              <a:solidFill>
                <a:schemeClr val="dk1"/>
              </a:solidFill>
              <a:latin typeface="Arial Black" panose="020B0A04020102020204" pitchFamily="34" charset="0"/>
            </a:rPr>
            <a:t>₹12000+crore</a:t>
          </a:r>
        </a:p>
      </xdr:txBody>
    </xdr:sp>
    <xdr:clientData/>
  </xdr:twoCellAnchor>
  <xdr:twoCellAnchor>
    <xdr:from>
      <xdr:col>28</xdr:col>
      <xdr:colOff>61144</xdr:colOff>
      <xdr:row>2</xdr:row>
      <xdr:rowOff>122595</xdr:rowOff>
    </xdr:from>
    <xdr:to>
      <xdr:col>30</xdr:col>
      <xdr:colOff>242119</xdr:colOff>
      <xdr:row>4</xdr:row>
      <xdr:rowOff>159774</xdr:rowOff>
    </xdr:to>
    <xdr:sp macro="" textlink="">
      <xdr:nvSpPr>
        <xdr:cNvPr id="41" name="Oval 40">
          <a:extLst>
            <a:ext uri="{FF2B5EF4-FFF2-40B4-BE49-F238E27FC236}">
              <a16:creationId xmlns:a16="http://schemas.microsoft.com/office/drawing/2014/main" id="{00000000-0008-0000-0000-000029000000}"/>
            </a:ext>
            <a:ext uri="{147F2762-F138-4A5C-976F-8EAC2B608ADB}">
              <a16:predDERef xmlns:a16="http://schemas.microsoft.com/office/drawing/2014/main" pred="{00000000-0008-0000-0000-000028000000}"/>
            </a:ext>
          </a:extLst>
        </xdr:cNvPr>
        <xdr:cNvSpPr/>
      </xdr:nvSpPr>
      <xdr:spPr>
        <a:xfrm>
          <a:off x="17611725" y="491305"/>
          <a:ext cx="1434588" cy="405888"/>
        </a:xfrm>
        <a:prstGeom prst="ellipse">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a:latin typeface="Arial Black" panose="020B0A04020102020204" pitchFamily="34" charset="0"/>
            </a:rPr>
            <a:t>CH</a:t>
          </a:r>
          <a:r>
            <a:rPr lang="en-IN" sz="1100" baseline="0">
              <a:latin typeface="Arial Black" panose="020B0A04020102020204" pitchFamily="34" charset="0"/>
            </a:rPr>
            <a:t> Gayle</a:t>
          </a:r>
          <a:endParaRPr lang="en-IN" sz="1100">
            <a:latin typeface="Arial Black" panose="020B0A04020102020204" pitchFamily="34" charset="0"/>
          </a:endParaRPr>
        </a:p>
      </xdr:txBody>
    </xdr:sp>
    <xdr:clientData/>
  </xdr:twoCellAnchor>
  <xdr:twoCellAnchor>
    <xdr:from>
      <xdr:col>20</xdr:col>
      <xdr:colOff>108154</xdr:colOff>
      <xdr:row>26</xdr:row>
      <xdr:rowOff>102317</xdr:rowOff>
    </xdr:from>
    <xdr:to>
      <xdr:col>31</xdr:col>
      <xdr:colOff>430161</xdr:colOff>
      <xdr:row>40</xdr:row>
      <xdr:rowOff>98321</xdr:rowOff>
    </xdr:to>
    <xdr:graphicFrame macro="">
      <xdr:nvGraphicFramePr>
        <xdr:cNvPr id="42" name="Chart 41">
          <a:extLst>
            <a:ext uri="{FF2B5EF4-FFF2-40B4-BE49-F238E27FC236}">
              <a16:creationId xmlns:a16="http://schemas.microsoft.com/office/drawing/2014/main" id="{00000000-0008-0000-0000-00002A000000}"/>
            </a:ext>
            <a:ext uri="{147F2762-F138-4A5C-976F-8EAC2B608ADB}">
              <a16:predDERef xmlns:a16="http://schemas.microsoft.com/office/drawing/2014/main" pred="{00000000-0008-0000-00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467032</xdr:colOff>
      <xdr:row>0</xdr:row>
      <xdr:rowOff>76200</xdr:rowOff>
    </xdr:from>
    <xdr:to>
      <xdr:col>31</xdr:col>
      <xdr:colOff>414491</xdr:colOff>
      <xdr:row>2</xdr:row>
      <xdr:rowOff>73742</xdr:rowOff>
    </xdr:to>
    <xdr:sp macro="" textlink="">
      <xdr:nvSpPr>
        <xdr:cNvPr id="2" name="Rounded Rectangle 1">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17000000}"/>
            </a:ext>
          </a:extLst>
        </xdr:cNvPr>
        <xdr:cNvSpPr/>
      </xdr:nvSpPr>
      <xdr:spPr>
        <a:xfrm>
          <a:off x="16764000" y="76200"/>
          <a:ext cx="3081491" cy="366252"/>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1400" baseline="0">
              <a:latin typeface="Arial Black" panose="020B0A04020102020204" pitchFamily="34" charset="0"/>
            </a:rPr>
            <a:t>Top Performing Player</a:t>
          </a:r>
          <a:endParaRPr lang="en-IN" sz="1400">
            <a:latin typeface="Arial Black" panose="020B0A04020102020204" pitchFamily="34" charset="0"/>
          </a:endParaRPr>
        </a:p>
      </xdr:txBody>
    </xdr:sp>
    <xdr:clientData/>
  </xdr:twoCellAnchor>
  <xdr:twoCellAnchor>
    <xdr:from>
      <xdr:col>5</xdr:col>
      <xdr:colOff>168070</xdr:colOff>
      <xdr:row>0</xdr:row>
      <xdr:rowOff>69440</xdr:rowOff>
    </xdr:from>
    <xdr:to>
      <xdr:col>9</xdr:col>
      <xdr:colOff>406195</xdr:colOff>
      <xdr:row>2</xdr:row>
      <xdr:rowOff>107540</xdr:rowOff>
    </xdr:to>
    <xdr:sp macro="" textlink="">
      <xdr:nvSpPr>
        <xdr:cNvPr id="3" name="Rounded Rectangle 2">
          <a:extLst>
            <a:ext uri="{FF2B5EF4-FFF2-40B4-BE49-F238E27FC236}">
              <a16:creationId xmlns:a16="http://schemas.microsoft.com/office/drawing/2014/main" id="{00000000-0008-0000-0000-000003000000}"/>
            </a:ext>
            <a:ext uri="{147F2762-F138-4A5C-976F-8EAC2B608ADB}">
              <a16:predDERef xmlns:a16="http://schemas.microsoft.com/office/drawing/2014/main" pred="{D52AA228-8C2A-4C6A-99F3-65A96D823CD4}"/>
            </a:ext>
          </a:extLst>
        </xdr:cNvPr>
        <xdr:cNvSpPr/>
      </xdr:nvSpPr>
      <xdr:spPr>
        <a:xfrm>
          <a:off x="3302102" y="69440"/>
          <a:ext cx="2745351" cy="40681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600" b="0" i="0">
              <a:solidFill>
                <a:schemeClr val="lt1"/>
              </a:solidFill>
              <a:latin typeface="Arial Black" panose="020B0A04020102020204" pitchFamily="34" charset="0"/>
            </a:rPr>
            <a:t>Total Revenue </a:t>
          </a:r>
        </a:p>
      </xdr:txBody>
    </xdr:sp>
    <xdr:clientData/>
  </xdr:twoCellAnchor>
  <xdr:twoCellAnchor>
    <xdr:from>
      <xdr:col>22</xdr:col>
      <xdr:colOff>174216</xdr:colOff>
      <xdr:row>2</xdr:row>
      <xdr:rowOff>161926</xdr:rowOff>
    </xdr:from>
    <xdr:to>
      <xdr:col>24</xdr:col>
      <xdr:colOff>12291</xdr:colOff>
      <xdr:row>5</xdr:row>
      <xdr:rowOff>28576</xdr:rowOff>
    </xdr:to>
    <xdr:sp macro="" textlink="">
      <xdr:nvSpPr>
        <xdr:cNvPr id="4" name="Oval 3">
          <a:extLst>
            <a:ext uri="{FF2B5EF4-FFF2-40B4-BE49-F238E27FC236}">
              <a16:creationId xmlns:a16="http://schemas.microsoft.com/office/drawing/2014/main" id="{00000000-0008-0000-0000-000004000000}"/>
            </a:ext>
            <a:ext uri="{147F2762-F138-4A5C-976F-8EAC2B608ADB}">
              <a16:predDERef xmlns:a16="http://schemas.microsoft.com/office/drawing/2014/main" pred="{D3D46BAC-C229-7EC7-F729-C137C07C7277}"/>
            </a:ext>
          </a:extLst>
        </xdr:cNvPr>
        <xdr:cNvSpPr/>
      </xdr:nvSpPr>
      <xdr:spPr>
        <a:xfrm>
          <a:off x="13963958" y="530636"/>
          <a:ext cx="1091688" cy="419714"/>
        </a:xfrm>
        <a:prstGeom prst="ellipse">
          <a:avLst/>
        </a:prstGeom>
      </xdr:spPr>
      <xdr:style>
        <a:lnRef idx="2">
          <a:schemeClr val="accent2"/>
        </a:lnRef>
        <a:fillRef idx="1">
          <a:schemeClr val="lt1"/>
        </a:fillRef>
        <a:effectRef idx="0">
          <a:schemeClr val="accent2"/>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Arial Black" panose="020B0A04020102020204" pitchFamily="34" charset="0"/>
            </a:rPr>
            <a:t>54.44%</a:t>
          </a:r>
        </a:p>
      </xdr:txBody>
    </xdr:sp>
    <xdr:clientData/>
  </xdr:twoCellAnchor>
  <xdr:twoCellAnchor>
    <xdr:from>
      <xdr:col>26</xdr:col>
      <xdr:colOff>417870</xdr:colOff>
      <xdr:row>5</xdr:row>
      <xdr:rowOff>184354</xdr:rowOff>
    </xdr:from>
    <xdr:to>
      <xdr:col>31</xdr:col>
      <xdr:colOff>416334</xdr:colOff>
      <xdr:row>25</xdr:row>
      <xdr:rowOff>20278</xdr:rowOff>
    </xdr:to>
    <xdr:graphicFrame macro="">
      <xdr:nvGraphicFramePr>
        <xdr:cNvPr id="26" name="Chart 25">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7</xdr:row>
      <xdr:rowOff>104775</xdr:rowOff>
    </xdr:from>
    <xdr:to>
      <xdr:col>15</xdr:col>
      <xdr:colOff>561975</xdr:colOff>
      <xdr:row>27</xdr:row>
      <xdr:rowOff>4762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314325</xdr:colOff>
      <xdr:row>8</xdr:row>
      <xdr:rowOff>180975</xdr:rowOff>
    </xdr:from>
    <xdr:to>
      <xdr:col>16</xdr:col>
      <xdr:colOff>276225</xdr:colOff>
      <xdr:row>38</xdr:row>
      <xdr:rowOff>114300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57150</xdr:colOff>
      <xdr:row>7</xdr:row>
      <xdr:rowOff>152400</xdr:rowOff>
    </xdr:from>
    <xdr:to>
      <xdr:col>21</xdr:col>
      <xdr:colOff>285750</xdr:colOff>
      <xdr:row>21</xdr:row>
      <xdr:rowOff>9525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87025" y="1485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600075</xdr:colOff>
      <xdr:row>6</xdr:row>
      <xdr:rowOff>108585</xdr:rowOff>
    </xdr:from>
    <xdr:to>
      <xdr:col>10</xdr:col>
      <xdr:colOff>885825</xdr:colOff>
      <xdr:row>31</xdr:row>
      <xdr:rowOff>114301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381000</xdr:colOff>
      <xdr:row>11</xdr:row>
      <xdr:rowOff>175260</xdr:rowOff>
    </xdr:from>
    <xdr:to>
      <xdr:col>13</xdr:col>
      <xdr:colOff>438150</xdr:colOff>
      <xdr:row>25</xdr:row>
      <xdr:rowOff>81915</xdr:rowOff>
    </xdr:to>
    <mc:AlternateContent xmlns:mc="http://schemas.openxmlformats.org/markup-compatibility/2006" xmlns:a14="http://schemas.microsoft.com/office/drawing/2010/main">
      <mc:Choice Requires="a14">
        <xdr:graphicFrame macro="">
          <xdr:nvGraphicFramePr>
            <xdr:cNvPr id="3" name="Winne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8778240" y="2186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64770</xdr:colOff>
      <xdr:row>1</xdr:row>
      <xdr:rowOff>135255</xdr:rowOff>
    </xdr:from>
    <xdr:to>
      <xdr:col>12</xdr:col>
      <xdr:colOff>445770</xdr:colOff>
      <xdr:row>15</xdr:row>
      <xdr:rowOff>34290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23420" y="325755"/>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661035</xdr:colOff>
      <xdr:row>6</xdr:row>
      <xdr:rowOff>184785</xdr:rowOff>
    </xdr:from>
    <xdr:to>
      <xdr:col>9</xdr:col>
      <xdr:colOff>299085</xdr:colOff>
      <xdr:row>21</xdr:row>
      <xdr:rowOff>184785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514350</xdr:colOff>
      <xdr:row>3</xdr:row>
      <xdr:rowOff>166686</xdr:rowOff>
    </xdr:from>
    <xdr:to>
      <xdr:col>11</xdr:col>
      <xdr:colOff>304800</xdr:colOff>
      <xdr:row>27</xdr:row>
      <xdr:rowOff>104775</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984885</xdr:colOff>
      <xdr:row>6</xdr:row>
      <xdr:rowOff>184785</xdr:rowOff>
    </xdr:from>
    <xdr:to>
      <xdr:col>9</xdr:col>
      <xdr:colOff>289560</xdr:colOff>
      <xdr:row>21</xdr:row>
      <xdr:rowOff>184785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106680</xdr:colOff>
      <xdr:row>6</xdr:row>
      <xdr:rowOff>41910</xdr:rowOff>
    </xdr:from>
    <xdr:to>
      <xdr:col>10</xdr:col>
      <xdr:colOff>411480</xdr:colOff>
      <xdr:row>21</xdr:row>
      <xdr:rowOff>41910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209550</xdr:colOff>
      <xdr:row>7</xdr:row>
      <xdr:rowOff>176212</xdr:rowOff>
    </xdr:from>
    <xdr:to>
      <xdr:col>9</xdr:col>
      <xdr:colOff>514350</xdr:colOff>
      <xdr:row>22</xdr:row>
      <xdr:rowOff>61912</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xdr:colOff>
      <xdr:row>29</xdr:row>
      <xdr:rowOff>104775</xdr:rowOff>
    </xdr:from>
    <xdr:to>
      <xdr:col>14</xdr:col>
      <xdr:colOff>390525</xdr:colOff>
      <xdr:row>42</xdr:row>
      <xdr:rowOff>152400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124825" y="5629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180975</xdr:colOff>
      <xdr:row>25</xdr:row>
      <xdr:rowOff>47626</xdr:rowOff>
    </xdr:from>
    <xdr:to>
      <xdr:col>7</xdr:col>
      <xdr:colOff>180975</xdr:colOff>
      <xdr:row>31</xdr:row>
      <xdr:rowOff>47626</xdr:rowOff>
    </xdr:to>
    <mc:AlternateContent xmlns:mc="http://schemas.openxmlformats.org/markup-compatibility/2006" xmlns:a14="http://schemas.microsoft.com/office/drawing/2010/main">
      <mc:Choice Requires="a14">
        <xdr:graphicFrame macro="">
          <xdr:nvGraphicFramePr>
            <xdr:cNvPr id="4" name="Toss Win ">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microsoft.com/office/drawing/2010/slicer">
              <sle:slicer xmlns:sle="http://schemas.microsoft.com/office/drawing/2010/slicer" name="Toss Win "/>
            </a:graphicData>
          </a:graphic>
        </xdr:graphicFrame>
      </mc:Choice>
      <mc:Fallback xmlns="">
        <xdr:sp macro="" textlink="">
          <xdr:nvSpPr>
            <xdr:cNvPr id="0" name=""/>
            <xdr:cNvSpPr>
              <a:spLocks noTextEdit="1"/>
            </xdr:cNvSpPr>
          </xdr:nvSpPr>
          <xdr:spPr>
            <a:xfrm>
              <a:off x="3000375" y="4810126"/>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Lohar" refreshedDate="46157.563939236112" createdVersion="5" refreshedVersion="5" minRefreshableVersion="3" recordCount="799" xr:uid="{00000000-000A-0000-FFFF-FFFF28000000}">
  <cacheSource type="worksheet">
    <worksheetSource name="IPL_Matches_2008_2020___New"/>
  </cacheSource>
  <cacheFields count="21">
    <cacheField name="ID" numFmtId="0">
      <sharedItems count="799">
        <s v="335982"/>
        <s v="335983"/>
        <s v="335984"/>
        <s v="335985"/>
        <s v="335986"/>
        <s v="335987"/>
        <s v="335988"/>
        <s v="335989"/>
        <s v="335990"/>
        <s v="335991"/>
        <s v="335992"/>
        <s v="335993"/>
        <s v="335994"/>
        <s v="335995"/>
        <s v="335996"/>
        <s v="335997"/>
        <s v="335998"/>
        <s v="335999"/>
        <s v="336000"/>
        <s v="336001"/>
        <s v="336002"/>
        <s v="336003"/>
        <s v="336004"/>
        <s v="336005"/>
        <s v="336006"/>
        <s v="336007"/>
        <s v="336008"/>
        <s v="336009"/>
        <s v="336010"/>
        <s v="336011"/>
        <s v="336012"/>
        <s v="336013"/>
        <s v="336014"/>
        <s v="336015"/>
        <s v="336016"/>
        <s v="336017"/>
        <s v="336018"/>
        <s v="336019"/>
        <s v="336020"/>
        <s v="336021"/>
        <s v="336022"/>
        <s v="336023"/>
        <s v="336024"/>
        <s v="336025"/>
        <s v="336026"/>
        <s v="336027"/>
        <s v="336028"/>
        <s v="336029"/>
        <s v="336031"/>
        <s v="336032"/>
        <s v="336033"/>
        <s v="336034"/>
        <s v="336035"/>
        <s v="336036"/>
        <s v="336037"/>
        <s v="336038"/>
        <s v="336039"/>
        <s v="336040"/>
        <s v="392181"/>
        <s v="392182"/>
        <s v="392183"/>
        <s v="392184"/>
        <s v="392185"/>
        <s v="392186"/>
        <s v="392188"/>
        <s v="392189"/>
        <s v="392191"/>
        <s v="392192"/>
        <s v="392194"/>
        <s v="392195"/>
        <s v="392196"/>
        <s v="392197"/>
        <s v="392198"/>
        <s v="392199"/>
        <s v="392200"/>
        <s v="392201"/>
        <s v="392202"/>
        <s v="392203"/>
        <s v="392204"/>
        <s v="392205"/>
        <s v="392206"/>
        <s v="392207"/>
        <s v="392208"/>
        <s v="392209"/>
        <s v="392210"/>
        <s v="392211"/>
        <s v="392212"/>
        <s v="392213"/>
        <s v="392214"/>
        <s v="392215"/>
        <s v="392216"/>
        <s v="392217"/>
        <s v="392218"/>
        <s v="392219"/>
        <s v="392220"/>
        <s v="392221"/>
        <s v="392222"/>
        <s v="392223"/>
        <s v="392224"/>
        <s v="392225"/>
        <s v="392226"/>
        <s v="392227"/>
        <s v="392228"/>
        <s v="392229"/>
        <s v="392230"/>
        <s v="392231"/>
        <s v="392232"/>
        <s v="392233"/>
        <s v="392234"/>
        <s v="392235"/>
        <s v="392236"/>
        <s v="392237"/>
        <s v="392238"/>
        <s v="392239"/>
        <s v="419106"/>
        <s v="419107"/>
        <s v="419108"/>
        <s v="419109"/>
        <s v="419110"/>
        <s v="419111"/>
        <s v="419112"/>
        <s v="419113"/>
        <s v="419114"/>
        <s v="419115"/>
        <s v="419116"/>
        <s v="419117"/>
        <s v="419118"/>
        <s v="419119"/>
        <s v="419120"/>
        <s v="419122"/>
        <s v="419123"/>
        <s v="419124"/>
        <s v="419125"/>
        <s v="419126"/>
        <s v="419127"/>
        <s v="419128"/>
        <s v="419129"/>
        <s v="419130"/>
        <s v="419131"/>
        <s v="419132"/>
        <s v="419133"/>
        <s v="419134"/>
        <s v="419135"/>
        <s v="419136"/>
        <s v="419137"/>
        <s v="419138"/>
        <s v="419139"/>
        <s v="419140"/>
        <s v="419141"/>
        <s v="419142"/>
        <s v="419143"/>
        <s v="419144"/>
        <s v="419145"/>
        <s v="419146"/>
        <s v="419147"/>
        <s v="419148"/>
        <s v="419149"/>
        <s v="419150"/>
        <s v="419151"/>
        <s v="419152"/>
        <s v="419153"/>
        <s v="419154"/>
        <s v="419155"/>
        <s v="419156"/>
        <s v="419157"/>
        <s v="419158"/>
        <s v="419159"/>
        <s v="419160"/>
        <s v="419161"/>
        <s v="419162"/>
        <s v="419163"/>
        <s v="419164"/>
        <s v="419165"/>
        <s v="501198"/>
        <s v="501199"/>
        <s v="501200"/>
        <s v="501201"/>
        <s v="501202"/>
        <s v="501203"/>
        <s v="501204"/>
        <s v="501205"/>
        <s v="501206"/>
        <s v="501207"/>
        <s v="501208"/>
        <s v="501209"/>
        <s v="501210"/>
        <s v="501211"/>
        <s v="501212"/>
        <s v="501213"/>
        <s v="501214"/>
        <s v="501215"/>
        <s v="501216"/>
        <s v="501218"/>
        <s v="501219"/>
        <s v="501220"/>
        <s v="501221"/>
        <s v="501222"/>
        <s v="501223"/>
        <s v="501224"/>
        <s v="501225"/>
        <s v="501226"/>
        <s v="501227"/>
        <s v="501228"/>
        <s v="501229"/>
        <s v="501230"/>
        <s v="501231"/>
        <s v="501232"/>
        <s v="501233"/>
        <s v="501234"/>
        <s v="501235"/>
        <s v="501236"/>
        <s v="501237"/>
        <s v="501238"/>
        <s v="501239"/>
        <s v="501240"/>
        <s v="501241"/>
        <s v="501242"/>
        <s v="501243"/>
        <s v="501244"/>
        <s v="501245"/>
        <s v="501246"/>
        <s v="501247"/>
        <s v="501248"/>
        <s v="501249"/>
        <s v="501250"/>
        <s v="501251"/>
        <s v="501252"/>
        <s v="501253"/>
        <s v="501254"/>
        <s v="501255"/>
        <s v="501256"/>
        <s v="501257"/>
        <s v="501258"/>
        <s v="501259"/>
        <s v="501260"/>
        <s v="501261"/>
        <s v="501262"/>
        <s v="501263"/>
        <s v="501264"/>
        <s v="501266"/>
        <s v="501267"/>
        <s v="501268"/>
        <s v="501269"/>
        <s v="501270"/>
        <s v="501271"/>
        <s v="548306"/>
        <s v="548307"/>
        <s v="548308"/>
        <s v="548309"/>
        <s v="548310"/>
        <s v="548311"/>
        <s v="548312"/>
        <s v="548313"/>
        <s v="548314"/>
        <s v="548315"/>
        <s v="548316"/>
        <s v="548317"/>
        <s v="548318"/>
        <s v="548319"/>
        <s v="548320"/>
        <s v="548321"/>
        <s v="548322"/>
        <s v="548323"/>
        <s v="548324"/>
        <s v="548325"/>
        <s v="548326"/>
        <s v="548327"/>
        <s v="548328"/>
        <s v="548329"/>
        <s v="548330"/>
        <s v="548331"/>
        <s v="548332"/>
        <s v="548333"/>
        <s v="548334"/>
        <s v="548335"/>
        <s v="548336"/>
        <s v="548337"/>
        <s v="548339"/>
        <s v="548341"/>
        <s v="548342"/>
        <s v="548343"/>
        <s v="548344"/>
        <s v="548345"/>
        <s v="548346"/>
        <s v="548347"/>
        <s v="548348"/>
        <s v="548349"/>
        <s v="548350"/>
        <s v="548351"/>
        <s v="548352"/>
        <s v="548353"/>
        <s v="548354"/>
        <s v="548355"/>
        <s v="548356"/>
        <s v="548357"/>
        <s v="548358"/>
        <s v="548359"/>
        <s v="548360"/>
        <s v="548361"/>
        <s v="548362"/>
        <s v="548363"/>
        <s v="548364"/>
        <s v="548365"/>
        <s v="548366"/>
        <s v="548367"/>
        <s v="548368"/>
        <s v="548369"/>
        <s v="548370"/>
        <s v="548371"/>
        <s v="548372"/>
        <s v="548373"/>
        <s v="548374"/>
        <s v="548375"/>
        <s v="548376"/>
        <s v="548377"/>
        <s v="548378"/>
        <s v="548379"/>
        <s v="548380"/>
        <s v="548381"/>
        <s v="597998"/>
        <s v="597999"/>
        <s v="598000"/>
        <s v="598001"/>
        <s v="598002"/>
        <s v="598003"/>
        <s v="598005"/>
        <s v="598006"/>
        <s v="598007"/>
        <s v="598008"/>
        <s v="598009"/>
        <s v="598010"/>
        <s v="598011"/>
        <s v="598012"/>
        <s v="598013"/>
        <s v="598014"/>
        <s v="598015"/>
        <s v="598016"/>
        <s v="598018"/>
        <s v="598019"/>
        <s v="598020"/>
        <s v="598021"/>
        <s v="598022"/>
        <s v="598023"/>
        <s v="598024"/>
        <s v="598025"/>
        <s v="598026"/>
        <s v="598027"/>
        <s v="598028"/>
        <s v="598029"/>
        <s v="598030"/>
        <s v="598031"/>
        <s v="598032"/>
        <s v="598033"/>
        <s v="598034"/>
        <s v="598035"/>
        <s v="598036"/>
        <s v="598037"/>
        <s v="598038"/>
        <s v="598039"/>
        <s v="598040"/>
        <s v="598041"/>
        <s v="598042"/>
        <s v="598043"/>
        <s v="598044"/>
        <s v="598045"/>
        <s v="598046"/>
        <s v="598047"/>
        <s v="598048"/>
        <s v="598049"/>
        <s v="598050"/>
        <s v="598051"/>
        <s v="598052"/>
        <s v="598053"/>
        <s v="598054"/>
        <s v="598055"/>
        <s v="598056"/>
        <s v="598057"/>
        <s v="598058"/>
        <s v="598059"/>
        <s v="598060"/>
        <s v="598061"/>
        <s v="598062"/>
        <s v="598063"/>
        <s v="598064"/>
        <s v="598065"/>
        <s v="598066"/>
        <s v="598067"/>
        <s v="598068"/>
        <s v="598069"/>
        <s v="598070"/>
        <s v="598071"/>
        <s v="598072"/>
        <s v="598073"/>
        <s v="729279"/>
        <s v="729281"/>
        <s v="729283"/>
        <s v="729285"/>
        <s v="729287"/>
        <s v="729289"/>
        <s v="729291"/>
        <s v="729293"/>
        <s v="729295"/>
        <s v="729297"/>
        <s v="729299"/>
        <s v="729301"/>
        <s v="729303"/>
        <s v="729305"/>
        <s v="729307"/>
        <s v="729309"/>
        <s v="729311"/>
        <s v="729313"/>
        <s v="729317"/>
        <s v="733971"/>
        <s v="733973"/>
        <s v="733975"/>
        <s v="733977"/>
        <s v="733979"/>
        <s v="733981"/>
        <s v="733983"/>
        <s v="733985"/>
        <s v="733987"/>
        <s v="733989"/>
        <s v="733991"/>
        <s v="733993"/>
        <s v="733995"/>
        <s v="733997"/>
        <s v="733999"/>
        <s v="734001"/>
        <s v="734003"/>
        <s v="734005"/>
        <s v="734007"/>
        <s v="734009"/>
        <s v="734011"/>
        <s v="734013"/>
        <s v="734015"/>
        <s v="734017"/>
        <s v="734019"/>
        <s v="734021"/>
        <s v="734023"/>
        <s v="734025"/>
        <s v="734027"/>
        <s v="734029"/>
        <s v="734031"/>
        <s v="734033"/>
        <s v="734035"/>
        <s v="734037"/>
        <s v="734039"/>
        <s v="734041"/>
        <s v="734043"/>
        <s v="734045"/>
        <s v="734047"/>
        <s v="734049"/>
        <s v="829705"/>
        <s v="829707"/>
        <s v="829709"/>
        <s v="829711"/>
        <s v="829713"/>
        <s v="829715"/>
        <s v="829717"/>
        <s v="829719"/>
        <s v="829721"/>
        <s v="829723"/>
        <s v="829725"/>
        <s v="829727"/>
        <s v="829729"/>
        <s v="829731"/>
        <s v="829733"/>
        <s v="829735"/>
        <s v="829737"/>
        <s v="829739"/>
        <s v="829743"/>
        <s v="829745"/>
        <s v="829747"/>
        <s v="829749"/>
        <s v="829751"/>
        <s v="829753"/>
        <s v="829757"/>
        <s v="829759"/>
        <s v="829761"/>
        <s v="829765"/>
        <s v="829767"/>
        <s v="829769"/>
        <s v="829771"/>
        <s v="829773"/>
        <s v="829775"/>
        <s v="829777"/>
        <s v="829779"/>
        <s v="829781"/>
        <s v="829783"/>
        <s v="829785"/>
        <s v="829787"/>
        <s v="829789"/>
        <s v="829791"/>
        <s v="829793"/>
        <s v="829795"/>
        <s v="829797"/>
        <s v="829799"/>
        <s v="829801"/>
        <s v="829803"/>
        <s v="829805"/>
        <s v="829807"/>
        <s v="829809"/>
        <s v="829811"/>
        <s v="829815"/>
        <s v="829817"/>
        <s v="829819"/>
        <s v="829821"/>
        <s v="829823"/>
        <s v="980901"/>
        <s v="980903"/>
        <s v="980905"/>
        <s v="980907"/>
        <s v="980909"/>
        <s v="980911"/>
        <s v="980913"/>
        <s v="980915"/>
        <s v="980917"/>
        <s v="980919"/>
        <s v="980921"/>
        <s v="980923"/>
        <s v="980925"/>
        <s v="980927"/>
        <s v="980929"/>
        <s v="980931"/>
        <s v="980933"/>
        <s v="980935"/>
        <s v="980937"/>
        <s v="980939"/>
        <s v="980941"/>
        <s v="980943"/>
        <s v="980945"/>
        <s v="980947"/>
        <s v="980949"/>
        <s v="980951"/>
        <s v="980953"/>
        <s v="980955"/>
        <s v="980957"/>
        <s v="980959"/>
        <s v="980961"/>
        <s v="980963"/>
        <s v="980965"/>
        <s v="980967"/>
        <s v="980969"/>
        <s v="980971"/>
        <s v="980973"/>
        <s v="980975"/>
        <s v="980977"/>
        <s v="980979"/>
        <s v="980981"/>
        <s v="980983"/>
        <s v="980985"/>
        <s v="980987"/>
        <s v="980989"/>
        <s v="980991"/>
        <s v="980993"/>
        <s v="980995"/>
        <s v="980997"/>
        <s v="980999"/>
        <s v="981001"/>
        <s v="981003"/>
        <s v="981005"/>
        <s v="981007"/>
        <s v="981009"/>
        <s v="981011"/>
        <s v="981013"/>
        <s v="981015"/>
        <s v="981017"/>
        <s v="981019"/>
        <s v="1082591"/>
        <s v="1082592"/>
        <s v="1082593"/>
        <s v="1082594"/>
        <s v="1082595"/>
        <s v="1082596"/>
        <s v="1082597"/>
        <s v="1082598"/>
        <s v="1082599"/>
        <s v="1082600"/>
        <s v="1082601"/>
        <s v="1082602"/>
        <s v="1082603"/>
        <s v="1082604"/>
        <s v="1082605"/>
        <s v="1082606"/>
        <s v="1082607"/>
        <s v="1082608"/>
        <s v="1082609"/>
        <s v="1082610"/>
        <s v="1082611"/>
        <s v="1082612"/>
        <s v="1082613"/>
        <s v="1082614"/>
        <s v="1082615"/>
        <s v="1082616"/>
        <s v="1082617"/>
        <s v="1082618"/>
        <s v="1082620"/>
        <s v="1082621"/>
        <s v="1082622"/>
        <s v="1082623"/>
        <s v="1082624"/>
        <s v="1082626"/>
        <s v="1082627"/>
        <s v="1082628"/>
        <s v="1082629"/>
        <s v="1082630"/>
        <s v="1082631"/>
        <s v="1082632"/>
        <s v="1082633"/>
        <s v="1082634"/>
        <s v="1082635"/>
        <s v="1082636"/>
        <s v="1082637"/>
        <s v="1082638"/>
        <s v="1082639"/>
        <s v="1082640"/>
        <s v="1082641"/>
        <s v="1082642"/>
        <s v="1082643"/>
        <s v="1082644"/>
        <s v="1082645"/>
        <s v="1082646"/>
        <s v="1082647"/>
        <s v="1082648"/>
        <s v="1082649"/>
        <s v="1082650"/>
        <s v="1136561"/>
        <s v="1136562"/>
        <s v="1136563"/>
        <s v="1136564"/>
        <s v="1136565"/>
        <s v="1136566"/>
        <s v="1136567"/>
        <s v="1136568"/>
        <s v="1136569"/>
        <s v="1136570"/>
        <s v="1136571"/>
        <s v="1136572"/>
        <s v="1136573"/>
        <s v="1136574"/>
        <s v="1136575"/>
        <s v="1136576"/>
        <s v="1136577"/>
        <s v="1136578"/>
        <s v="1136579"/>
        <s v="1136580"/>
        <s v="1136581"/>
        <s v="1136582"/>
        <s v="1136583"/>
        <s v="1136584"/>
        <s v="1136585"/>
        <s v="1136586"/>
        <s v="1136587"/>
        <s v="1136588"/>
        <s v="1136589"/>
        <s v="1136590"/>
        <s v="1136591"/>
        <s v="1136592"/>
        <s v="1136593"/>
        <s v="1136594"/>
        <s v="1136595"/>
        <s v="1136596"/>
        <s v="1136597"/>
        <s v="1136598"/>
        <s v="1136599"/>
        <s v="1136600"/>
        <s v="1136601"/>
        <s v="1136602"/>
        <s v="1136603"/>
        <s v="1136604"/>
        <s v="1136605"/>
        <s v="1136606"/>
        <s v="1136607"/>
        <s v="1136608"/>
        <s v="1136609"/>
        <s v="1136610"/>
        <s v="1136611"/>
        <s v="1136612"/>
        <s v="1136613"/>
        <s v="1136614"/>
        <s v="1136615"/>
        <s v="1136616"/>
        <s v="1136617"/>
        <s v="1136618"/>
        <s v="1136619"/>
        <s v="1136620"/>
        <s v="1175356"/>
        <s v="1175357"/>
        <s v="1175358"/>
        <s v="1175359"/>
        <s v="1175360"/>
        <s v="1175361"/>
        <s v="1175362"/>
        <s v="1175363"/>
        <s v="1175364"/>
        <s v="1175366"/>
        <s v="1175367"/>
        <s v="1175368"/>
        <s v="1175369"/>
        <s v="1175370"/>
        <s v="1175371"/>
        <s v="1175372"/>
        <s v="1178393"/>
        <s v="1178394"/>
        <s v="1178395"/>
        <s v="1178396"/>
        <s v="1178397"/>
        <s v="1178398"/>
        <s v="1178399"/>
        <s v="1178400"/>
        <s v="1178401"/>
        <s v="1178402"/>
        <s v="1178403"/>
        <s v="1178404"/>
        <s v="1178405"/>
        <s v="1178406"/>
        <s v="1178407"/>
        <s v="1178408"/>
        <s v="1178409"/>
        <s v="1178410"/>
        <s v="1178411"/>
        <s v="1178412"/>
        <s v="1178413"/>
        <s v="1178414"/>
        <s v="1178415"/>
        <s v="1178416"/>
        <s v="1178417"/>
        <s v="1178418"/>
        <s v="1178419"/>
        <s v="1178420"/>
        <s v="1178421"/>
        <s v="1178422"/>
        <s v="1178423"/>
        <s v="1178425"/>
        <s v="1178427"/>
        <s v="1178428"/>
        <s v="1178429"/>
        <s v="1178430"/>
        <s v="1178431"/>
        <s v="1181764"/>
        <s v="1181766"/>
        <s v="1181767"/>
        <s v="1181768"/>
        <s v="1216492"/>
        <s v="1216494"/>
        <s v="1216495"/>
        <s v="1216496"/>
        <s v="1216497"/>
        <s v="1216498"/>
        <s v="1216499"/>
        <s v="1216500"/>
        <s v="1216501"/>
        <s v="1216502"/>
        <s v="1216503"/>
        <s v="1216504"/>
        <s v="1216505"/>
        <s v="1216506"/>
        <s v="1216507"/>
        <s v="1216508"/>
        <s v="1216509"/>
        <s v="1216510"/>
        <s v="1216511"/>
        <s v="1216513"/>
        <s v="1216514"/>
        <s v="1216515"/>
        <s v="1216516"/>
        <s v="1216518"/>
        <s v="1216519"/>
        <s v="1216520"/>
        <s v="1216521"/>
        <s v="1216522"/>
        <s v="1216523"/>
        <s v="1216524"/>
        <s v="1216525"/>
        <s v="1216526"/>
        <s v="1216527"/>
        <s v="1216528"/>
        <s v="1216529"/>
        <s v="1216530"/>
        <s v="1216531"/>
        <s v="1216532"/>
        <s v="1216533"/>
        <s v="1216534"/>
        <s v="1216535"/>
        <s v="1216536"/>
        <s v="1216537"/>
        <s v="1216538"/>
        <s v="1216539"/>
        <s v="1216540"/>
        <s v="1216541"/>
        <s v="1216542"/>
        <s v="1216543"/>
        <s v="1216544"/>
        <s v="1216545"/>
        <s v="1216546"/>
        <s v="1237177"/>
        <s v="1237178"/>
        <s v="1237180"/>
        <s v="1237181"/>
      </sharedItems>
    </cacheField>
    <cacheField name="City" numFmtId="0">
      <sharedItems/>
    </cacheField>
    <cacheField name="Season" numFmtId="0">
      <sharedItems containsSemiMixedTypes="0" containsString="0" containsNumber="1" containsInteger="1" minValue="2008" maxValue="2020" count="13">
        <n v="2008"/>
        <n v="2009"/>
        <n v="2010"/>
        <n v="2011"/>
        <n v="2012"/>
        <n v="2013"/>
        <n v="2014"/>
        <n v="2015"/>
        <n v="2016"/>
        <n v="2017"/>
        <n v="2018"/>
        <n v="2019"/>
        <n v="2020"/>
      </sharedItems>
    </cacheField>
    <cacheField name="Date " numFmtId="14">
      <sharedItems containsSemiMixedTypes="0" containsNonDate="0" containsDate="1" containsString="0" minDate="2008-04-18T00:00:00" maxDate="2020-11-11T00:00:00"/>
    </cacheField>
    <cacheField name="Player of the Match" numFmtId="0">
      <sharedItems/>
    </cacheField>
    <cacheField name="Venue" numFmtId="0">
      <sharedItems/>
    </cacheField>
    <cacheField name="Team 1" numFmtId="0">
      <sharedItems/>
    </cacheField>
    <cacheField name="Team 2" numFmtId="0">
      <sharedItems/>
    </cacheField>
    <cacheField name="Toss Winner" numFmtId="0">
      <sharedItems/>
    </cacheField>
    <cacheField name="Toss Decision" numFmtId="0">
      <sharedItems count="2">
        <s v="field"/>
        <s v="bat"/>
      </sharedItems>
    </cacheField>
    <cacheField name="Winner" numFmtId="0">
      <sharedItems/>
    </cacheField>
    <cacheField name="Result" numFmtId="0">
      <sharedItems/>
    </cacheField>
    <cacheField name="Result Margin" numFmtId="0">
      <sharedItems containsSemiMixedTypes="0" containsString="0" containsNumber="1" containsInteger="1" minValue="1" maxValue="146"/>
    </cacheField>
    <cacheField name="Eliminator" numFmtId="0">
      <sharedItems/>
    </cacheField>
    <cacheField name="Method" numFmtId="0">
      <sharedItems/>
    </cacheField>
    <cacheField name="Umpire 1" numFmtId="0">
      <sharedItems count="48">
        <s v="Asad Rauf"/>
        <s v="MR Benson"/>
        <s v="Aleem Dar"/>
        <s v="SJ Davis"/>
        <s v="BF Bowden"/>
        <s v="IL Howell"/>
        <s v="DJ Harper"/>
        <s v="RE Koertzen"/>
        <s v="BR Doctrove"/>
        <s v="AV Jayaprakash"/>
        <s v="BG Jerling"/>
        <s v="M Erasmus"/>
        <s v="HDPK Dharmasena"/>
        <s v="S Asnani"/>
        <s v="GAV Baxter"/>
        <s v="SS Hazare"/>
        <s v="K Hariharan"/>
        <s v="SL Shastri"/>
        <s v="SK Tarapore"/>
        <s v="S Ravi"/>
        <s v="SJA Taufel"/>
        <s v="S Das"/>
        <s v="AM Saheba"/>
        <s v="PR Reiffel"/>
        <s v="JD Cloete"/>
        <s v="AK Chaudhary"/>
        <s v="VA Kulkarni"/>
        <s v="BNJ Oxenford"/>
        <s v="CK Nandan"/>
        <s v="C Shamshuddin"/>
        <s v="NJ Llong"/>
        <s v="RK Illingworth"/>
        <s v="RM Deshpande"/>
        <s v="K Srinath"/>
        <s v="SD Fry"/>
        <s v="CB Gaffaney"/>
        <s v="PG Pathak"/>
        <s v="Nitin Menon"/>
        <s v="K Bharatan"/>
        <s v="AY Dandekar"/>
        <s v="KN Ananthapadmanabhan"/>
        <s v="A Nand Kishore"/>
        <s v="A Deshmukh"/>
        <s v="YC Barde"/>
        <s v="RJ Tucker"/>
        <s v="VK Sharma"/>
        <s v="UV Gandhe"/>
        <s v="IJ Gould"/>
      </sharedItems>
    </cacheField>
    <cacheField name="Umpire 2" numFmtId="0">
      <sharedItems/>
    </cacheField>
    <cacheField name="Year" numFmtId="0">
      <sharedItems containsSemiMixedTypes="0" containsString="0" containsNumber="1" containsInteger="1" minValue="2008" maxValue="2020" count="13">
        <n v="2008"/>
        <n v="2009"/>
        <n v="2010"/>
        <n v="2011"/>
        <n v="2012"/>
        <n v="2013"/>
        <n v="2014"/>
        <n v="2015"/>
        <n v="2016"/>
        <n v="2017"/>
        <n v="2018"/>
        <n v="2019"/>
        <n v="2020"/>
      </sharedItems>
    </cacheField>
    <cacheField name="Win Type" numFmtId="0">
      <sharedItems count="2">
        <s v="Batting First"/>
        <s v="Chasing"/>
      </sharedItems>
    </cacheField>
    <cacheField name="Toss Win " numFmtId="0">
      <sharedItems containsSemiMixedTypes="0" containsString="0" containsNumber="1" containsInteger="1" minValue="0" maxValue="1" count="2">
        <n v="0"/>
        <n v="1"/>
      </sharedItems>
    </cacheField>
    <cacheField name="Toss Impact" numFmtId="0">
      <sharedItems count="2">
        <s v="No"/>
        <s v="Yes"/>
      </sharedItems>
    </cacheField>
  </cacheFields>
  <extLst>
    <ext xmlns:x14="http://schemas.microsoft.com/office/spreadsheetml/2009/9/main" uri="{725AE2AE-9491-48be-B2B4-4EB974FC3084}">
      <x14:pivotCacheDefinition pivotCacheId="1710041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Lohar" refreshedDate="46157.563942245368" createdVersion="8" refreshedVersion="5" minRefreshableVersion="3" recordCount="800" xr:uid="{00000000-000A-0000-FFFF-FFFF26000000}">
  <cacheSource type="worksheet">
    <worksheetSource ref="A1:S1048576" sheet="Cleaned Data "/>
  </cacheSource>
  <cacheFields count="19">
    <cacheField name="ID" numFmtId="0">
      <sharedItems containsBlank="1"/>
    </cacheField>
    <cacheField name="City" numFmtId="0">
      <sharedItems containsBlank="1"/>
    </cacheField>
    <cacheField name="Season" numFmtId="0">
      <sharedItems containsString="0" containsBlank="1" containsNumber="1" containsInteger="1" minValue="2008" maxValue="2020"/>
    </cacheField>
    <cacheField name="Date " numFmtId="0">
      <sharedItems containsNonDate="0" containsDate="1" containsString="0" containsBlank="1" minDate="2008-04-18T00:00:00" maxDate="2020-11-11T00:00:00"/>
    </cacheField>
    <cacheField name="Player of the Match" numFmtId="0">
      <sharedItems containsBlank="1" count="233">
        <s v="BB McCullum"/>
        <s v="MEK Hussey"/>
        <s v="MF Maharoof"/>
        <s v="MV Boucher"/>
        <s v="DJ Hussey"/>
        <s v="SR Watson"/>
        <s v="V Sehwag"/>
        <s v="ML Hayden"/>
        <s v="YK Pathan"/>
        <s v="KC Sangakkara"/>
        <s v="JDP Oram"/>
        <s v="AC Gilchrist"/>
        <s v="SM Katich"/>
        <s v="MS Dhoni"/>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K Raina"/>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AJ Finch"/>
        <s v="JP Faulkner"/>
        <s v="MS Gony"/>
        <s v="GH Vihari"/>
        <s v="DA Miller"/>
        <s v="SV Samson"/>
        <s v="DJG Sammy"/>
        <s v="MG Johnson"/>
        <s v="KK Cooper"/>
        <s v="PA Patel"/>
        <s v="AP Tare"/>
        <s v="LJ Wright"/>
        <s v="YS Chahal"/>
        <s v="GJ Maxwell"/>
        <s v="CA Lynn"/>
        <s v="MM Sharma"/>
        <s v="PV Tambe"/>
        <s v="Sandeep Sharma"/>
        <s v="B Kumar"/>
        <s v="CJ Anderson"/>
        <s v="KK Nair"/>
        <s v="AR Patel"/>
        <s v="LMP Simmons"/>
        <s v="DJ Hooda"/>
        <s v="GJ Bailey"/>
        <s v="AD Russell"/>
        <s v="MA Agarwa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JM Bairstow"/>
        <s v="SM Curran"/>
        <s v="AS Joseph"/>
        <s v="K Rabada"/>
        <s v="HF Gurney"/>
        <s v="DL Chahar"/>
        <s v="Imran Tahir"/>
        <s v="KMA Paul"/>
        <s v="KK Ahmed"/>
        <s v="Shubman Gill"/>
        <s v="SO Hetmyer"/>
        <s v="CV Varun"/>
        <s v="CJ Jordan"/>
        <s v="Shivam Mavi"/>
        <s v="A Nortje"/>
        <s v="RD Gaikwad"/>
        <s v="R Tewatia"/>
        <s v="PK Garg"/>
        <s v="PJ Cummins"/>
        <s v="PP Shaw"/>
        <m/>
      </sharedItems>
    </cacheField>
    <cacheField name="Venue" numFmtId="0">
      <sharedItems containsBlank="1" count="3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Saurashtra Cricket Association Stadium"/>
        <s v="Green Park"/>
        <m/>
        <s v="Punjab Cricket Association IS Bindra Stadium, Mohali" u="1"/>
        <s v="M Chinnaswamy Stadium" u="1"/>
        <s v="M.Chinnaswamy Stadium" u="1"/>
      </sharedItems>
    </cacheField>
    <cacheField name="Team 1" numFmtId="0">
      <sharedItems containsBlank="1" count="14">
        <s v="Royal Challengers Bangalore"/>
        <s v="Punjab Kings"/>
        <s v="Delhi Capitals"/>
        <s v="Mumbai Indians"/>
        <s v="Kolkata Knight Riders"/>
        <s v="Rajasthan Royals"/>
        <s v="Deccan Chargers"/>
        <s v="Chennai Super Kings"/>
        <s v="Kochi Tuskers Kerala"/>
        <s v="Pune Warriors"/>
        <s v="Sunrisers Hyderabad"/>
        <s v="Gujarat Lions"/>
        <s v="Rising Pune Supergiant"/>
        <m/>
      </sharedItems>
    </cacheField>
    <cacheField name="Team 2" numFmtId="0">
      <sharedItems containsBlank="1"/>
    </cacheField>
    <cacheField name="Toss Winner" numFmtId="0">
      <sharedItems containsBlank="1" count="14">
        <s v="Royal Challengers Bangalore"/>
        <s v="Chennai Super Kings"/>
        <s v="Rajasthan Royals"/>
        <s v="Mumbai Indians"/>
        <s v="Deccan Chargers"/>
        <s v="Punjab Kings"/>
        <s v="Kolkata Knight Riders"/>
        <s v="Delhi Capitals"/>
        <s v="Kochi Tuskers Kerala"/>
        <s v="Pune Warriors"/>
        <s v="Sunrisers Hyderabad"/>
        <s v="Gujarat Lions"/>
        <s v="Rising Pune Supergiant"/>
        <m/>
      </sharedItems>
    </cacheField>
    <cacheField name="Toss Decision" numFmtId="0">
      <sharedItems containsBlank="1" count="3">
        <s v="field"/>
        <s v="bat"/>
        <m/>
      </sharedItems>
    </cacheField>
    <cacheField name="Winner" numFmtId="0">
      <sharedItems containsBlank="1" count="14">
        <s v="Kolkata Knight Riders"/>
        <s v="Chennai Super Kings"/>
        <s v="Delhi Capitals"/>
        <s v="Royal Challengers Bangalore"/>
        <s v="Rajasthan Royals"/>
        <s v="Punjab Kings"/>
        <s v="Deccan Chargers"/>
        <s v="Mumbai Indians"/>
        <s v="Pune Warriors"/>
        <s v="Kochi Tuskers Kerala"/>
        <s v="Sunrisers Hyderabad"/>
        <s v="Rising Pune Supergiant"/>
        <s v="Gujarat Lions"/>
        <m/>
      </sharedItems>
    </cacheField>
    <cacheField name="Result" numFmtId="0">
      <sharedItems containsBlank="1"/>
    </cacheField>
    <cacheField name="Result Margin" numFmtId="0">
      <sharedItems containsString="0" containsBlank="1" containsNumber="1" containsInteger="1" minValue="1" maxValue="146"/>
    </cacheField>
    <cacheField name="Eliminator" numFmtId="0">
      <sharedItems containsBlank="1"/>
    </cacheField>
    <cacheField name="Method" numFmtId="0">
      <sharedItems containsBlank="1"/>
    </cacheField>
    <cacheField name="Umpire 1" numFmtId="0">
      <sharedItems containsBlank="1"/>
    </cacheField>
    <cacheField name="Umpire 2" numFmtId="0">
      <sharedItems containsBlank="1"/>
    </cacheField>
    <cacheField name="Year" numFmtId="0">
      <sharedItems containsString="0" containsBlank="1" containsNumber="1" containsInteger="1" minValue="2008" maxValue="2020" count="14">
        <n v="2008"/>
        <n v="2009"/>
        <n v="2010"/>
        <n v="2011"/>
        <n v="2012"/>
        <n v="2013"/>
        <n v="2014"/>
        <n v="2015"/>
        <n v="2016"/>
        <n v="2017"/>
        <n v="2018"/>
        <n v="2019"/>
        <n v="2020"/>
        <m/>
      </sharedItems>
    </cacheField>
    <cacheField name="Win Type" numFmtId="0">
      <sharedItems containsBlank="1" count="3">
        <s v="Batting First"/>
        <s v="Chasing"/>
        <m/>
      </sharedItems>
    </cacheField>
  </cacheFields>
  <extLst>
    <ext xmlns:x14="http://schemas.microsoft.com/office/spreadsheetml/2009/9/main" uri="{725AE2AE-9491-48be-B2B4-4EB974FC3084}">
      <x14:pivotCacheDefinition pivotCacheId="349345262"/>
    </ext>
  </extLst>
</pivotCacheDefinition>
</file>

<file path=xl/pivotCache/pivotCacheRecords1.xml><?xml version="1.0" encoding="utf-8"?>
<pivotCacheRecords xmlns="http://schemas.openxmlformats.org/spreadsheetml/2006/main" xmlns:r="http://schemas.openxmlformats.org/officeDocument/2006/relationships" count="799">
  <r>
    <x v="0"/>
    <s v="Bangalore"/>
    <x v="0"/>
    <d v="2008-04-18T00:00:00"/>
    <s v="BB McCullum"/>
    <s v="M. Chinnaswamy Stadium"/>
    <s v="Royal Challengers Bangalore"/>
    <s v="Kolkata Knight Riders"/>
    <s v="Royal Challengers Bangalore"/>
    <x v="0"/>
    <s v="Kolkata Knight Riders"/>
    <s v="runs"/>
    <n v="140"/>
    <s v="N"/>
    <s v="Normal Match"/>
    <x v="0"/>
    <s v="RE Koertzen"/>
    <x v="0"/>
    <x v="0"/>
    <x v="0"/>
    <x v="0"/>
  </r>
  <r>
    <x v="1"/>
    <s v="Chandigarh"/>
    <x v="0"/>
    <d v="2008-04-19T00:00:00"/>
    <s v="MEK Hussey"/>
    <s v="Punjab Cricket Association Stadium, Mohali"/>
    <s v="Punjab Kings"/>
    <s v="Chennai Super Kings"/>
    <s v="Chennai Super Kings"/>
    <x v="1"/>
    <s v="Chennai Super Kings"/>
    <s v="runs"/>
    <n v="33"/>
    <s v="N"/>
    <s v="Normal Match"/>
    <x v="1"/>
    <s v="SL Shastri"/>
    <x v="0"/>
    <x v="0"/>
    <x v="1"/>
    <x v="1"/>
  </r>
  <r>
    <x v="2"/>
    <s v="Delhi"/>
    <x v="0"/>
    <d v="2008-04-19T00:00:00"/>
    <s v="MF Maharoof"/>
    <s v="Feroz Shah Kotla"/>
    <s v="Delhi Capitals"/>
    <s v="Rajasthan Royals"/>
    <s v="Rajasthan Royals"/>
    <x v="1"/>
    <s v="Delhi Capitals"/>
    <s v="wickets"/>
    <n v="9"/>
    <s v="N"/>
    <s v="Normal Match"/>
    <x v="2"/>
    <s v="GA Pratapkumar"/>
    <x v="0"/>
    <x v="1"/>
    <x v="0"/>
    <x v="0"/>
  </r>
  <r>
    <x v="3"/>
    <s v="Mumbai"/>
    <x v="0"/>
    <d v="2008-04-20T00:00:00"/>
    <s v="MV Boucher"/>
    <s v="Wankhede Stadium"/>
    <s v="Mumbai Indians"/>
    <s v="Royal Challengers Bangalore"/>
    <s v="Mumbai Indians"/>
    <x v="1"/>
    <s v="Royal Challengers Bangalore"/>
    <s v="wickets"/>
    <n v="5"/>
    <s v="N"/>
    <s v="Normal Match"/>
    <x v="3"/>
    <s v="DJ Harper"/>
    <x v="0"/>
    <x v="1"/>
    <x v="0"/>
    <x v="0"/>
  </r>
  <r>
    <x v="4"/>
    <s v="Kolkata"/>
    <x v="0"/>
    <d v="2008-04-20T00:00:00"/>
    <s v="DJ Hussey"/>
    <s v="Eden Gardens"/>
    <s v="Kolkata Knight Riders"/>
    <s v="Deccan Chargers"/>
    <s v="Deccan Chargers"/>
    <x v="1"/>
    <s v="Kolkata Knight Riders"/>
    <s v="wickets"/>
    <n v="5"/>
    <s v="N"/>
    <s v="Normal Match"/>
    <x v="4"/>
    <s v="K Hariharan"/>
    <x v="0"/>
    <x v="1"/>
    <x v="0"/>
    <x v="0"/>
  </r>
  <r>
    <x v="5"/>
    <s v="Jaipur"/>
    <x v="0"/>
    <d v="2008-04-21T00:00:00"/>
    <s v="SR Watson"/>
    <s v="Sawai Mansingh Stadium"/>
    <s v="Rajasthan Royals"/>
    <s v="Punjab Kings"/>
    <s v="Punjab Kings"/>
    <x v="1"/>
    <s v="Rajasthan Royals"/>
    <s v="wickets"/>
    <n v="6"/>
    <s v="N"/>
    <s v="Normal Match"/>
    <x v="2"/>
    <s v="RB Tiffin"/>
    <x v="0"/>
    <x v="1"/>
    <x v="0"/>
    <x v="0"/>
  </r>
  <r>
    <x v="6"/>
    <s v="Hyderabad"/>
    <x v="0"/>
    <d v="2008-04-22T00:00:00"/>
    <s v="V Sehwag"/>
    <s v="Rajiv Gandhi International Stadium, Uppal"/>
    <s v="Deccan Chargers"/>
    <s v="Delhi Capitals"/>
    <s v="Deccan Chargers"/>
    <x v="1"/>
    <s v="Delhi Capitals"/>
    <s v="wickets"/>
    <n v="9"/>
    <s v="N"/>
    <s v="Normal Match"/>
    <x v="5"/>
    <s v="AM Saheba"/>
    <x v="0"/>
    <x v="1"/>
    <x v="0"/>
    <x v="0"/>
  </r>
  <r>
    <x v="7"/>
    <s v="Chennai"/>
    <x v="0"/>
    <d v="2008-04-23T00:00:00"/>
    <s v="ML Hayden"/>
    <s v="MA Chidambaram Stadium, Chepauk"/>
    <s v="Chennai Super Kings"/>
    <s v="Mumbai Indians"/>
    <s v="Mumbai Indians"/>
    <x v="0"/>
    <s v="Chennai Super Kings"/>
    <s v="runs"/>
    <n v="6"/>
    <s v="N"/>
    <s v="Normal Match"/>
    <x v="6"/>
    <s v="GA Pratapkumar"/>
    <x v="0"/>
    <x v="0"/>
    <x v="0"/>
    <x v="0"/>
  </r>
  <r>
    <x v="8"/>
    <s v="Hyderabad"/>
    <x v="0"/>
    <d v="2008-04-24T00:00:00"/>
    <s v="YK Pathan"/>
    <s v="Rajiv Gandhi International Stadium, Uppal"/>
    <s v="Deccan Chargers"/>
    <s v="Rajasthan Royals"/>
    <s v="Rajasthan Royals"/>
    <x v="0"/>
    <s v="Rajasthan Royals"/>
    <s v="wickets"/>
    <n v="3"/>
    <s v="N"/>
    <s v="Normal Match"/>
    <x v="0"/>
    <s v="MR Benson"/>
    <x v="0"/>
    <x v="1"/>
    <x v="1"/>
    <x v="1"/>
  </r>
  <r>
    <x v="9"/>
    <s v="Chandigarh"/>
    <x v="0"/>
    <d v="2008-04-25T00:00:00"/>
    <s v="KC Sangakkara"/>
    <s v="Punjab Cricket Association Stadium, Mohali"/>
    <s v="Punjab Kings"/>
    <s v="Mumbai Indians"/>
    <s v="Mumbai Indians"/>
    <x v="0"/>
    <s v="Punjab Kings"/>
    <s v="runs"/>
    <n v="66"/>
    <s v="N"/>
    <s v="Normal Match"/>
    <x v="2"/>
    <s v="AM Saheba"/>
    <x v="0"/>
    <x v="0"/>
    <x v="0"/>
    <x v="0"/>
  </r>
  <r>
    <x v="10"/>
    <s v="Bangalore"/>
    <x v="0"/>
    <d v="2008-04-26T00:00:00"/>
    <s v="SR Watson"/>
    <s v="M. Chinnaswamy Stadium"/>
    <s v="Royal Challengers Bangalore"/>
    <s v="Rajasthan Royals"/>
    <s v="Rajasthan Royals"/>
    <x v="0"/>
    <s v="Rajasthan Royals"/>
    <s v="wickets"/>
    <n v="7"/>
    <s v="N"/>
    <s v="Normal Match"/>
    <x v="1"/>
    <s v="IL Howell"/>
    <x v="0"/>
    <x v="1"/>
    <x v="1"/>
    <x v="1"/>
  </r>
  <r>
    <x v="11"/>
    <s v="Chennai"/>
    <x v="0"/>
    <d v="2008-04-26T00:00:00"/>
    <s v="JDP Oram"/>
    <s v="MA Chidambaram Stadium, Chepauk"/>
    <s v="Chennai Super Kings"/>
    <s v="Kolkata Knight Riders"/>
    <s v="Kolkata Knight Riders"/>
    <x v="1"/>
    <s v="Chennai Super Kings"/>
    <s v="wickets"/>
    <n v="9"/>
    <s v="N"/>
    <s v="Normal Match"/>
    <x v="4"/>
    <s v="AV Jayaprakash"/>
    <x v="0"/>
    <x v="1"/>
    <x v="0"/>
    <x v="0"/>
  </r>
  <r>
    <x v="12"/>
    <s v="Mumbai"/>
    <x v="0"/>
    <d v="2008-04-27T00:00:00"/>
    <s v="AC Gilchrist"/>
    <s v="Dr DY Patil Sports Academy"/>
    <s v="Mumbai Indians"/>
    <s v="Deccan Chargers"/>
    <s v="Deccan Chargers"/>
    <x v="0"/>
    <s v="Deccan Chargers"/>
    <s v="wickets"/>
    <n v="10"/>
    <s v="N"/>
    <s v="Normal Match"/>
    <x v="0"/>
    <s v="SL Shastri"/>
    <x v="0"/>
    <x v="1"/>
    <x v="1"/>
    <x v="1"/>
  </r>
  <r>
    <x v="13"/>
    <s v="Chandigarh"/>
    <x v="0"/>
    <d v="2008-04-27T00:00:00"/>
    <s v="SM Katich"/>
    <s v="Punjab Cricket Association Stadium, Mohali"/>
    <s v="Punjab Kings"/>
    <s v="Delhi Capitals"/>
    <s v="Delhi Capitals"/>
    <x v="1"/>
    <s v="Punjab Kings"/>
    <s v="wickets"/>
    <n v="4"/>
    <s v="N"/>
    <s v="Normal Match"/>
    <x v="7"/>
    <s v="I Shivram"/>
    <x v="0"/>
    <x v="1"/>
    <x v="0"/>
    <x v="0"/>
  </r>
  <r>
    <x v="14"/>
    <s v="Bangalore"/>
    <x v="0"/>
    <d v="2008-04-28T00:00:00"/>
    <s v="MS Dhoni"/>
    <s v="M. Chinnaswamy Stadium"/>
    <s v="Royal Challengers Bangalore"/>
    <s v="Chennai Super Kings"/>
    <s v="Chennai Super Kings"/>
    <x v="1"/>
    <s v="Chennai Super Kings"/>
    <s v="runs"/>
    <n v="13"/>
    <s v="N"/>
    <s v="Normal Match"/>
    <x v="8"/>
    <s v="RB Tiffin"/>
    <x v="0"/>
    <x v="0"/>
    <x v="1"/>
    <x v="1"/>
  </r>
  <r>
    <x v="15"/>
    <s v="Kolkata"/>
    <x v="0"/>
    <d v="2008-04-29T00:00:00"/>
    <s v="ST Jayasuriya"/>
    <s v="Eden Gardens"/>
    <s v="Kolkata Knight Riders"/>
    <s v="Mumbai Indians"/>
    <s v="Kolkata Knight Riders"/>
    <x v="1"/>
    <s v="Mumbai Indians"/>
    <s v="wickets"/>
    <n v="7"/>
    <s v="N"/>
    <s v="Normal Match"/>
    <x v="4"/>
    <s v="AV Jayaprakash"/>
    <x v="0"/>
    <x v="1"/>
    <x v="0"/>
    <x v="0"/>
  </r>
  <r>
    <x v="16"/>
    <s v="Delhi"/>
    <x v="0"/>
    <d v="2008-04-30T00:00:00"/>
    <s v="GD McGrath"/>
    <s v="Feroz Shah Kotla"/>
    <s v="Delhi Capitals"/>
    <s v="Royal Challengers Bangalore"/>
    <s v="Royal Challengers Bangalore"/>
    <x v="0"/>
    <s v="Delhi Capitals"/>
    <s v="runs"/>
    <n v="10"/>
    <s v="N"/>
    <s v="Normal Match"/>
    <x v="2"/>
    <s v="I Shivram"/>
    <x v="0"/>
    <x v="0"/>
    <x v="0"/>
    <x v="0"/>
  </r>
  <r>
    <x v="17"/>
    <s v="Hyderabad"/>
    <x v="0"/>
    <d v="2008-05-01T00:00:00"/>
    <s v="SE Marsh"/>
    <s v="Rajiv Gandhi International Stadium, Uppal"/>
    <s v="Deccan Chargers"/>
    <s v="Punjab Kings"/>
    <s v="Punjab Kings"/>
    <x v="0"/>
    <s v="Punjab Kings"/>
    <s v="wickets"/>
    <n v="7"/>
    <s v="N"/>
    <s v="Normal Match"/>
    <x v="8"/>
    <s v="RB Tiffin"/>
    <x v="0"/>
    <x v="1"/>
    <x v="1"/>
    <x v="1"/>
  </r>
  <r>
    <x v="18"/>
    <s v="Jaipur"/>
    <x v="0"/>
    <d v="2008-05-01T00:00:00"/>
    <s v="SA Asnodkar"/>
    <s v="Sawai Mansingh Stadium"/>
    <s v="Rajasthan Royals"/>
    <s v="Kolkata Knight Riders"/>
    <s v="Rajasthan Royals"/>
    <x v="1"/>
    <s v="Rajasthan Royals"/>
    <s v="runs"/>
    <n v="45"/>
    <s v="N"/>
    <s v="Normal Match"/>
    <x v="7"/>
    <s v="GA Pratapkumar"/>
    <x v="0"/>
    <x v="0"/>
    <x v="1"/>
    <x v="1"/>
  </r>
  <r>
    <x v="19"/>
    <s v="Chennai"/>
    <x v="0"/>
    <d v="2008-05-02T00:00:00"/>
    <s v="V Sehwag"/>
    <s v="MA Chidambaram Stadium, Chepauk"/>
    <s v="Chennai Super Kings"/>
    <s v="Delhi Capitals"/>
    <s v="Chennai Super Kings"/>
    <x v="1"/>
    <s v="Delhi Capitals"/>
    <s v="wickets"/>
    <n v="8"/>
    <s v="N"/>
    <s v="Normal Match"/>
    <x v="4"/>
    <s v="K Hariharan"/>
    <x v="0"/>
    <x v="1"/>
    <x v="0"/>
    <x v="0"/>
  </r>
  <r>
    <x v="20"/>
    <s v="Hyderabad"/>
    <x v="0"/>
    <d v="2008-05-25T00:00:00"/>
    <s v="R Vinay Kumar"/>
    <s v="Rajiv Gandhi International Stadium, Uppal"/>
    <s v="Deccan Chargers"/>
    <s v="Royal Challengers Bangalore"/>
    <s v="Deccan Chargers"/>
    <x v="1"/>
    <s v="Royal Challengers Bangalore"/>
    <s v="wickets"/>
    <n v="5"/>
    <s v="N"/>
    <s v="Normal Match"/>
    <x v="0"/>
    <s v="RE Koertzen"/>
    <x v="0"/>
    <x v="1"/>
    <x v="0"/>
    <x v="0"/>
  </r>
  <r>
    <x v="21"/>
    <s v="Chandigarh"/>
    <x v="0"/>
    <d v="2008-05-03T00:00:00"/>
    <s v="IK Pathan"/>
    <s v="Punjab Cricket Association Stadium, Mohali"/>
    <s v="Punjab Kings"/>
    <s v="Kolkata Knight Riders"/>
    <s v="Punjab Kings"/>
    <x v="1"/>
    <s v="Punjab Kings"/>
    <s v="runs"/>
    <n v="9"/>
    <s v="N"/>
    <s v="Normal Match"/>
    <x v="6"/>
    <s v="I Shivram"/>
    <x v="0"/>
    <x v="0"/>
    <x v="1"/>
    <x v="1"/>
  </r>
  <r>
    <x v="22"/>
    <s v="Mumbai"/>
    <x v="0"/>
    <d v="2008-05-04T00:00:00"/>
    <s v="SM Pollock"/>
    <s v="Dr DY Patil Sports Academy"/>
    <s v="Mumbai Indians"/>
    <s v="Delhi Capitals"/>
    <s v="Delhi Capitals"/>
    <x v="0"/>
    <s v="Mumbai Indians"/>
    <s v="runs"/>
    <n v="29"/>
    <s v="N"/>
    <s v="Normal Match"/>
    <x v="5"/>
    <s v="RE Koertzen"/>
    <x v="0"/>
    <x v="0"/>
    <x v="0"/>
    <x v="0"/>
  </r>
  <r>
    <x v="23"/>
    <s v="Jaipur"/>
    <x v="0"/>
    <d v="2008-05-04T00:00:00"/>
    <s v="Sohail Tanvir"/>
    <s v="Sawai Mansingh Stadium"/>
    <s v="Rajasthan Royals"/>
    <s v="Chennai Super Kings"/>
    <s v="Chennai Super Kings"/>
    <x v="1"/>
    <s v="Rajasthan Royals"/>
    <s v="wickets"/>
    <n v="8"/>
    <s v="N"/>
    <s v="Normal Match"/>
    <x v="0"/>
    <s v="AV Jayaprakash"/>
    <x v="0"/>
    <x v="1"/>
    <x v="0"/>
    <x v="0"/>
  </r>
  <r>
    <x v="24"/>
    <s v="Bangalore"/>
    <x v="0"/>
    <d v="2008-05-05T00:00:00"/>
    <s v="S Sreesanth"/>
    <s v="M. Chinnaswamy Stadium"/>
    <s v="Royal Challengers Bangalore"/>
    <s v="Punjab Kings"/>
    <s v="Punjab Kings"/>
    <x v="0"/>
    <s v="Punjab Kings"/>
    <s v="wickets"/>
    <n v="6"/>
    <s v="N"/>
    <s v="Normal Match"/>
    <x v="3"/>
    <s v="BR Doctrove"/>
    <x v="0"/>
    <x v="1"/>
    <x v="1"/>
    <x v="1"/>
  </r>
  <r>
    <x v="25"/>
    <s v="Chennai"/>
    <x v="0"/>
    <d v="2008-05-06T00:00:00"/>
    <s v="AC Gilchrist"/>
    <s v="MA Chidambaram Stadium, Chepauk"/>
    <s v="Chennai Super Kings"/>
    <s v="Deccan Chargers"/>
    <s v="Deccan Chargers"/>
    <x v="0"/>
    <s v="Deccan Chargers"/>
    <s v="wickets"/>
    <n v="7"/>
    <s v="N"/>
    <s v="Normal Match"/>
    <x v="1"/>
    <s v="RB Tiffin"/>
    <x v="0"/>
    <x v="1"/>
    <x v="1"/>
    <x v="1"/>
  </r>
  <r>
    <x v="26"/>
    <s v="Mumbai"/>
    <x v="0"/>
    <d v="2008-05-07T00:00:00"/>
    <s v="A Nehra"/>
    <s v="Dr DY Patil Sports Academy"/>
    <s v="Mumbai Indians"/>
    <s v="Rajasthan Royals"/>
    <s v="Mumbai Indians"/>
    <x v="0"/>
    <s v="Mumbai Indians"/>
    <s v="wickets"/>
    <n v="7"/>
    <s v="N"/>
    <s v="Normal Match"/>
    <x v="6"/>
    <s v="RE Koertzen"/>
    <x v="0"/>
    <x v="1"/>
    <x v="1"/>
    <x v="1"/>
  </r>
  <r>
    <x v="27"/>
    <s v="Delhi"/>
    <x v="0"/>
    <d v="2008-05-08T00:00:00"/>
    <s v="MS Dhoni"/>
    <s v="Feroz Shah Kotla"/>
    <s v="Delhi Capitals"/>
    <s v="Chennai Super Kings"/>
    <s v="Chennai Super Kings"/>
    <x v="0"/>
    <s v="Chennai Super Kings"/>
    <s v="wickets"/>
    <n v="4"/>
    <s v="N"/>
    <s v="Normal Match"/>
    <x v="2"/>
    <s v="RB Tiffin"/>
    <x v="0"/>
    <x v="1"/>
    <x v="1"/>
    <x v="1"/>
  </r>
  <r>
    <x v="28"/>
    <s v="Kolkata"/>
    <x v="0"/>
    <d v="2008-05-08T00:00:00"/>
    <s v="SC Ganguly"/>
    <s v="Eden Gardens"/>
    <s v="Kolkata Knight Riders"/>
    <s v="Royal Challengers Bangalore"/>
    <s v="Kolkata Knight Riders"/>
    <x v="1"/>
    <s v="Kolkata Knight Riders"/>
    <s v="runs"/>
    <n v="5"/>
    <s v="N"/>
    <s v="Normal Match"/>
    <x v="0"/>
    <s v="IL Howell"/>
    <x v="0"/>
    <x v="0"/>
    <x v="1"/>
    <x v="1"/>
  </r>
  <r>
    <x v="29"/>
    <s v="Jaipur"/>
    <x v="0"/>
    <d v="2008-05-09T00:00:00"/>
    <s v="YK Pathan"/>
    <s v="Sawai Mansingh Stadium"/>
    <s v="Rajasthan Royals"/>
    <s v="Deccan Chargers"/>
    <s v="Rajasthan Royals"/>
    <x v="0"/>
    <s v="Rajasthan Royals"/>
    <s v="wickets"/>
    <n v="8"/>
    <s v="N"/>
    <s v="Normal Match"/>
    <x v="1"/>
    <s v="AM Saheba"/>
    <x v="0"/>
    <x v="1"/>
    <x v="1"/>
    <x v="1"/>
  </r>
  <r>
    <x v="30"/>
    <s v="Bangalore"/>
    <x v="0"/>
    <d v="2008-05-28T00:00:00"/>
    <s v="CRD Fernando"/>
    <s v="M. Chinnaswamy Stadium"/>
    <s v="Royal Challengers Bangalore"/>
    <s v="Mumbai Indians"/>
    <s v="Mumbai Indians"/>
    <x v="0"/>
    <s v="Mumbai Indians"/>
    <s v="wickets"/>
    <n v="9"/>
    <s v="N"/>
    <s v="Normal Match"/>
    <x v="4"/>
    <s v="AV Jayaprakash"/>
    <x v="0"/>
    <x v="1"/>
    <x v="1"/>
    <x v="1"/>
  </r>
  <r>
    <x v="31"/>
    <s v="Chennai"/>
    <x v="0"/>
    <d v="2008-05-10T00:00:00"/>
    <s v="L Balaji"/>
    <s v="MA Chidambaram Stadium, Chepauk"/>
    <s v="Chennai Super Kings"/>
    <s v="Punjab Kings"/>
    <s v="Punjab Kings"/>
    <x v="0"/>
    <s v="Chennai Super Kings"/>
    <s v="runs"/>
    <n v="18"/>
    <s v="N"/>
    <s v="Normal Match"/>
    <x v="9"/>
    <s v="BG Jerling"/>
    <x v="0"/>
    <x v="0"/>
    <x v="0"/>
    <x v="0"/>
  </r>
  <r>
    <x v="32"/>
    <s v="Hyderabad"/>
    <x v="0"/>
    <d v="2008-05-11T00:00:00"/>
    <s v="SC Ganguly"/>
    <s v="Rajiv Gandhi International Stadium, Uppal"/>
    <s v="Deccan Chargers"/>
    <s v="Kolkata Knight Riders"/>
    <s v="Kolkata Knight Riders"/>
    <x v="1"/>
    <s v="Kolkata Knight Riders"/>
    <s v="runs"/>
    <n v="23"/>
    <s v="N"/>
    <s v="Normal Match"/>
    <x v="5"/>
    <s v="AM Saheba"/>
    <x v="0"/>
    <x v="0"/>
    <x v="1"/>
    <x v="1"/>
  </r>
  <r>
    <x v="33"/>
    <s v="Jaipur"/>
    <x v="0"/>
    <d v="2008-05-11T00:00:00"/>
    <s v="SR Watson"/>
    <s v="Sawai Mansingh Stadium"/>
    <s v="Rajasthan Royals"/>
    <s v="Delhi Capitals"/>
    <s v="Rajasthan Royals"/>
    <x v="0"/>
    <s v="Rajasthan Royals"/>
    <s v="wickets"/>
    <n v="3"/>
    <s v="N"/>
    <s v="Normal Match"/>
    <x v="3"/>
    <s v="RE Koertzen"/>
    <x v="0"/>
    <x v="1"/>
    <x v="1"/>
    <x v="1"/>
  </r>
  <r>
    <x v="34"/>
    <s v="Chandigarh"/>
    <x v="0"/>
    <d v="2008-05-12T00:00:00"/>
    <s v="SE Marsh"/>
    <s v="Punjab Cricket Association Stadium, Mohali"/>
    <s v="Punjab Kings"/>
    <s v="Royal Challengers Bangalore"/>
    <s v="Royal Challengers Bangalore"/>
    <x v="1"/>
    <s v="Punjab Kings"/>
    <s v="wickets"/>
    <n v="9"/>
    <s v="N"/>
    <s v="Normal Match"/>
    <x v="8"/>
    <s v="I Shivram"/>
    <x v="0"/>
    <x v="1"/>
    <x v="0"/>
    <x v="0"/>
  </r>
  <r>
    <x v="35"/>
    <s v="Kolkata"/>
    <x v="0"/>
    <d v="2008-05-13T00:00:00"/>
    <s v="Shoaib Akhtar"/>
    <s v="Eden Gardens"/>
    <s v="Kolkata Knight Riders"/>
    <s v="Delhi Capitals"/>
    <s v="Kolkata Knight Riders"/>
    <x v="1"/>
    <s v="Kolkata Knight Riders"/>
    <s v="runs"/>
    <n v="23"/>
    <s v="N"/>
    <s v="Normal Match"/>
    <x v="0"/>
    <s v="IL Howell"/>
    <x v="0"/>
    <x v="0"/>
    <x v="1"/>
    <x v="1"/>
  </r>
  <r>
    <x v="36"/>
    <s v="Mumbai"/>
    <x v="0"/>
    <d v="2008-05-14T00:00:00"/>
    <s v="ST Jayasuriya"/>
    <s v="Wankhede Stadium"/>
    <s v="Mumbai Indians"/>
    <s v="Chennai Super Kings"/>
    <s v="Mumbai Indians"/>
    <x v="0"/>
    <s v="Mumbai Indians"/>
    <s v="wickets"/>
    <n v="9"/>
    <s v="N"/>
    <s v="Normal Match"/>
    <x v="8"/>
    <s v="AM Saheba"/>
    <x v="0"/>
    <x v="1"/>
    <x v="1"/>
    <x v="1"/>
  </r>
  <r>
    <x v="37"/>
    <s v="Chandigarh"/>
    <x v="0"/>
    <d v="2008-05-28T00:00:00"/>
    <s v="SE Marsh"/>
    <s v="Punjab Cricket Association Stadium, Mohali"/>
    <s v="Punjab Kings"/>
    <s v="Rajasthan Royals"/>
    <s v="Rajasthan Royals"/>
    <x v="0"/>
    <s v="Punjab Kings"/>
    <s v="runs"/>
    <n v="41"/>
    <s v="N"/>
    <s v="Normal Match"/>
    <x v="3"/>
    <s v="K Hariharan"/>
    <x v="0"/>
    <x v="0"/>
    <x v="0"/>
    <x v="0"/>
  </r>
  <r>
    <x v="38"/>
    <s v="Delhi"/>
    <x v="0"/>
    <d v="2008-05-15T00:00:00"/>
    <s v="A Mishra"/>
    <s v="Feroz Shah Kotla"/>
    <s v="Delhi Capitals"/>
    <s v="Deccan Chargers"/>
    <s v="Deccan Chargers"/>
    <x v="0"/>
    <s v="Delhi Capitals"/>
    <s v="runs"/>
    <n v="12"/>
    <s v="N"/>
    <s v="Normal Match"/>
    <x v="10"/>
    <s v="GA Pratapkumar"/>
    <x v="0"/>
    <x v="0"/>
    <x v="0"/>
    <x v="0"/>
  </r>
  <r>
    <x v="39"/>
    <s v="Mumbai"/>
    <x v="0"/>
    <d v="2008-05-16T00:00:00"/>
    <s v="SM Pollock"/>
    <s v="Wankhede Stadium"/>
    <s v="Mumbai Indians"/>
    <s v="Kolkata Knight Riders"/>
    <s v="Mumbai Indians"/>
    <x v="0"/>
    <s v="Mumbai Indians"/>
    <s v="wickets"/>
    <n v="8"/>
    <s v="N"/>
    <s v="Normal Match"/>
    <x v="8"/>
    <s v="DJ Harper"/>
    <x v="0"/>
    <x v="1"/>
    <x v="1"/>
    <x v="1"/>
  </r>
  <r>
    <x v="40"/>
    <s v="Delhi"/>
    <x v="0"/>
    <d v="2008-05-17T00:00:00"/>
    <s v="DPMD Jayawardene"/>
    <s v="Feroz Shah Kotla"/>
    <s v="Delhi Capitals"/>
    <s v="Punjab Kings"/>
    <s v="Delhi Capitals"/>
    <x v="1"/>
    <s v="Punjab Kings"/>
    <s v="runs"/>
    <n v="6"/>
    <s v="N"/>
    <s v="D/L"/>
    <x v="9"/>
    <s v="RE Koertzen"/>
    <x v="0"/>
    <x v="0"/>
    <x v="0"/>
    <x v="0"/>
  </r>
  <r>
    <x v="41"/>
    <s v="Jaipur"/>
    <x v="0"/>
    <d v="2008-05-17T00:00:00"/>
    <s v="GC Smith"/>
    <s v="Sawai Mansingh Stadium"/>
    <s v="Rajasthan Royals"/>
    <s v="Royal Challengers Bangalore"/>
    <s v="Royal Challengers Bangalore"/>
    <x v="0"/>
    <s v="Rajasthan Royals"/>
    <s v="runs"/>
    <n v="65"/>
    <s v="N"/>
    <s v="Normal Match"/>
    <x v="4"/>
    <s v="SL Shastri"/>
    <x v="0"/>
    <x v="0"/>
    <x v="0"/>
    <x v="0"/>
  </r>
  <r>
    <x v="42"/>
    <s v="Hyderabad"/>
    <x v="0"/>
    <d v="2008-05-18T00:00:00"/>
    <s v="DJ Bravo"/>
    <s v="Rajiv Gandhi International Stadium, Uppal"/>
    <s v="Deccan Chargers"/>
    <s v="Mumbai Indians"/>
    <s v="Deccan Chargers"/>
    <x v="0"/>
    <s v="Mumbai Indians"/>
    <s v="runs"/>
    <n v="25"/>
    <s v="N"/>
    <s v="Normal Match"/>
    <x v="8"/>
    <s v="DJ Harper"/>
    <x v="0"/>
    <x v="0"/>
    <x v="0"/>
    <x v="0"/>
  </r>
  <r>
    <x v="43"/>
    <s v="Kolkata"/>
    <x v="0"/>
    <d v="2008-05-18T00:00:00"/>
    <s v="M Ntini"/>
    <s v="Eden Gardens"/>
    <s v="Kolkata Knight Riders"/>
    <s v="Chennai Super Kings"/>
    <s v="Kolkata Knight Riders"/>
    <x v="1"/>
    <s v="Chennai Super Kings"/>
    <s v="runs"/>
    <n v="3"/>
    <s v="N"/>
    <s v="D/L"/>
    <x v="0"/>
    <s v="K Hariharan"/>
    <x v="0"/>
    <x v="0"/>
    <x v="0"/>
    <x v="0"/>
  </r>
  <r>
    <x v="44"/>
    <s v="Bangalore"/>
    <x v="0"/>
    <d v="2008-05-19T00:00:00"/>
    <s v="SP Goswami"/>
    <s v="M. Chinnaswamy Stadium"/>
    <s v="Royal Challengers Bangalore"/>
    <s v="Delhi Capitals"/>
    <s v="Delhi Capitals"/>
    <x v="0"/>
    <s v="Delhi Capitals"/>
    <s v="wickets"/>
    <n v="5"/>
    <s v="N"/>
    <s v="Normal Match"/>
    <x v="3"/>
    <s v="GA Pratapkumar"/>
    <x v="0"/>
    <x v="1"/>
    <x v="1"/>
    <x v="1"/>
  </r>
  <r>
    <x v="45"/>
    <s v="Kolkata"/>
    <x v="0"/>
    <d v="2008-05-20T00:00:00"/>
    <s v="YK Pathan"/>
    <s v="Eden Gardens"/>
    <s v="Kolkata Knight Riders"/>
    <s v="Rajasthan Royals"/>
    <s v="Rajasthan Royals"/>
    <x v="0"/>
    <s v="Rajasthan Royals"/>
    <s v="wickets"/>
    <n v="6"/>
    <s v="N"/>
    <s v="Normal Match"/>
    <x v="10"/>
    <s v="RE Koertzen"/>
    <x v="0"/>
    <x v="1"/>
    <x v="1"/>
    <x v="1"/>
  </r>
  <r>
    <x v="46"/>
    <s v="Mumbai"/>
    <x v="0"/>
    <d v="2008-05-21T00:00:00"/>
    <s v="SE Marsh"/>
    <s v="Wankhede Stadium"/>
    <s v="Mumbai Indians"/>
    <s v="Punjab Kings"/>
    <s v="Mumbai Indians"/>
    <x v="0"/>
    <s v="Punjab Kings"/>
    <s v="runs"/>
    <n v="1"/>
    <s v="N"/>
    <s v="Normal Match"/>
    <x v="4"/>
    <s v="GA Pratapkumar"/>
    <x v="0"/>
    <x v="0"/>
    <x v="0"/>
    <x v="0"/>
  </r>
  <r>
    <x v="47"/>
    <s v="Chennai"/>
    <x v="0"/>
    <d v="2008-05-21T00:00:00"/>
    <s v="A Kumble"/>
    <s v="MA Chidambaram Stadium, Chepauk"/>
    <s v="Chennai Super Kings"/>
    <s v="Royal Challengers Bangalore"/>
    <s v="Royal Challengers Bangalore"/>
    <x v="1"/>
    <s v="Royal Challengers Bangalore"/>
    <s v="runs"/>
    <n v="14"/>
    <s v="N"/>
    <s v="Normal Match"/>
    <x v="6"/>
    <s v="I Shivram"/>
    <x v="0"/>
    <x v="0"/>
    <x v="1"/>
    <x v="1"/>
  </r>
  <r>
    <x v="48"/>
    <s v="Chandigarh"/>
    <x v="0"/>
    <d v="2008-05-23T00:00:00"/>
    <s v="SE Marsh"/>
    <s v="Punjab Cricket Association Stadium, Mohali"/>
    <s v="Punjab Kings"/>
    <s v="Deccan Chargers"/>
    <s v="Punjab Kings"/>
    <x v="0"/>
    <s v="Punjab Kings"/>
    <s v="wickets"/>
    <n v="6"/>
    <s v="N"/>
    <s v="Normal Match"/>
    <x v="0"/>
    <s v="SJ Davis"/>
    <x v="0"/>
    <x v="1"/>
    <x v="1"/>
    <x v="1"/>
  </r>
  <r>
    <x v="49"/>
    <s v="Delhi"/>
    <x v="0"/>
    <d v="2008-05-24T00:00:00"/>
    <s v="KD Karthik"/>
    <s v="Feroz Shah Kotla"/>
    <s v="Delhi Capitals"/>
    <s v="Mumbai Indians"/>
    <s v="Delhi Capitals"/>
    <x v="0"/>
    <s v="Delhi Capitals"/>
    <s v="wickets"/>
    <n v="5"/>
    <s v="N"/>
    <s v="Normal Match"/>
    <x v="4"/>
    <s v="K Hariharan"/>
    <x v="0"/>
    <x v="1"/>
    <x v="1"/>
    <x v="1"/>
  </r>
  <r>
    <x v="50"/>
    <s v="Chennai"/>
    <x v="0"/>
    <d v="2008-05-24T00:00:00"/>
    <s v="JA Morkel"/>
    <s v="MA Chidambaram Stadium, Chepauk"/>
    <s v="Chennai Super Kings"/>
    <s v="Rajasthan Royals"/>
    <s v="Rajasthan Royals"/>
    <x v="1"/>
    <s v="Rajasthan Royals"/>
    <s v="runs"/>
    <n v="10"/>
    <s v="N"/>
    <s v="Normal Match"/>
    <x v="6"/>
    <s v="SL Shastri"/>
    <x v="0"/>
    <x v="0"/>
    <x v="1"/>
    <x v="1"/>
  </r>
  <r>
    <x v="51"/>
    <s v="Bangalore"/>
    <x v="0"/>
    <d v="2008-05-03T00:00:00"/>
    <s v="P Kumar"/>
    <s v="M. Chinnaswamy Stadium"/>
    <s v="Royal Challengers Bangalore"/>
    <s v="Deccan Chargers"/>
    <s v="Deccan Chargers"/>
    <x v="0"/>
    <s v="Royal Challengers Bangalore"/>
    <s v="runs"/>
    <n v="3"/>
    <s v="N"/>
    <s v="Normal Match"/>
    <x v="8"/>
    <s v="SL Shastri"/>
    <x v="0"/>
    <x v="0"/>
    <x v="0"/>
    <x v="0"/>
  </r>
  <r>
    <x v="52"/>
    <s v="Kolkata"/>
    <x v="0"/>
    <d v="2008-05-25T00:00:00"/>
    <s v="Umar Gul"/>
    <s v="Eden Gardens"/>
    <s v="Kolkata Knight Riders"/>
    <s v="Punjab Kings"/>
    <s v="Punjab Kings"/>
    <x v="1"/>
    <s v="Kolkata Knight Riders"/>
    <s v="wickets"/>
    <n v="3"/>
    <s v="N"/>
    <s v="Normal Match"/>
    <x v="3"/>
    <s v="I Shivram"/>
    <x v="0"/>
    <x v="1"/>
    <x v="0"/>
    <x v="0"/>
  </r>
  <r>
    <x v="53"/>
    <s v="Jaipur"/>
    <x v="0"/>
    <d v="2008-05-26T00:00:00"/>
    <s v="Sohail Tanvir"/>
    <s v="Sawai Mansingh Stadium"/>
    <s v="Rajasthan Royals"/>
    <s v="Mumbai Indians"/>
    <s v="Rajasthan Royals"/>
    <x v="0"/>
    <s v="Rajasthan Royals"/>
    <s v="wickets"/>
    <n v="5"/>
    <s v="N"/>
    <s v="Normal Match"/>
    <x v="4"/>
    <s v="K Hariharan"/>
    <x v="0"/>
    <x v="1"/>
    <x v="1"/>
    <x v="1"/>
  </r>
  <r>
    <x v="54"/>
    <s v="Hyderabad"/>
    <x v="0"/>
    <d v="2008-05-27T00:00:00"/>
    <s v="SK Raina"/>
    <s v="Rajiv Gandhi International Stadium, Uppal"/>
    <s v="Deccan Chargers"/>
    <s v="Chennai Super Kings"/>
    <s v="Deccan Chargers"/>
    <x v="1"/>
    <s v="Chennai Super Kings"/>
    <s v="wickets"/>
    <n v="7"/>
    <s v="N"/>
    <s v="Normal Match"/>
    <x v="10"/>
    <s v="AM Saheba"/>
    <x v="0"/>
    <x v="1"/>
    <x v="0"/>
    <x v="0"/>
  </r>
  <r>
    <x v="55"/>
    <s v="Mumbai"/>
    <x v="0"/>
    <d v="2008-05-30T00:00:00"/>
    <s v="SR Watson"/>
    <s v="Wankhede Stadium"/>
    <s v="Delhi Capitals"/>
    <s v="Rajasthan Royals"/>
    <s v="Delhi Capitals"/>
    <x v="0"/>
    <s v="Rajasthan Royals"/>
    <s v="runs"/>
    <n v="105"/>
    <s v="N"/>
    <s v="Normal Match"/>
    <x v="4"/>
    <s v="RE Koertzen"/>
    <x v="0"/>
    <x v="0"/>
    <x v="0"/>
    <x v="0"/>
  </r>
  <r>
    <x v="56"/>
    <s v="Mumbai"/>
    <x v="0"/>
    <d v="2008-05-31T00:00:00"/>
    <s v="M Ntini"/>
    <s v="Wankhede Stadium"/>
    <s v="Chennai Super Kings"/>
    <s v="Punjab Kings"/>
    <s v="Punjab Kings"/>
    <x v="1"/>
    <s v="Chennai Super Kings"/>
    <s v="wickets"/>
    <n v="9"/>
    <s v="N"/>
    <s v="Normal Match"/>
    <x v="0"/>
    <s v="DJ Harper"/>
    <x v="0"/>
    <x v="1"/>
    <x v="0"/>
    <x v="0"/>
  </r>
  <r>
    <x v="57"/>
    <s v="Mumbai"/>
    <x v="0"/>
    <d v="2008-06-01T00:00:00"/>
    <s v="YK Pathan"/>
    <s v="Dr DY Patil Sports Academy"/>
    <s v="Chennai Super Kings"/>
    <s v="Rajasthan Royals"/>
    <s v="Rajasthan Royals"/>
    <x v="0"/>
    <s v="Rajasthan Royals"/>
    <s v="wickets"/>
    <n v="3"/>
    <s v="N"/>
    <s v="Normal Match"/>
    <x v="4"/>
    <s v="RE Koertzen"/>
    <x v="0"/>
    <x v="1"/>
    <x v="1"/>
    <x v="1"/>
  </r>
  <r>
    <x v="58"/>
    <s v="Cape Town"/>
    <x v="1"/>
    <d v="2009-04-18T00:00:00"/>
    <s v="SR Tendulkar"/>
    <s v="Newlands"/>
    <s v="Chennai Super Kings"/>
    <s v="Mumbai Indians"/>
    <s v="Chennai Super Kings"/>
    <x v="0"/>
    <s v="Mumbai Indians"/>
    <s v="runs"/>
    <n v="19"/>
    <s v="N"/>
    <s v="Normal Match"/>
    <x v="8"/>
    <s v="K Hariharan"/>
    <x v="1"/>
    <x v="0"/>
    <x v="0"/>
    <x v="0"/>
  </r>
  <r>
    <x v="59"/>
    <s v="Cape Town"/>
    <x v="1"/>
    <d v="2009-04-18T00:00:00"/>
    <s v="R Dravid"/>
    <s v="Newlands"/>
    <s v="Royal Challengers Bangalore"/>
    <s v="Rajasthan Royals"/>
    <s v="Royal Challengers Bangalore"/>
    <x v="1"/>
    <s v="Royal Challengers Bangalore"/>
    <s v="runs"/>
    <n v="75"/>
    <s v="N"/>
    <s v="Normal Match"/>
    <x v="8"/>
    <s v="RB Tiffin"/>
    <x v="1"/>
    <x v="0"/>
    <x v="1"/>
    <x v="1"/>
  </r>
  <r>
    <x v="60"/>
    <s v="Cape Town"/>
    <x v="1"/>
    <d v="2009-04-19T00:00:00"/>
    <s v="DL Vettori"/>
    <s v="Newlands"/>
    <s v="Delhi Capitals"/>
    <s v="Punjab Kings"/>
    <s v="Delhi Capitals"/>
    <x v="0"/>
    <s v="Delhi Capitals"/>
    <s v="wickets"/>
    <n v="10"/>
    <s v="N"/>
    <s v="D/L"/>
    <x v="1"/>
    <s v="SD Ranade"/>
    <x v="1"/>
    <x v="1"/>
    <x v="1"/>
    <x v="1"/>
  </r>
  <r>
    <x v="61"/>
    <s v="Cape Town"/>
    <x v="1"/>
    <d v="2009-04-19T00:00:00"/>
    <s v="RP Singh"/>
    <s v="Newlands"/>
    <s v="Deccan Chargers"/>
    <s v="Kolkata Knight Riders"/>
    <s v="Kolkata Knight Riders"/>
    <x v="1"/>
    <s v="Deccan Chargers"/>
    <s v="wickets"/>
    <n v="8"/>
    <s v="N"/>
    <s v="Normal Match"/>
    <x v="1"/>
    <s v="BR Doctrove"/>
    <x v="1"/>
    <x v="1"/>
    <x v="0"/>
    <x v="0"/>
  </r>
  <r>
    <x v="62"/>
    <s v="Port Elizabeth"/>
    <x v="1"/>
    <d v="2009-04-20T00:00:00"/>
    <s v="M Muralitharan"/>
    <s v="St George's Park"/>
    <s v="Royal Challengers Bangalore"/>
    <s v="Chennai Super Kings"/>
    <s v="Chennai Super Kings"/>
    <x v="1"/>
    <s v="Chennai Super Kings"/>
    <s v="runs"/>
    <n v="92"/>
    <s v="N"/>
    <s v="Normal Match"/>
    <x v="10"/>
    <s v="SJA Taufel"/>
    <x v="1"/>
    <x v="0"/>
    <x v="1"/>
    <x v="1"/>
  </r>
  <r>
    <x v="63"/>
    <s v="Durban"/>
    <x v="1"/>
    <d v="2009-04-21T00:00:00"/>
    <s v="CH Gayle"/>
    <s v="Kingsmead"/>
    <s v="Punjab Kings"/>
    <s v="Kolkata Knight Riders"/>
    <s v="Kolkata Knight Riders"/>
    <x v="0"/>
    <s v="Kolkata Knight Riders"/>
    <s v="runs"/>
    <n v="11"/>
    <s v="N"/>
    <s v="D/L"/>
    <x v="6"/>
    <s v="SD Ranade"/>
    <x v="1"/>
    <x v="0"/>
    <x v="1"/>
    <x v="1"/>
  </r>
  <r>
    <x v="64"/>
    <s v="Cape Town"/>
    <x v="1"/>
    <d v="2009-04-22T00:00:00"/>
    <s v="AC Gilchrist"/>
    <s v="Newlands"/>
    <s v="Royal Challengers Bangalore"/>
    <s v="Deccan Chargers"/>
    <s v="Deccan Chargers"/>
    <x v="1"/>
    <s v="Deccan Chargers"/>
    <s v="runs"/>
    <n v="24"/>
    <s v="N"/>
    <s v="Normal Match"/>
    <x v="11"/>
    <s v="AM Saheba"/>
    <x v="1"/>
    <x v="0"/>
    <x v="1"/>
    <x v="1"/>
  </r>
  <r>
    <x v="65"/>
    <s v="Durban"/>
    <x v="1"/>
    <d v="2009-04-23T00:00:00"/>
    <s v="AB de Villiers"/>
    <s v="Kingsmead"/>
    <s v="Chennai Super Kings"/>
    <s v="Delhi Capitals"/>
    <s v="Delhi Capitals"/>
    <x v="1"/>
    <s v="Delhi Capitals"/>
    <s v="runs"/>
    <n v="9"/>
    <s v="N"/>
    <s v="Normal Match"/>
    <x v="8"/>
    <s v="SJA Taufel"/>
    <x v="1"/>
    <x v="0"/>
    <x v="1"/>
    <x v="1"/>
  </r>
  <r>
    <x v="66"/>
    <s v="Durban"/>
    <x v="1"/>
    <d v="2009-04-24T00:00:00"/>
    <s v="RS Bopara"/>
    <s v="Kingsmead"/>
    <s v="Royal Challengers Bangalore"/>
    <s v="Punjab Kings"/>
    <s v="Royal Challengers Bangalore"/>
    <x v="1"/>
    <s v="Punjab Kings"/>
    <s v="wickets"/>
    <n v="7"/>
    <s v="N"/>
    <s v="Normal Match"/>
    <x v="8"/>
    <s v="TH Wijewardene"/>
    <x v="1"/>
    <x v="1"/>
    <x v="0"/>
    <x v="0"/>
  </r>
  <r>
    <x v="67"/>
    <s v="Durban"/>
    <x v="1"/>
    <d v="2009-04-25T00:00:00"/>
    <s v="PP Ojha"/>
    <s v="Kingsmead"/>
    <s v="Deccan Chargers"/>
    <s v="Mumbai Indians"/>
    <s v="Deccan Chargers"/>
    <x v="1"/>
    <s v="Deccan Chargers"/>
    <s v="runs"/>
    <n v="12"/>
    <s v="N"/>
    <s v="Normal Match"/>
    <x v="12"/>
    <s v="SJA Taufel"/>
    <x v="1"/>
    <x v="0"/>
    <x v="1"/>
    <x v="1"/>
  </r>
  <r>
    <x v="68"/>
    <s v="Port Elizabeth"/>
    <x v="1"/>
    <d v="2009-04-26T00:00:00"/>
    <s v="TM Dilshan"/>
    <s v="St George's Park"/>
    <s v="Royal Challengers Bangalore"/>
    <s v="Delhi Capitals"/>
    <s v="Royal Challengers Bangalore"/>
    <x v="1"/>
    <s v="Delhi Capitals"/>
    <s v="wickets"/>
    <n v="6"/>
    <s v="N"/>
    <s v="Normal Match"/>
    <x v="13"/>
    <s v="BG Jerling"/>
    <x v="1"/>
    <x v="1"/>
    <x v="0"/>
    <x v="0"/>
  </r>
  <r>
    <x v="69"/>
    <s v="Cape Town"/>
    <x v="1"/>
    <d v="2009-04-26T00:00:00"/>
    <s v="KC Sangakkara"/>
    <s v="Newlands"/>
    <s v="Punjab Kings"/>
    <s v="Rajasthan Royals"/>
    <s v="Punjab Kings"/>
    <x v="1"/>
    <s v="Punjab Kings"/>
    <s v="runs"/>
    <n v="27"/>
    <s v="N"/>
    <s v="Normal Match"/>
    <x v="11"/>
    <s v="K Hariharan"/>
    <x v="1"/>
    <x v="0"/>
    <x v="1"/>
    <x v="1"/>
  </r>
  <r>
    <x v="70"/>
    <s v="Durban"/>
    <x v="1"/>
    <d v="2009-04-27T00:00:00"/>
    <s v="HH Gibbs"/>
    <s v="Kingsmead"/>
    <s v="Chennai Super Kings"/>
    <s v="Deccan Chargers"/>
    <s v="Deccan Chargers"/>
    <x v="0"/>
    <s v="Deccan Chargers"/>
    <s v="wickets"/>
    <n v="6"/>
    <s v="N"/>
    <s v="Normal Match"/>
    <x v="5"/>
    <s v="TH Wijewardene"/>
    <x v="1"/>
    <x v="1"/>
    <x v="1"/>
    <x v="1"/>
  </r>
  <r>
    <x v="71"/>
    <s v="Port Elizabeth"/>
    <x v="1"/>
    <d v="2009-04-27T00:00:00"/>
    <s v="SR Tendulkar"/>
    <s v="St George's Park"/>
    <s v="Kolkata Knight Riders"/>
    <s v="Mumbai Indians"/>
    <s v="Mumbai Indians"/>
    <x v="1"/>
    <s v="Mumbai Indians"/>
    <s v="runs"/>
    <n v="92"/>
    <s v="N"/>
    <s v="Normal Match"/>
    <x v="10"/>
    <s v="RB Tiffin"/>
    <x v="1"/>
    <x v="0"/>
    <x v="1"/>
    <x v="1"/>
  </r>
  <r>
    <x v="72"/>
    <s v="Centurion"/>
    <x v="1"/>
    <d v="2009-04-28T00:00:00"/>
    <s v="YK Pathan"/>
    <s v="SuperSport Park"/>
    <s v="Delhi Capitals"/>
    <s v="Rajasthan Royals"/>
    <s v="Delhi Capitals"/>
    <x v="1"/>
    <s v="Rajasthan Royals"/>
    <s v="wickets"/>
    <n v="5"/>
    <s v="N"/>
    <s v="Normal Match"/>
    <x v="14"/>
    <s v="RE Koertzen"/>
    <x v="1"/>
    <x v="1"/>
    <x v="0"/>
    <x v="0"/>
  </r>
  <r>
    <x v="73"/>
    <s v="Durban"/>
    <x v="1"/>
    <d v="2009-04-29T00:00:00"/>
    <s v="MV Boucher"/>
    <s v="Kingsmead"/>
    <s v="Royal Challengers Bangalore"/>
    <s v="Kolkata Knight Riders"/>
    <s v="Kolkata Knight Riders"/>
    <x v="1"/>
    <s v="Royal Challengers Bangalore"/>
    <s v="wickets"/>
    <n v="5"/>
    <s v="N"/>
    <s v="Normal Match"/>
    <x v="1"/>
    <s v="TH Wijewardene"/>
    <x v="1"/>
    <x v="1"/>
    <x v="0"/>
    <x v="0"/>
  </r>
  <r>
    <x v="74"/>
    <s v="Durban"/>
    <x v="1"/>
    <d v="2009-04-29T00:00:00"/>
    <s v="KC Sangakkara"/>
    <s v="Kingsmead"/>
    <s v="Punjab Kings"/>
    <s v="Mumbai Indians"/>
    <s v="Punjab Kings"/>
    <x v="1"/>
    <s v="Punjab Kings"/>
    <s v="runs"/>
    <n v="3"/>
    <s v="N"/>
    <s v="Normal Match"/>
    <x v="1"/>
    <s v="SL Shastri"/>
    <x v="1"/>
    <x v="0"/>
    <x v="1"/>
    <x v="1"/>
  </r>
  <r>
    <x v="75"/>
    <s v="Centurion"/>
    <x v="1"/>
    <d v="2009-04-30T00:00:00"/>
    <s v="DP Nannes"/>
    <s v="SuperSport Park"/>
    <s v="Deccan Chargers"/>
    <s v="Delhi Capitals"/>
    <s v="Delhi Capitals"/>
    <x v="0"/>
    <s v="Delhi Capitals"/>
    <s v="wickets"/>
    <n v="6"/>
    <s v="N"/>
    <s v="Normal Match"/>
    <x v="14"/>
    <s v="AM Saheba"/>
    <x v="1"/>
    <x v="1"/>
    <x v="1"/>
    <x v="1"/>
  </r>
  <r>
    <x v="76"/>
    <s v="Centurion"/>
    <x v="1"/>
    <d v="2009-04-30T00:00:00"/>
    <s v="SK Raina"/>
    <s v="SuperSport Park"/>
    <s v="Chennai Super Kings"/>
    <s v="Rajasthan Royals"/>
    <s v="Rajasthan Royals"/>
    <x v="0"/>
    <s v="Chennai Super Kings"/>
    <s v="runs"/>
    <n v="38"/>
    <s v="N"/>
    <s v="Normal Match"/>
    <x v="14"/>
    <s v="RE Koertzen"/>
    <x v="1"/>
    <x v="0"/>
    <x v="0"/>
    <x v="0"/>
  </r>
  <r>
    <x v="77"/>
    <s v="East London"/>
    <x v="1"/>
    <d v="2009-05-01T00:00:00"/>
    <s v="JP Duminy"/>
    <s v="Buffalo Park"/>
    <s v="Kolkata Knight Riders"/>
    <s v="Mumbai Indians"/>
    <s v="Mumbai Indians"/>
    <x v="1"/>
    <s v="Mumbai Indians"/>
    <s v="runs"/>
    <n v="9"/>
    <s v="N"/>
    <s v="Normal Match"/>
    <x v="11"/>
    <s v="SK Tarapore"/>
    <x v="1"/>
    <x v="0"/>
    <x v="1"/>
    <x v="1"/>
  </r>
  <r>
    <x v="78"/>
    <s v="Durban"/>
    <x v="1"/>
    <d v="2009-05-01T00:00:00"/>
    <s v="Yuvraj Singh"/>
    <s v="Kingsmead"/>
    <s v="Royal Challengers Bangalore"/>
    <s v="Punjab Kings"/>
    <s v="Royal Challengers Bangalore"/>
    <x v="1"/>
    <s v="Royal Challengers Bangalore"/>
    <s v="runs"/>
    <n v="8"/>
    <s v="N"/>
    <s v="Normal Match"/>
    <x v="12"/>
    <s v="S Ravi"/>
    <x v="1"/>
    <x v="0"/>
    <x v="1"/>
    <x v="1"/>
  </r>
  <r>
    <x v="79"/>
    <s v="Port Elizabeth"/>
    <x v="1"/>
    <d v="2009-05-02T00:00:00"/>
    <s v="YK Pathan"/>
    <s v="St George's Park"/>
    <s v="Deccan Chargers"/>
    <s v="Rajasthan Royals"/>
    <s v="Deccan Chargers"/>
    <x v="1"/>
    <s v="Rajasthan Royals"/>
    <s v="wickets"/>
    <n v="3"/>
    <s v="N"/>
    <s v="Normal Match"/>
    <x v="13"/>
    <s v="BG Jerling"/>
    <x v="1"/>
    <x v="1"/>
    <x v="0"/>
    <x v="0"/>
  </r>
  <r>
    <x v="80"/>
    <s v="Johannesburg"/>
    <x v="1"/>
    <d v="2009-05-02T00:00:00"/>
    <s v="SB Jakati"/>
    <s v="New Wanderers Stadium"/>
    <s v="Chennai Super Kings"/>
    <s v="Delhi Capitals"/>
    <s v="Delhi Capitals"/>
    <x v="0"/>
    <s v="Chennai Super Kings"/>
    <s v="runs"/>
    <n v="18"/>
    <s v="N"/>
    <s v="Normal Match"/>
    <x v="6"/>
    <s v="RE Koertzen"/>
    <x v="1"/>
    <x v="0"/>
    <x v="0"/>
    <x v="0"/>
  </r>
  <r>
    <x v="81"/>
    <s v="Port Elizabeth"/>
    <x v="1"/>
    <d v="2009-05-03T00:00:00"/>
    <s v="DPMD Jayawardene"/>
    <s v="St George's Park"/>
    <s v="Punjab Kings"/>
    <s v="Kolkata Knight Riders"/>
    <s v="Kolkata Knight Riders"/>
    <x v="1"/>
    <s v="Punjab Kings"/>
    <s v="wickets"/>
    <n v="6"/>
    <s v="N"/>
    <s v="Normal Match"/>
    <x v="13"/>
    <s v="MR Benson"/>
    <x v="1"/>
    <x v="1"/>
    <x v="0"/>
    <x v="0"/>
  </r>
  <r>
    <x v="82"/>
    <s v="Johannesburg"/>
    <x v="1"/>
    <d v="2009-05-03T00:00:00"/>
    <s v="JH Kallis"/>
    <s v="New Wanderers Stadium"/>
    <s v="Royal Challengers Bangalore"/>
    <s v="Mumbai Indians"/>
    <s v="Mumbai Indians"/>
    <x v="1"/>
    <s v="Royal Challengers Bangalore"/>
    <s v="wickets"/>
    <n v="9"/>
    <s v="N"/>
    <s v="Normal Match"/>
    <x v="7"/>
    <s v="TH Wijewardene"/>
    <x v="1"/>
    <x v="1"/>
    <x v="0"/>
    <x v="0"/>
  </r>
  <r>
    <x v="83"/>
    <s v="East London"/>
    <x v="1"/>
    <d v="2009-05-04T00:00:00"/>
    <s v="MS Dhoni"/>
    <s v="Buffalo Park"/>
    <s v="Chennai Super Kings"/>
    <s v="Deccan Chargers"/>
    <s v="Chennai Super Kings"/>
    <x v="1"/>
    <s v="Chennai Super Kings"/>
    <s v="runs"/>
    <n v="78"/>
    <s v="N"/>
    <s v="Normal Match"/>
    <x v="8"/>
    <s v="M Erasmus"/>
    <x v="1"/>
    <x v="0"/>
    <x v="1"/>
    <x v="1"/>
  </r>
  <r>
    <x v="84"/>
    <s v="Durban"/>
    <x v="1"/>
    <d v="2009-05-05T00:00:00"/>
    <s v="GC Smith"/>
    <s v="Kingsmead"/>
    <s v="Punjab Kings"/>
    <s v="Rajasthan Royals"/>
    <s v="Punjab Kings"/>
    <x v="0"/>
    <s v="Rajasthan Royals"/>
    <s v="runs"/>
    <n v="78"/>
    <s v="N"/>
    <s v="Normal Match"/>
    <x v="15"/>
    <s v="IL Howell"/>
    <x v="1"/>
    <x v="0"/>
    <x v="0"/>
    <x v="0"/>
  </r>
  <r>
    <x v="85"/>
    <s v="Durban"/>
    <x v="1"/>
    <d v="2009-05-05T00:00:00"/>
    <s v="G Gambhir"/>
    <s v="Kingsmead"/>
    <s v="Delhi Capitals"/>
    <s v="Kolkata Knight Riders"/>
    <s v="Kolkata Knight Riders"/>
    <x v="1"/>
    <s v="Delhi Capitals"/>
    <s v="wickets"/>
    <n v="9"/>
    <s v="N"/>
    <s v="Normal Match"/>
    <x v="14"/>
    <s v="IL Howell"/>
    <x v="1"/>
    <x v="1"/>
    <x v="0"/>
    <x v="0"/>
  </r>
  <r>
    <x v="86"/>
    <s v="Centurion"/>
    <x v="1"/>
    <d v="2009-05-06T00:00:00"/>
    <s v="RG Sharma"/>
    <s v="SuperSport Park"/>
    <s v="Deccan Chargers"/>
    <s v="Mumbai Indians"/>
    <s v="Deccan Chargers"/>
    <x v="1"/>
    <s v="Deccan Chargers"/>
    <s v="runs"/>
    <n v="19"/>
    <s v="N"/>
    <s v="Normal Match"/>
    <x v="1"/>
    <s v="HDPK Dharmasena"/>
    <x v="1"/>
    <x v="0"/>
    <x v="1"/>
    <x v="1"/>
  </r>
  <r>
    <x v="87"/>
    <s v="Centurion"/>
    <x v="1"/>
    <d v="2009-05-07T00:00:00"/>
    <s v="A Singh"/>
    <s v="SuperSport Park"/>
    <s v="Royal Challengers Bangalore"/>
    <s v="Rajasthan Royals"/>
    <s v="Rajasthan Royals"/>
    <x v="0"/>
    <s v="Rajasthan Royals"/>
    <s v="wickets"/>
    <n v="7"/>
    <s v="N"/>
    <s v="Normal Match"/>
    <x v="16"/>
    <s v="DJ Harper"/>
    <x v="1"/>
    <x v="1"/>
    <x v="1"/>
    <x v="1"/>
  </r>
  <r>
    <x v="88"/>
    <s v="Centurion"/>
    <x v="1"/>
    <d v="2009-05-07T00:00:00"/>
    <s v="ML Hayden"/>
    <s v="SuperSport Park"/>
    <s v="Chennai Super Kings"/>
    <s v="Punjab Kings"/>
    <s v="Chennai Super Kings"/>
    <x v="1"/>
    <s v="Chennai Super Kings"/>
    <s v="runs"/>
    <n v="12"/>
    <s v="N"/>
    <s v="D/L"/>
    <x v="6"/>
    <s v="TH Wijewardene"/>
    <x v="1"/>
    <x v="0"/>
    <x v="1"/>
    <x v="1"/>
  </r>
  <r>
    <x v="89"/>
    <s v="East London"/>
    <x v="1"/>
    <d v="2009-05-08T00:00:00"/>
    <s v="A Nehra"/>
    <s v="Buffalo Park"/>
    <s v="Delhi Capitals"/>
    <s v="Mumbai Indians"/>
    <s v="Mumbai Indians"/>
    <x v="1"/>
    <s v="Delhi Capitals"/>
    <s v="wickets"/>
    <n v="7"/>
    <s v="N"/>
    <s v="Normal Match"/>
    <x v="11"/>
    <s v="SK Tarapore"/>
    <x v="1"/>
    <x v="1"/>
    <x v="0"/>
    <x v="0"/>
  </r>
  <r>
    <x v="90"/>
    <s v="Kimberley"/>
    <x v="1"/>
    <d v="2009-05-09T00:00:00"/>
    <s v="DPMD Jayawardene"/>
    <s v="De Beers Diamond Oval"/>
    <s v="Deccan Chargers"/>
    <s v="Punjab Kings"/>
    <s v="Punjab Kings"/>
    <x v="0"/>
    <s v="Punjab Kings"/>
    <s v="wickets"/>
    <n v="3"/>
    <s v="N"/>
    <s v="Normal Match"/>
    <x v="14"/>
    <s v="AM Saheba"/>
    <x v="1"/>
    <x v="1"/>
    <x v="1"/>
    <x v="1"/>
  </r>
  <r>
    <x v="91"/>
    <s v="Kimberley"/>
    <x v="1"/>
    <d v="2009-05-09T00:00:00"/>
    <s v="S Badrinath"/>
    <s v="De Beers Diamond Oval"/>
    <s v="Chennai Super Kings"/>
    <s v="Rajasthan Royals"/>
    <s v="Rajasthan Royals"/>
    <x v="1"/>
    <s v="Chennai Super Kings"/>
    <s v="wickets"/>
    <n v="7"/>
    <s v="N"/>
    <s v="Normal Match"/>
    <x v="14"/>
    <s v="HDPK Dharmasena"/>
    <x v="1"/>
    <x v="1"/>
    <x v="0"/>
    <x v="0"/>
  </r>
  <r>
    <x v="92"/>
    <s v="Port Elizabeth"/>
    <x v="1"/>
    <d v="2009-05-10T00:00:00"/>
    <s v="JP Duminy"/>
    <s v="St George's Park"/>
    <s v="Royal Challengers Bangalore"/>
    <s v="Mumbai Indians"/>
    <s v="Mumbai Indians"/>
    <x v="1"/>
    <s v="Mumbai Indians"/>
    <s v="runs"/>
    <n v="16"/>
    <s v="N"/>
    <s v="Normal Match"/>
    <x v="8"/>
    <s v="BG Jerling"/>
    <x v="1"/>
    <x v="0"/>
    <x v="1"/>
    <x v="1"/>
  </r>
  <r>
    <x v="93"/>
    <s v="Johannesburg"/>
    <x v="1"/>
    <d v="2009-05-10T00:00:00"/>
    <s v="A Mishra"/>
    <s v="New Wanderers Stadium"/>
    <s v="Delhi Capitals"/>
    <s v="Kolkata Knight Riders"/>
    <s v="Delhi Capitals"/>
    <x v="0"/>
    <s v="Delhi Capitals"/>
    <s v="wickets"/>
    <n v="7"/>
    <s v="N"/>
    <s v="Normal Match"/>
    <x v="17"/>
    <s v="RB Tiffin"/>
    <x v="1"/>
    <x v="1"/>
    <x v="1"/>
    <x v="1"/>
  </r>
  <r>
    <x v="94"/>
    <s v="Kimberley"/>
    <x v="1"/>
    <d v="2009-05-11T00:00:00"/>
    <s v="DR Smith"/>
    <s v="De Beers Diamond Oval"/>
    <s v="Deccan Chargers"/>
    <s v="Rajasthan Royals"/>
    <s v="Deccan Chargers"/>
    <x v="1"/>
    <s v="Deccan Chargers"/>
    <s v="runs"/>
    <n v="53"/>
    <s v="N"/>
    <s v="Normal Match"/>
    <x v="14"/>
    <s v="HDPK Dharmasena"/>
    <x v="1"/>
    <x v="0"/>
    <x v="1"/>
    <x v="1"/>
  </r>
  <r>
    <x v="95"/>
    <s v="Centurion"/>
    <x v="1"/>
    <d v="2009-05-12T00:00:00"/>
    <s v="LRPL Taylor"/>
    <s v="SuperSport Park"/>
    <s v="Royal Challengers Bangalore"/>
    <s v="Kolkata Knight Riders"/>
    <s v="Royal Challengers Bangalore"/>
    <x v="0"/>
    <s v="Royal Challengers Bangalore"/>
    <s v="wickets"/>
    <n v="6"/>
    <s v="N"/>
    <s v="Normal Match"/>
    <x v="11"/>
    <s v="SS Hazare"/>
    <x v="1"/>
    <x v="1"/>
    <x v="1"/>
    <x v="1"/>
  </r>
  <r>
    <x v="96"/>
    <s v="Centurion"/>
    <x v="1"/>
    <d v="2009-05-12T00:00:00"/>
    <s v="Harbhajan Singh"/>
    <s v="SuperSport Park"/>
    <s v="Punjab Kings"/>
    <s v="Mumbai Indians"/>
    <s v="Punjab Kings"/>
    <x v="1"/>
    <s v="Mumbai Indians"/>
    <s v="wickets"/>
    <n v="8"/>
    <s v="N"/>
    <s v="Normal Match"/>
    <x v="15"/>
    <s v="RE Koertzen"/>
    <x v="1"/>
    <x v="1"/>
    <x v="0"/>
    <x v="0"/>
  </r>
  <r>
    <x v="97"/>
    <s v="Durban"/>
    <x v="1"/>
    <d v="2009-05-13T00:00:00"/>
    <s v="R Bhatia"/>
    <s v="Kingsmead"/>
    <s v="Deccan Chargers"/>
    <s v="Delhi Capitals"/>
    <s v="Deccan Chargers"/>
    <x v="0"/>
    <s v="Delhi Capitals"/>
    <s v="runs"/>
    <n v="12"/>
    <s v="N"/>
    <s v="Normal Match"/>
    <x v="6"/>
    <s v="SL Shastri"/>
    <x v="1"/>
    <x v="0"/>
    <x v="0"/>
    <x v="0"/>
  </r>
  <r>
    <x v="98"/>
    <s v="Durban"/>
    <x v="1"/>
    <d v="2009-05-14T00:00:00"/>
    <s v="LRPL Taylor"/>
    <s v="Kingsmead"/>
    <s v="Royal Challengers Bangalore"/>
    <s v="Chennai Super Kings"/>
    <s v="Chennai Super Kings"/>
    <x v="1"/>
    <s v="Royal Challengers Bangalore"/>
    <s v="wickets"/>
    <n v="2"/>
    <s v="N"/>
    <s v="Normal Match"/>
    <x v="8"/>
    <s v="DJ Harper"/>
    <x v="1"/>
    <x v="1"/>
    <x v="0"/>
    <x v="0"/>
  </r>
  <r>
    <x v="99"/>
    <s v="Durban"/>
    <x v="1"/>
    <d v="2009-05-14T00:00:00"/>
    <s v="SK Warne"/>
    <s v="Kingsmead"/>
    <s v="Mumbai Indians"/>
    <s v="Rajasthan Royals"/>
    <s v="Rajasthan Royals"/>
    <x v="1"/>
    <s v="Rajasthan Royals"/>
    <s v="runs"/>
    <n v="2"/>
    <s v="N"/>
    <s v="Normal Match"/>
    <x v="8"/>
    <s v="DJ Harper"/>
    <x v="1"/>
    <x v="0"/>
    <x v="1"/>
    <x v="1"/>
  </r>
  <r>
    <x v="100"/>
    <s v="Bloemfontein"/>
    <x v="1"/>
    <d v="2009-05-15T00:00:00"/>
    <s v="B Lee"/>
    <s v="OUTsurance Oval"/>
    <s v="Delhi Capitals"/>
    <s v="Punjab Kings"/>
    <s v="Punjab Kings"/>
    <x v="0"/>
    <s v="Punjab Kings"/>
    <s v="wickets"/>
    <n v="6"/>
    <s v="N"/>
    <s v="Normal Match"/>
    <x v="12"/>
    <s v="IL Howell"/>
    <x v="1"/>
    <x v="1"/>
    <x v="1"/>
    <x v="1"/>
  </r>
  <r>
    <x v="101"/>
    <s v="Port Elizabeth"/>
    <x v="1"/>
    <d v="2009-05-16T00:00:00"/>
    <s v="ML Hayden"/>
    <s v="St George's Park"/>
    <s v="Chennai Super Kings"/>
    <s v="Mumbai Indians"/>
    <s v="Mumbai Indians"/>
    <x v="1"/>
    <s v="Chennai Super Kings"/>
    <s v="wickets"/>
    <n v="7"/>
    <s v="N"/>
    <s v="Normal Match"/>
    <x v="18"/>
    <s v="SJA Taufel"/>
    <x v="1"/>
    <x v="1"/>
    <x v="0"/>
    <x v="0"/>
  </r>
  <r>
    <x v="102"/>
    <s v="Johannesburg"/>
    <x v="1"/>
    <d v="2009-05-16T00:00:00"/>
    <s v="RG Sharma"/>
    <s v="New Wanderers Stadium"/>
    <s v="Deccan Chargers"/>
    <s v="Kolkata Knight Riders"/>
    <s v="Deccan Chargers"/>
    <x v="0"/>
    <s v="Deccan Chargers"/>
    <s v="wickets"/>
    <n v="6"/>
    <s v="N"/>
    <s v="Normal Match"/>
    <x v="7"/>
    <s v="S Ravi"/>
    <x v="1"/>
    <x v="1"/>
    <x v="1"/>
    <x v="1"/>
  </r>
  <r>
    <x v="103"/>
    <s v="Johannesburg"/>
    <x v="1"/>
    <d v="2009-05-17T00:00:00"/>
    <s v="Yuvraj Singh"/>
    <s v="New Wanderers Stadium"/>
    <s v="Deccan Chargers"/>
    <s v="Punjab Kings"/>
    <s v="Deccan Chargers"/>
    <x v="0"/>
    <s v="Punjab Kings"/>
    <s v="runs"/>
    <n v="1"/>
    <s v="N"/>
    <s v="Normal Match"/>
    <x v="19"/>
    <s v="RB Tiffin"/>
    <x v="1"/>
    <x v="0"/>
    <x v="0"/>
    <x v="0"/>
  </r>
  <r>
    <x v="104"/>
    <s v="Bloemfontein"/>
    <x v="1"/>
    <d v="2009-05-17T00:00:00"/>
    <s v="AB de Villiers"/>
    <s v="OUTsurance Oval"/>
    <s v="Delhi Capitals"/>
    <s v="Rajasthan Royals"/>
    <s v="Delhi Capitals"/>
    <x v="1"/>
    <s v="Delhi Capitals"/>
    <s v="runs"/>
    <n v="14"/>
    <s v="N"/>
    <s v="Normal Match"/>
    <x v="15"/>
    <s v="IL Howell"/>
    <x v="1"/>
    <x v="0"/>
    <x v="1"/>
    <x v="1"/>
  </r>
  <r>
    <x v="105"/>
    <s v="Centurion"/>
    <x v="1"/>
    <d v="2009-05-18T00:00:00"/>
    <s v="BJ Hodge"/>
    <s v="SuperSport Park"/>
    <s v="Chennai Super Kings"/>
    <s v="Kolkata Knight Riders"/>
    <s v="Chennai Super Kings"/>
    <x v="1"/>
    <s v="Kolkata Knight Riders"/>
    <s v="wickets"/>
    <n v="7"/>
    <s v="N"/>
    <s v="Normal Match"/>
    <x v="20"/>
    <s v="RB Tiffin"/>
    <x v="1"/>
    <x v="1"/>
    <x v="0"/>
    <x v="0"/>
  </r>
  <r>
    <x v="106"/>
    <s v="Johannesburg"/>
    <x v="1"/>
    <d v="2009-05-19T00:00:00"/>
    <s v="JH Kallis"/>
    <s v="New Wanderers Stadium"/>
    <s v="Royal Challengers Bangalore"/>
    <s v="Delhi Capitals"/>
    <s v="Delhi Capitals"/>
    <x v="1"/>
    <s v="Royal Challengers Bangalore"/>
    <s v="wickets"/>
    <n v="7"/>
    <s v="N"/>
    <s v="Normal Match"/>
    <x v="5"/>
    <s v="RB Tiffin"/>
    <x v="1"/>
    <x v="1"/>
    <x v="0"/>
    <x v="0"/>
  </r>
  <r>
    <x v="107"/>
    <s v="Durban"/>
    <x v="1"/>
    <d v="2009-05-20T00:00:00"/>
    <s v="LR Shukla"/>
    <s v="Kingsmead"/>
    <s v="Kolkata Knight Riders"/>
    <s v="Rajasthan Royals"/>
    <s v="Kolkata Knight Riders"/>
    <x v="0"/>
    <s v="Kolkata Knight Riders"/>
    <s v="wickets"/>
    <n v="4"/>
    <s v="N"/>
    <s v="Normal Match"/>
    <x v="10"/>
    <s v="SJA Taufel"/>
    <x v="1"/>
    <x v="1"/>
    <x v="1"/>
    <x v="1"/>
  </r>
  <r>
    <x v="108"/>
    <s v="Durban"/>
    <x v="1"/>
    <d v="2009-05-20T00:00:00"/>
    <s v="M Muralitharan"/>
    <s v="Kingsmead"/>
    <s v="Chennai Super Kings"/>
    <s v="Punjab Kings"/>
    <s v="Chennai Super Kings"/>
    <x v="1"/>
    <s v="Chennai Super Kings"/>
    <s v="runs"/>
    <n v="24"/>
    <s v="N"/>
    <s v="Normal Match"/>
    <x v="10"/>
    <s v="SJA Taufel"/>
    <x v="1"/>
    <x v="0"/>
    <x v="1"/>
    <x v="1"/>
  </r>
  <r>
    <x v="109"/>
    <s v="Centurion"/>
    <x v="1"/>
    <d v="2009-05-21T00:00:00"/>
    <s v="V Sehwag"/>
    <s v="SuperSport Park"/>
    <s v="Delhi Capitals"/>
    <s v="Mumbai Indians"/>
    <s v="Delhi Capitals"/>
    <x v="0"/>
    <s v="Delhi Capitals"/>
    <s v="wickets"/>
    <n v="4"/>
    <s v="N"/>
    <s v="Normal Match"/>
    <x v="5"/>
    <s v="S Ravi"/>
    <x v="1"/>
    <x v="1"/>
    <x v="1"/>
    <x v="1"/>
  </r>
  <r>
    <x v="110"/>
    <s v="Centurion"/>
    <x v="1"/>
    <d v="2009-05-21T00:00:00"/>
    <s v="MK Pandey"/>
    <s v="SuperSport Park"/>
    <s v="Royal Challengers Bangalore"/>
    <s v="Deccan Chargers"/>
    <s v="Royal Challengers Bangalore"/>
    <x v="1"/>
    <s v="Royal Challengers Bangalore"/>
    <s v="runs"/>
    <n v="12"/>
    <s v="N"/>
    <s v="Normal Match"/>
    <x v="5"/>
    <s v="S Ravi"/>
    <x v="1"/>
    <x v="0"/>
    <x v="1"/>
    <x v="1"/>
  </r>
  <r>
    <x v="111"/>
    <s v="Centurion"/>
    <x v="1"/>
    <d v="2009-05-22T00:00:00"/>
    <s v="AC Gilchrist"/>
    <s v="SuperSport Park"/>
    <s v="Delhi Capitals"/>
    <s v="Deccan Chargers"/>
    <s v="Deccan Chargers"/>
    <x v="0"/>
    <s v="Deccan Chargers"/>
    <s v="wickets"/>
    <n v="6"/>
    <s v="N"/>
    <s v="Normal Match"/>
    <x v="8"/>
    <s v="DJ Harper"/>
    <x v="1"/>
    <x v="1"/>
    <x v="1"/>
    <x v="1"/>
  </r>
  <r>
    <x v="112"/>
    <s v="Johannesburg"/>
    <x v="1"/>
    <d v="2009-05-23T00:00:00"/>
    <s v="MK Pandey"/>
    <s v="New Wanderers Stadium"/>
    <s v="Royal Challengers Bangalore"/>
    <s v="Chennai Super Kings"/>
    <s v="Royal Challengers Bangalore"/>
    <x v="0"/>
    <s v="Royal Challengers Bangalore"/>
    <s v="wickets"/>
    <n v="6"/>
    <s v="N"/>
    <s v="Normal Match"/>
    <x v="7"/>
    <s v="SJA Taufel"/>
    <x v="1"/>
    <x v="1"/>
    <x v="1"/>
    <x v="1"/>
  </r>
  <r>
    <x v="113"/>
    <s v="Johannesburg"/>
    <x v="1"/>
    <d v="2009-05-24T00:00:00"/>
    <s v="A Kumble"/>
    <s v="New Wanderers Stadium"/>
    <s v="Royal Challengers Bangalore"/>
    <s v="Deccan Chargers"/>
    <s v="Royal Challengers Bangalore"/>
    <x v="0"/>
    <s v="Deccan Chargers"/>
    <s v="runs"/>
    <n v="6"/>
    <s v="N"/>
    <s v="Normal Match"/>
    <x v="7"/>
    <s v="SJA Taufel"/>
    <x v="1"/>
    <x v="0"/>
    <x v="0"/>
    <x v="0"/>
  </r>
  <r>
    <x v="114"/>
    <s v="Mumbai"/>
    <x v="2"/>
    <d v="2010-03-12T00:00:00"/>
    <s v="AD Mathews"/>
    <s v="Dr DY Patil Sports Academy"/>
    <s v="Deccan Chargers"/>
    <s v="Kolkata Knight Riders"/>
    <s v="Deccan Chargers"/>
    <x v="0"/>
    <s v="Kolkata Knight Riders"/>
    <s v="runs"/>
    <n v="11"/>
    <s v="N"/>
    <s v="Normal Match"/>
    <x v="7"/>
    <s v="RB Tiffin"/>
    <x v="2"/>
    <x v="0"/>
    <x v="0"/>
    <x v="0"/>
  </r>
  <r>
    <x v="115"/>
    <s v="Mumbai"/>
    <x v="2"/>
    <d v="2010-03-13T00:00:00"/>
    <s v="YK Pathan"/>
    <s v="Brabourne Stadium"/>
    <s v="Mumbai Indians"/>
    <s v="Rajasthan Royals"/>
    <s v="Mumbai Indians"/>
    <x v="1"/>
    <s v="Mumbai Indians"/>
    <s v="runs"/>
    <n v="4"/>
    <s v="N"/>
    <s v="Normal Match"/>
    <x v="7"/>
    <s v="RB Tiffin"/>
    <x v="2"/>
    <x v="0"/>
    <x v="1"/>
    <x v="1"/>
  </r>
  <r>
    <x v="116"/>
    <s v="Chandigarh"/>
    <x v="2"/>
    <d v="2010-03-13T00:00:00"/>
    <s v="G Gambhir"/>
    <s v="Punjab Cricket Association Stadium, Mohali"/>
    <s v="Punjab Kings"/>
    <s v="Delhi Capitals"/>
    <s v="Delhi Capitals"/>
    <x v="0"/>
    <s v="Delhi Capitals"/>
    <s v="wickets"/>
    <n v="5"/>
    <s v="N"/>
    <s v="Normal Match"/>
    <x v="8"/>
    <s v="S Ravi"/>
    <x v="2"/>
    <x v="1"/>
    <x v="1"/>
    <x v="1"/>
  </r>
  <r>
    <x v="117"/>
    <s v="Kolkata"/>
    <x v="2"/>
    <d v="2010-03-14T00:00:00"/>
    <s v="MK Tiwary"/>
    <s v="Eden Gardens"/>
    <s v="Kolkata Knight Riders"/>
    <s v="Royal Challengers Bangalore"/>
    <s v="Kolkata Knight Riders"/>
    <x v="0"/>
    <s v="Kolkata Knight Riders"/>
    <s v="wickets"/>
    <n v="7"/>
    <s v="N"/>
    <s v="Normal Match"/>
    <x v="12"/>
    <s v="AM Saheba"/>
    <x v="2"/>
    <x v="1"/>
    <x v="1"/>
    <x v="1"/>
  </r>
  <r>
    <x v="118"/>
    <s v="Chennai"/>
    <x v="2"/>
    <d v="2010-03-14T00:00:00"/>
    <s v="WPUJC Vaas"/>
    <s v="MA Chidambaram Stadium, Chepauk"/>
    <s v="Chennai Super Kings"/>
    <s v="Deccan Chargers"/>
    <s v="Deccan Chargers"/>
    <x v="1"/>
    <s v="Deccan Chargers"/>
    <s v="runs"/>
    <n v="31"/>
    <s v="N"/>
    <s v="Normal Match"/>
    <x v="16"/>
    <s v="DJ Harper"/>
    <x v="2"/>
    <x v="0"/>
    <x v="1"/>
    <x v="1"/>
  </r>
  <r>
    <x v="119"/>
    <s v="Ahmedabad"/>
    <x v="2"/>
    <d v="2010-03-15T00:00:00"/>
    <s v="V Sehwag"/>
    <s v="Sardar Patel Stadium, Motera"/>
    <s v="Rajasthan Royals"/>
    <s v="Delhi Capitals"/>
    <s v="Delhi Capitals"/>
    <x v="0"/>
    <s v="Delhi Capitals"/>
    <s v="wickets"/>
    <n v="6"/>
    <s v="N"/>
    <s v="Normal Match"/>
    <x v="10"/>
    <s v="RE Koertzen"/>
    <x v="2"/>
    <x v="1"/>
    <x v="1"/>
    <x v="1"/>
  </r>
  <r>
    <x v="120"/>
    <s v="Bangalore"/>
    <x v="2"/>
    <d v="2010-03-16T00:00:00"/>
    <s v="JH Kallis"/>
    <s v="M. Chinnaswamy Stadium"/>
    <s v="Royal Challengers Bangalore"/>
    <s v="Punjab Kings"/>
    <s v="Punjab Kings"/>
    <x v="1"/>
    <s v="Royal Challengers Bangalore"/>
    <s v="wickets"/>
    <n v="8"/>
    <s v="N"/>
    <s v="Normal Match"/>
    <x v="21"/>
    <s v="DJ Harper"/>
    <x v="2"/>
    <x v="1"/>
    <x v="0"/>
    <x v="0"/>
  </r>
  <r>
    <x v="121"/>
    <s v="Kolkata"/>
    <x v="2"/>
    <d v="2010-03-16T00:00:00"/>
    <s v="MS Dhoni"/>
    <s v="Eden Gardens"/>
    <s v="Kolkata Knight Riders"/>
    <s v="Chennai Super Kings"/>
    <s v="Chennai Super Kings"/>
    <x v="1"/>
    <s v="Chennai Super Kings"/>
    <s v="runs"/>
    <n v="55"/>
    <s v="N"/>
    <s v="Normal Match"/>
    <x v="12"/>
    <s v="AM Saheba"/>
    <x v="2"/>
    <x v="0"/>
    <x v="1"/>
    <x v="1"/>
  </r>
  <r>
    <x v="122"/>
    <s v="Delhi"/>
    <x v="2"/>
    <d v="2010-03-17T00:00:00"/>
    <s v="SR Tendulkar"/>
    <s v="Feroz Shah Kotla"/>
    <s v="Delhi Capitals"/>
    <s v="Mumbai Indians"/>
    <s v="Delhi Capitals"/>
    <x v="0"/>
    <s v="Mumbai Indians"/>
    <s v="runs"/>
    <n v="98"/>
    <s v="N"/>
    <s v="Normal Match"/>
    <x v="8"/>
    <s v="SK Tarapore"/>
    <x v="2"/>
    <x v="0"/>
    <x v="0"/>
    <x v="0"/>
  </r>
  <r>
    <x v="123"/>
    <s v="Bangalore"/>
    <x v="2"/>
    <d v="2010-03-18T00:00:00"/>
    <s v="JH Kallis"/>
    <s v="M. Chinnaswamy Stadium"/>
    <s v="Royal Challengers Bangalore"/>
    <s v="Rajasthan Royals"/>
    <s v="Royal Challengers Bangalore"/>
    <x v="0"/>
    <s v="Royal Challengers Bangalore"/>
    <s v="wickets"/>
    <n v="10"/>
    <s v="N"/>
    <s v="Normal Match"/>
    <x v="16"/>
    <s v="DJ Harper"/>
    <x v="2"/>
    <x v="1"/>
    <x v="1"/>
    <x v="1"/>
  </r>
  <r>
    <x v="124"/>
    <s v="Delhi"/>
    <x v="2"/>
    <d v="2010-03-19T00:00:00"/>
    <s v="ML Hayden"/>
    <s v="Feroz Shah Kotla"/>
    <s v="Delhi Capitals"/>
    <s v="Chennai Super Kings"/>
    <s v="Delhi Capitals"/>
    <x v="1"/>
    <s v="Chennai Super Kings"/>
    <s v="wickets"/>
    <n v="5"/>
    <s v="N"/>
    <s v="Normal Match"/>
    <x v="8"/>
    <s v="SK Tarapore"/>
    <x v="2"/>
    <x v="1"/>
    <x v="0"/>
    <x v="0"/>
  </r>
  <r>
    <x v="125"/>
    <s v="Cuttack"/>
    <x v="2"/>
    <d v="2010-03-19T00:00:00"/>
    <s v="A Symonds"/>
    <s v="Barabati Stadium"/>
    <s v="Deccan Chargers"/>
    <s v="Punjab Kings"/>
    <s v="Punjab Kings"/>
    <x v="0"/>
    <s v="Deccan Chargers"/>
    <s v="runs"/>
    <n v="6"/>
    <s v="N"/>
    <s v="Normal Match"/>
    <x v="4"/>
    <s v="M Erasmus"/>
    <x v="2"/>
    <x v="0"/>
    <x v="0"/>
    <x v="0"/>
  </r>
  <r>
    <x v="126"/>
    <s v="Ahmedabad"/>
    <x v="2"/>
    <d v="2010-03-20T00:00:00"/>
    <s v="AA Jhunjhunwala"/>
    <s v="Sardar Patel Stadium, Motera"/>
    <s v="Rajasthan Royals"/>
    <s v="Kolkata Knight Riders"/>
    <s v="Rajasthan Royals"/>
    <x v="1"/>
    <s v="Rajasthan Royals"/>
    <s v="runs"/>
    <n v="34"/>
    <s v="N"/>
    <s v="Normal Match"/>
    <x v="7"/>
    <s v="RB Tiffin"/>
    <x v="2"/>
    <x v="0"/>
    <x v="1"/>
    <x v="1"/>
  </r>
  <r>
    <x v="127"/>
    <s v="Mumbai"/>
    <x v="2"/>
    <d v="2010-03-20T00:00:00"/>
    <s v="JH Kallis"/>
    <s v="Brabourne Stadium"/>
    <s v="Mumbai Indians"/>
    <s v="Royal Challengers Bangalore"/>
    <s v="Mumbai Indians"/>
    <x v="1"/>
    <s v="Royal Challengers Bangalore"/>
    <s v="wickets"/>
    <n v="7"/>
    <s v="N"/>
    <s v="Normal Match"/>
    <x v="12"/>
    <s v="SS Hazare"/>
    <x v="2"/>
    <x v="1"/>
    <x v="0"/>
    <x v="0"/>
  </r>
  <r>
    <x v="128"/>
    <s v="Cuttack"/>
    <x v="2"/>
    <d v="2010-03-21T00:00:00"/>
    <s v="A Symonds"/>
    <s v="Barabati Stadium"/>
    <s v="Deccan Chargers"/>
    <s v="Delhi Capitals"/>
    <s v="Deccan Chargers"/>
    <x v="1"/>
    <s v="Deccan Chargers"/>
    <s v="runs"/>
    <n v="10"/>
    <s v="N"/>
    <s v="Normal Match"/>
    <x v="4"/>
    <s v="M Erasmus"/>
    <x v="2"/>
    <x v="0"/>
    <x v="1"/>
    <x v="1"/>
  </r>
  <r>
    <x v="129"/>
    <s v="Mumbai"/>
    <x v="2"/>
    <d v="2010-03-22T00:00:00"/>
    <s v="SR Tendulkar"/>
    <s v="Brabourne Stadium"/>
    <s v="Mumbai Indians"/>
    <s v="Kolkata Knight Riders"/>
    <s v="Kolkata Knight Riders"/>
    <x v="1"/>
    <s v="Mumbai Indians"/>
    <s v="wickets"/>
    <n v="7"/>
    <s v="N"/>
    <s v="Normal Match"/>
    <x v="15"/>
    <s v="SJA Taufel"/>
    <x v="2"/>
    <x v="1"/>
    <x v="0"/>
    <x v="0"/>
  </r>
  <r>
    <x v="130"/>
    <s v="Bangalore"/>
    <x v="2"/>
    <d v="2010-03-23T00:00:00"/>
    <s v="RV Uthappa"/>
    <s v="M. Chinnaswamy Stadium"/>
    <s v="Royal Challengers Bangalore"/>
    <s v="Chennai Super Kings"/>
    <s v="Chennai Super Kings"/>
    <x v="0"/>
    <s v="Royal Challengers Bangalore"/>
    <s v="runs"/>
    <n v="36"/>
    <s v="N"/>
    <s v="Normal Match"/>
    <x v="7"/>
    <s v="RB Tiffin"/>
    <x v="2"/>
    <x v="0"/>
    <x v="0"/>
    <x v="0"/>
  </r>
  <r>
    <x v="131"/>
    <s v="Chandigarh"/>
    <x v="2"/>
    <d v="2010-03-24T00:00:00"/>
    <s v="AC Voges"/>
    <s v="Punjab Cricket Association Stadium, Mohali"/>
    <s v="Punjab Kings"/>
    <s v="Rajasthan Royals"/>
    <s v="Punjab Kings"/>
    <x v="0"/>
    <s v="Rajasthan Royals"/>
    <s v="runs"/>
    <n v="31"/>
    <s v="N"/>
    <s v="Normal Match"/>
    <x v="8"/>
    <s v="SK Tarapore"/>
    <x v="2"/>
    <x v="0"/>
    <x v="0"/>
    <x v="0"/>
  </r>
  <r>
    <x v="132"/>
    <s v="Mumbai"/>
    <x v="2"/>
    <d v="2010-03-25T00:00:00"/>
    <s v="SR Tendulkar"/>
    <s v="Brabourne Stadium"/>
    <s v="Mumbai Indians"/>
    <s v="Chennai Super Kings"/>
    <s v="Mumbai Indians"/>
    <x v="0"/>
    <s v="Mumbai Indians"/>
    <s v="wickets"/>
    <n v="5"/>
    <s v="N"/>
    <s v="Normal Match"/>
    <x v="4"/>
    <s v="AM Saheba"/>
    <x v="2"/>
    <x v="1"/>
    <x v="1"/>
    <x v="1"/>
  </r>
  <r>
    <x v="133"/>
    <s v="Ahmedabad"/>
    <x v="2"/>
    <d v="2010-03-26T00:00:00"/>
    <s v="YK Pathan"/>
    <s v="Sardar Patel Stadium, Motera"/>
    <s v="Rajasthan Royals"/>
    <s v="Deccan Chargers"/>
    <s v="Deccan Chargers"/>
    <x v="1"/>
    <s v="Rajasthan Royals"/>
    <s v="wickets"/>
    <n v="8"/>
    <s v="N"/>
    <s v="Normal Match"/>
    <x v="12"/>
    <s v="SJA Taufel"/>
    <x v="2"/>
    <x v="1"/>
    <x v="0"/>
    <x v="0"/>
  </r>
  <r>
    <x v="134"/>
    <s v="Chandigarh"/>
    <x v="2"/>
    <d v="2010-03-27T00:00:00"/>
    <s v="MK Tiwary"/>
    <s v="Punjab Cricket Association Stadium, Mohali"/>
    <s v="Punjab Kings"/>
    <s v="Kolkata Knight Riders"/>
    <s v="Kolkata Knight Riders"/>
    <x v="1"/>
    <s v="Kolkata Knight Riders"/>
    <s v="runs"/>
    <n v="39"/>
    <s v="N"/>
    <s v="Normal Match"/>
    <x v="8"/>
    <s v="S Ravi"/>
    <x v="2"/>
    <x v="0"/>
    <x v="1"/>
    <x v="1"/>
  </r>
  <r>
    <x v="135"/>
    <s v="Bangalore"/>
    <x v="2"/>
    <d v="2010-03-25T00:00:00"/>
    <s v="KM Jadhav"/>
    <s v="M. Chinnaswamy Stadium"/>
    <s v="Royal Challengers Bangalore"/>
    <s v="Delhi Capitals"/>
    <s v="Royal Challengers Bangalore"/>
    <x v="0"/>
    <s v="Delhi Capitals"/>
    <s v="runs"/>
    <n v="17"/>
    <s v="N"/>
    <s v="Normal Match"/>
    <x v="10"/>
    <s v="RE Koertzen"/>
    <x v="2"/>
    <x v="0"/>
    <x v="0"/>
    <x v="0"/>
  </r>
  <r>
    <x v="136"/>
    <s v="Ahmedabad"/>
    <x v="2"/>
    <d v="2010-03-28T00:00:00"/>
    <s v="NV Ojha"/>
    <s v="Sardar Patel Stadium, Motera"/>
    <s v="Rajasthan Royals"/>
    <s v="Chennai Super Kings"/>
    <s v="Rajasthan Royals"/>
    <x v="1"/>
    <s v="Rajasthan Royals"/>
    <s v="runs"/>
    <n v="17"/>
    <s v="N"/>
    <s v="Normal Match"/>
    <x v="15"/>
    <s v="SJA Taufel"/>
    <x v="2"/>
    <x v="0"/>
    <x v="1"/>
    <x v="1"/>
  </r>
  <r>
    <x v="137"/>
    <s v="Mumbai"/>
    <x v="2"/>
    <d v="2010-03-28T00:00:00"/>
    <s v="Harbhajan Singh"/>
    <s v="Dr DY Patil Sports Academy"/>
    <s v="Deccan Chargers"/>
    <s v="Mumbai Indians"/>
    <s v="Deccan Chargers"/>
    <x v="0"/>
    <s v="Mumbai Indians"/>
    <s v="runs"/>
    <n v="41"/>
    <s v="N"/>
    <s v="Normal Match"/>
    <x v="21"/>
    <s v="K Hariharan"/>
    <x v="2"/>
    <x v="0"/>
    <x v="0"/>
    <x v="0"/>
  </r>
  <r>
    <x v="138"/>
    <s v="Delhi"/>
    <x v="2"/>
    <d v="2010-03-29T00:00:00"/>
    <s v="DA Warner"/>
    <s v="Feroz Shah Kotla"/>
    <s v="Delhi Capitals"/>
    <s v="Kolkata Knight Riders"/>
    <s v="Delhi Capitals"/>
    <x v="1"/>
    <s v="Delhi Capitals"/>
    <s v="runs"/>
    <n v="40"/>
    <s v="N"/>
    <s v="Normal Match"/>
    <x v="15"/>
    <s v="SJA Taufel"/>
    <x v="2"/>
    <x v="0"/>
    <x v="1"/>
    <x v="1"/>
  </r>
  <r>
    <x v="139"/>
    <s v="Mumbai"/>
    <x v="2"/>
    <d v="2010-03-30T00:00:00"/>
    <s v="SL Malinga"/>
    <s v="Brabourne Stadium"/>
    <s v="Mumbai Indians"/>
    <s v="Punjab Kings"/>
    <s v="Mumbai Indians"/>
    <x v="0"/>
    <s v="Mumbai Indians"/>
    <s v="wickets"/>
    <n v="4"/>
    <s v="N"/>
    <s v="Normal Match"/>
    <x v="8"/>
    <s v="SK Tarapore"/>
    <x v="2"/>
    <x v="1"/>
    <x v="1"/>
    <x v="1"/>
  </r>
  <r>
    <x v="140"/>
    <s v="Chennai"/>
    <x v="2"/>
    <d v="2010-03-31T00:00:00"/>
    <s v="M Vijay"/>
    <s v="MA Chidambaram Stadium, Chepauk"/>
    <s v="Chennai Super Kings"/>
    <s v="Royal Challengers Bangalore"/>
    <s v="Royal Challengers Bangalore"/>
    <x v="1"/>
    <s v="Chennai Super Kings"/>
    <s v="wickets"/>
    <n v="5"/>
    <s v="N"/>
    <s v="Normal Match"/>
    <x v="10"/>
    <s v="RE Koertzen"/>
    <x v="2"/>
    <x v="1"/>
    <x v="0"/>
    <x v="0"/>
  </r>
  <r>
    <x v="141"/>
    <s v="Delhi"/>
    <x v="2"/>
    <d v="2010-03-31T00:00:00"/>
    <s v="KD Karthik"/>
    <s v="Feroz Shah Kotla"/>
    <s v="Delhi Capitals"/>
    <s v="Rajasthan Royals"/>
    <s v="Delhi Capitals"/>
    <x v="1"/>
    <s v="Delhi Capitals"/>
    <s v="runs"/>
    <n v="67"/>
    <s v="N"/>
    <s v="Normal Match"/>
    <x v="12"/>
    <s v="SJA Taufel"/>
    <x v="2"/>
    <x v="0"/>
    <x v="1"/>
    <x v="1"/>
  </r>
  <r>
    <x v="142"/>
    <s v="Kolkata"/>
    <x v="2"/>
    <d v="2010-04-01T00:00:00"/>
    <s v="SC Ganguly"/>
    <s v="Eden Gardens"/>
    <s v="Kolkata Knight Riders"/>
    <s v="Deccan Chargers"/>
    <s v="Kolkata Knight Riders"/>
    <x v="1"/>
    <s v="Kolkata Knight Riders"/>
    <s v="runs"/>
    <n v="24"/>
    <s v="N"/>
    <s v="Normal Match"/>
    <x v="16"/>
    <s v="DJ Harper"/>
    <x v="2"/>
    <x v="0"/>
    <x v="1"/>
    <x v="1"/>
  </r>
  <r>
    <x v="143"/>
    <s v="Chandigarh"/>
    <x v="2"/>
    <d v="2010-04-02T00:00:00"/>
    <s v="KP Pietersen"/>
    <s v="Punjab Cricket Association Stadium, Mohali"/>
    <s v="Punjab Kings"/>
    <s v="Royal Challengers Bangalore"/>
    <s v="Punjab Kings"/>
    <x v="1"/>
    <s v="Royal Challengers Bangalore"/>
    <s v="wickets"/>
    <n v="6"/>
    <s v="N"/>
    <s v="Normal Match"/>
    <x v="4"/>
    <s v="M Erasmus"/>
    <x v="2"/>
    <x v="1"/>
    <x v="0"/>
    <x v="0"/>
  </r>
  <r>
    <x v="144"/>
    <s v="Chennai"/>
    <x v="2"/>
    <d v="2010-04-03T00:00:00"/>
    <s v="M Vijay"/>
    <s v="MA Chidambaram Stadium, Chepauk"/>
    <s v="Chennai Super Kings"/>
    <s v="Rajasthan Royals"/>
    <s v="Chennai Super Kings"/>
    <x v="1"/>
    <s v="Chennai Super Kings"/>
    <s v="runs"/>
    <n v="23"/>
    <s v="N"/>
    <s v="Normal Match"/>
    <x v="7"/>
    <s v="RB Tiffin"/>
    <x v="2"/>
    <x v="0"/>
    <x v="1"/>
    <x v="1"/>
  </r>
  <r>
    <x v="145"/>
    <s v="Mumbai"/>
    <x v="2"/>
    <d v="2010-04-03T00:00:00"/>
    <s v="AT Rayudu"/>
    <s v="Brabourne Stadium"/>
    <s v="Mumbai Indians"/>
    <s v="Deccan Chargers"/>
    <s v="Mumbai Indians"/>
    <x v="1"/>
    <s v="Mumbai Indians"/>
    <s v="runs"/>
    <n v="63"/>
    <s v="N"/>
    <s v="Normal Match"/>
    <x v="8"/>
    <s v="S Ravi"/>
    <x v="2"/>
    <x v="0"/>
    <x v="1"/>
    <x v="1"/>
  </r>
  <r>
    <x v="146"/>
    <s v="Kolkata"/>
    <x v="2"/>
    <d v="2010-04-04T00:00:00"/>
    <s v="DPMD Jayawardene"/>
    <s v="Eden Gardens"/>
    <s v="Kolkata Knight Riders"/>
    <s v="Punjab Kings"/>
    <s v="Kolkata Knight Riders"/>
    <x v="1"/>
    <s v="Punjab Kings"/>
    <s v="wickets"/>
    <n v="8"/>
    <s v="N"/>
    <s v="Normal Match"/>
    <x v="13"/>
    <s v="DJ Harper"/>
    <x v="2"/>
    <x v="1"/>
    <x v="0"/>
    <x v="0"/>
  </r>
  <r>
    <x v="147"/>
    <s v="Delhi"/>
    <x v="2"/>
    <d v="2010-04-04T00:00:00"/>
    <s v="PD Collingwood"/>
    <s v="Feroz Shah Kotla"/>
    <s v="Delhi Capitals"/>
    <s v="Royal Challengers Bangalore"/>
    <s v="Delhi Capitals"/>
    <x v="1"/>
    <s v="Delhi Capitals"/>
    <s v="runs"/>
    <n v="37"/>
    <s v="N"/>
    <s v="Normal Match"/>
    <x v="4"/>
    <s v="M Erasmus"/>
    <x v="2"/>
    <x v="0"/>
    <x v="1"/>
    <x v="1"/>
  </r>
  <r>
    <x v="148"/>
    <s v="Nagpur"/>
    <x v="2"/>
    <d v="2010-04-05T00:00:00"/>
    <s v="SK Warne"/>
    <s v="Vidarbha Cricket Association Stadium, Jamtha"/>
    <s v="Deccan Chargers"/>
    <s v="Rajasthan Royals"/>
    <s v="Rajasthan Royals"/>
    <x v="1"/>
    <s v="Rajasthan Royals"/>
    <s v="runs"/>
    <n v="2"/>
    <s v="N"/>
    <s v="Normal Match"/>
    <x v="12"/>
    <s v="SJA Taufel"/>
    <x v="2"/>
    <x v="0"/>
    <x v="1"/>
    <x v="1"/>
  </r>
  <r>
    <x v="149"/>
    <s v="Chennai"/>
    <x v="2"/>
    <d v="2010-04-06T00:00:00"/>
    <s v="SK Raina"/>
    <s v="MA Chidambaram Stadium, Chepauk"/>
    <s v="Chennai Super Kings"/>
    <s v="Mumbai Indians"/>
    <s v="Chennai Super Kings"/>
    <x v="1"/>
    <s v="Chennai Super Kings"/>
    <s v="runs"/>
    <n v="24"/>
    <s v="N"/>
    <s v="Normal Match"/>
    <x v="13"/>
    <s v="DJ Harper"/>
    <x v="2"/>
    <x v="0"/>
    <x v="1"/>
    <x v="1"/>
  </r>
  <r>
    <x v="150"/>
    <s v="Jaipur"/>
    <x v="2"/>
    <d v="2010-04-07T00:00:00"/>
    <s v="MJ Lumb"/>
    <s v="Sawai Mansingh Stadium"/>
    <s v="Rajasthan Royals"/>
    <s v="Punjab Kings"/>
    <s v="Punjab Kings"/>
    <x v="1"/>
    <s v="Rajasthan Royals"/>
    <s v="wickets"/>
    <n v="9"/>
    <s v="N"/>
    <s v="Normal Match"/>
    <x v="19"/>
    <s v="SK Tarapore"/>
    <x v="2"/>
    <x v="1"/>
    <x v="0"/>
    <x v="0"/>
  </r>
  <r>
    <x v="151"/>
    <s v="Kolkata"/>
    <x v="2"/>
    <d v="2010-04-07T00:00:00"/>
    <s v="SC Ganguly"/>
    <s v="Eden Gardens"/>
    <s v="Kolkata Knight Riders"/>
    <s v="Delhi Capitals"/>
    <s v="Kolkata Knight Riders"/>
    <x v="1"/>
    <s v="Kolkata Knight Riders"/>
    <s v="runs"/>
    <n v="14"/>
    <s v="N"/>
    <s v="Normal Match"/>
    <x v="10"/>
    <s v="RE Koertzen"/>
    <x v="2"/>
    <x v="0"/>
    <x v="1"/>
    <x v="1"/>
  </r>
  <r>
    <x v="152"/>
    <s v="Bangalore"/>
    <x v="2"/>
    <d v="2010-04-08T00:00:00"/>
    <s v="TL Suman"/>
    <s v="M. Chinnaswamy Stadium"/>
    <s v="Royal Challengers Bangalore"/>
    <s v="Deccan Chargers"/>
    <s v="Deccan Chargers"/>
    <x v="0"/>
    <s v="Deccan Chargers"/>
    <s v="wickets"/>
    <n v="7"/>
    <s v="N"/>
    <s v="Normal Match"/>
    <x v="13"/>
    <s v="DJ Harper"/>
    <x v="2"/>
    <x v="1"/>
    <x v="1"/>
    <x v="1"/>
  </r>
  <r>
    <x v="153"/>
    <s v="Chandigarh"/>
    <x v="2"/>
    <d v="2010-04-09T00:00:00"/>
    <s v="KC Sangakkara"/>
    <s v="Punjab Cricket Association Stadium, Mohali"/>
    <s v="Punjab Kings"/>
    <s v="Mumbai Indians"/>
    <s v="Mumbai Indians"/>
    <x v="1"/>
    <s v="Punjab Kings"/>
    <s v="wickets"/>
    <n v="6"/>
    <s v="N"/>
    <s v="Normal Match"/>
    <x v="11"/>
    <s v="AM Saheba"/>
    <x v="2"/>
    <x v="1"/>
    <x v="0"/>
    <x v="0"/>
  </r>
  <r>
    <x v="154"/>
    <s v="Nagpur"/>
    <x v="2"/>
    <d v="2010-04-10T00:00:00"/>
    <s v="RJ Harris"/>
    <s v="Vidarbha Cricket Association Stadium, Jamtha"/>
    <s v="Deccan Chargers"/>
    <s v="Chennai Super Kings"/>
    <s v="Chennai Super Kings"/>
    <x v="1"/>
    <s v="Deccan Chargers"/>
    <s v="wickets"/>
    <n v="6"/>
    <s v="N"/>
    <s v="Normal Match"/>
    <x v="12"/>
    <s v="SJA Taufel"/>
    <x v="2"/>
    <x v="1"/>
    <x v="0"/>
    <x v="0"/>
  </r>
  <r>
    <x v="155"/>
    <s v="Bangalore"/>
    <x v="2"/>
    <d v="2010-04-10T00:00:00"/>
    <s v="R Vinay Kumar"/>
    <s v="M. Chinnaswamy Stadium"/>
    <s v="Royal Challengers Bangalore"/>
    <s v="Kolkata Knight Riders"/>
    <s v="Royal Challengers Bangalore"/>
    <x v="0"/>
    <s v="Royal Challengers Bangalore"/>
    <s v="wickets"/>
    <n v="7"/>
    <s v="N"/>
    <s v="Normal Match"/>
    <x v="16"/>
    <s v="DJ Harper"/>
    <x v="2"/>
    <x v="1"/>
    <x v="1"/>
    <x v="1"/>
  </r>
  <r>
    <x v="156"/>
    <s v="Delhi"/>
    <x v="2"/>
    <d v="2010-04-11T00:00:00"/>
    <s v="PP Chawla"/>
    <s v="Feroz Shah Kotla"/>
    <s v="Delhi Capitals"/>
    <s v="Punjab Kings"/>
    <s v="Delhi Capitals"/>
    <x v="1"/>
    <s v="Punjab Kings"/>
    <s v="wickets"/>
    <n v="7"/>
    <s v="N"/>
    <s v="Normal Match"/>
    <x v="4"/>
    <s v="AM Saheba"/>
    <x v="2"/>
    <x v="1"/>
    <x v="0"/>
    <x v="0"/>
  </r>
  <r>
    <x v="157"/>
    <s v="Jaipur"/>
    <x v="2"/>
    <d v="2010-04-11T00:00:00"/>
    <s v="SR Tendulkar"/>
    <s v="Sawai Mansingh Stadium"/>
    <s v="Rajasthan Royals"/>
    <s v="Mumbai Indians"/>
    <s v="Rajasthan Royals"/>
    <x v="0"/>
    <s v="Mumbai Indians"/>
    <s v="runs"/>
    <n v="37"/>
    <s v="N"/>
    <s v="Normal Match"/>
    <x v="8"/>
    <s v="SK Tarapore"/>
    <x v="2"/>
    <x v="0"/>
    <x v="0"/>
    <x v="0"/>
  </r>
  <r>
    <x v="158"/>
    <s v="Nagpur"/>
    <x v="2"/>
    <d v="2010-04-12T00:00:00"/>
    <s v="Harmeet Singh"/>
    <s v="Vidarbha Cricket Association Stadium, Jamtha"/>
    <s v="Deccan Chargers"/>
    <s v="Royal Challengers Bangalore"/>
    <s v="Royal Challengers Bangalore"/>
    <x v="0"/>
    <s v="Deccan Chargers"/>
    <s v="runs"/>
    <n v="13"/>
    <s v="N"/>
    <s v="Normal Match"/>
    <x v="7"/>
    <s v="RB Tiffin"/>
    <x v="2"/>
    <x v="0"/>
    <x v="0"/>
    <x v="0"/>
  </r>
  <r>
    <x v="159"/>
    <s v="Mumbai"/>
    <x v="2"/>
    <d v="2010-04-13T00:00:00"/>
    <s v="KA Pollard"/>
    <s v="Brabourne Stadium"/>
    <s v="Mumbai Indians"/>
    <s v="Delhi Capitals"/>
    <s v="Mumbai Indians"/>
    <x v="1"/>
    <s v="Mumbai Indians"/>
    <s v="runs"/>
    <n v="39"/>
    <s v="N"/>
    <s v="Normal Match"/>
    <x v="13"/>
    <s v="DJ Harper"/>
    <x v="2"/>
    <x v="0"/>
    <x v="1"/>
    <x v="1"/>
  </r>
  <r>
    <x v="160"/>
    <s v="Chennai"/>
    <x v="2"/>
    <d v="2010-04-13T00:00:00"/>
    <s v="R Ashwin"/>
    <s v="MA Chidambaram Stadium, Chepauk"/>
    <s v="Chennai Super Kings"/>
    <s v="Kolkata Knight Riders"/>
    <s v="Kolkata Knight Riders"/>
    <x v="1"/>
    <s v="Chennai Super Kings"/>
    <s v="wickets"/>
    <n v="9"/>
    <s v="N"/>
    <s v="Normal Match"/>
    <x v="15"/>
    <s v="SJA Taufel"/>
    <x v="2"/>
    <x v="1"/>
    <x v="0"/>
    <x v="0"/>
  </r>
  <r>
    <x v="161"/>
    <s v="Jaipur"/>
    <x v="2"/>
    <d v="2010-04-14T00:00:00"/>
    <s v="KP Pietersen"/>
    <s v="Sawai Mansingh Stadium"/>
    <s v="Rajasthan Royals"/>
    <s v="Royal Challengers Bangalore"/>
    <s v="Rajasthan Royals"/>
    <x v="1"/>
    <s v="Royal Challengers Bangalore"/>
    <s v="wickets"/>
    <n v="5"/>
    <s v="N"/>
    <s v="Normal Match"/>
    <x v="8"/>
    <s v="S Ravi"/>
    <x v="2"/>
    <x v="1"/>
    <x v="0"/>
    <x v="0"/>
  </r>
  <r>
    <x v="162"/>
    <s v="Chennai"/>
    <x v="2"/>
    <d v="2010-04-15T00:00:00"/>
    <s v="G Gambhir"/>
    <s v="MA Chidambaram Stadium, Chepauk"/>
    <s v="Chennai Super Kings"/>
    <s v="Delhi Capitals"/>
    <s v="Chennai Super Kings"/>
    <x v="1"/>
    <s v="Delhi Capitals"/>
    <s v="wickets"/>
    <n v="6"/>
    <s v="N"/>
    <s v="Normal Match"/>
    <x v="12"/>
    <s v="SS Hazare"/>
    <x v="2"/>
    <x v="1"/>
    <x v="0"/>
    <x v="0"/>
  </r>
  <r>
    <x v="163"/>
    <s v="Dharamsala"/>
    <x v="2"/>
    <d v="2010-04-16T00:00:00"/>
    <s v="RG Sharma"/>
    <s v="Himachal Pradesh Cricket Association Stadium"/>
    <s v="Punjab Kings"/>
    <s v="Deccan Chargers"/>
    <s v="Deccan Chargers"/>
    <x v="0"/>
    <s v="Deccan Chargers"/>
    <s v="wickets"/>
    <n v="5"/>
    <s v="N"/>
    <s v="Normal Match"/>
    <x v="11"/>
    <s v="AM Saheba"/>
    <x v="2"/>
    <x v="1"/>
    <x v="1"/>
    <x v="1"/>
  </r>
  <r>
    <x v="164"/>
    <s v="Bangalore"/>
    <x v="2"/>
    <d v="2010-04-17T00:00:00"/>
    <s v="R McLaren"/>
    <s v="M. Chinnaswamy Stadium"/>
    <s v="Royal Challengers Bangalore"/>
    <s v="Mumbai Indians"/>
    <s v="Royal Challengers Bangalore"/>
    <x v="0"/>
    <s v="Mumbai Indians"/>
    <s v="runs"/>
    <n v="57"/>
    <s v="N"/>
    <s v="Normal Match"/>
    <x v="12"/>
    <s v="SJA Taufel"/>
    <x v="2"/>
    <x v="0"/>
    <x v="0"/>
    <x v="0"/>
  </r>
  <r>
    <x v="165"/>
    <s v="Kolkata"/>
    <x v="2"/>
    <d v="2010-04-17T00:00:00"/>
    <s v="JD Unadkat"/>
    <s v="Eden Gardens"/>
    <s v="Kolkata Knight Riders"/>
    <s v="Rajasthan Royals"/>
    <s v="Rajasthan Royals"/>
    <x v="1"/>
    <s v="Kolkata Knight Riders"/>
    <s v="wickets"/>
    <n v="8"/>
    <s v="N"/>
    <s v="Normal Match"/>
    <x v="10"/>
    <s v="RB Tiffin"/>
    <x v="2"/>
    <x v="1"/>
    <x v="0"/>
    <x v="0"/>
  </r>
  <r>
    <x v="166"/>
    <s v="Dharamsala"/>
    <x v="2"/>
    <d v="2010-04-18T00:00:00"/>
    <s v="MS Dhoni"/>
    <s v="Himachal Pradesh Cricket Association Stadium"/>
    <s v="Punjab Kings"/>
    <s v="Chennai Super Kings"/>
    <s v="Chennai Super Kings"/>
    <x v="0"/>
    <s v="Chennai Super Kings"/>
    <s v="wickets"/>
    <n v="6"/>
    <s v="N"/>
    <s v="Normal Match"/>
    <x v="4"/>
    <s v="AM Saheba"/>
    <x v="2"/>
    <x v="1"/>
    <x v="1"/>
    <x v="1"/>
  </r>
  <r>
    <x v="167"/>
    <s v="Delhi"/>
    <x v="2"/>
    <d v="2010-04-18T00:00:00"/>
    <s v="A Symonds"/>
    <s v="Feroz Shah Kotla"/>
    <s v="Delhi Capitals"/>
    <s v="Deccan Chargers"/>
    <s v="Deccan Chargers"/>
    <x v="1"/>
    <s v="Deccan Chargers"/>
    <s v="runs"/>
    <n v="11"/>
    <s v="N"/>
    <s v="Normal Match"/>
    <x v="8"/>
    <s v="SK Tarapore"/>
    <x v="2"/>
    <x v="0"/>
    <x v="1"/>
    <x v="1"/>
  </r>
  <r>
    <x v="168"/>
    <s v="Kolkata"/>
    <x v="2"/>
    <d v="2010-04-19T00:00:00"/>
    <s v="M Kartik"/>
    <s v="Eden Gardens"/>
    <s v="Kolkata Knight Riders"/>
    <s v="Mumbai Indians"/>
    <s v="Mumbai Indians"/>
    <x v="1"/>
    <s v="Kolkata Knight Riders"/>
    <s v="wickets"/>
    <n v="9"/>
    <s v="N"/>
    <s v="Normal Match"/>
    <x v="10"/>
    <s v="RE Koertzen"/>
    <x v="2"/>
    <x v="1"/>
    <x v="0"/>
    <x v="0"/>
  </r>
  <r>
    <x v="169"/>
    <s v="Mumbai"/>
    <x v="2"/>
    <d v="2010-04-21T00:00:00"/>
    <s v="KA Pollard"/>
    <s v="Dr DY Patil Sports Academy"/>
    <s v="Royal Challengers Bangalore"/>
    <s v="Mumbai Indians"/>
    <s v="Mumbai Indians"/>
    <x v="1"/>
    <s v="Mumbai Indians"/>
    <s v="runs"/>
    <n v="35"/>
    <s v="N"/>
    <s v="Normal Match"/>
    <x v="8"/>
    <s v="RB Tiffin"/>
    <x v="2"/>
    <x v="0"/>
    <x v="1"/>
    <x v="1"/>
  </r>
  <r>
    <x v="170"/>
    <s v="Mumbai"/>
    <x v="2"/>
    <d v="2010-04-22T00:00:00"/>
    <s v="DE Bollinger"/>
    <s v="Dr DY Patil Sports Academy"/>
    <s v="Chennai Super Kings"/>
    <s v="Deccan Chargers"/>
    <s v="Chennai Super Kings"/>
    <x v="1"/>
    <s v="Chennai Super Kings"/>
    <s v="runs"/>
    <n v="38"/>
    <s v="N"/>
    <s v="Normal Match"/>
    <x v="8"/>
    <s v="RB Tiffin"/>
    <x v="2"/>
    <x v="0"/>
    <x v="1"/>
    <x v="1"/>
  </r>
  <r>
    <x v="171"/>
    <s v="Mumbai"/>
    <x v="2"/>
    <d v="2010-04-24T00:00:00"/>
    <s v="A Kumble"/>
    <s v="Dr DY Patil Sports Academy"/>
    <s v="Royal Challengers Bangalore"/>
    <s v="Deccan Chargers"/>
    <s v="Deccan Chargers"/>
    <x v="1"/>
    <s v="Royal Challengers Bangalore"/>
    <s v="wickets"/>
    <n v="9"/>
    <s v="N"/>
    <s v="Normal Match"/>
    <x v="7"/>
    <s v="SJA Taufel"/>
    <x v="2"/>
    <x v="1"/>
    <x v="0"/>
    <x v="0"/>
  </r>
  <r>
    <x v="172"/>
    <s v="Mumbai"/>
    <x v="2"/>
    <d v="2010-04-25T00:00:00"/>
    <s v="SK Raina"/>
    <s v="Dr DY Patil Sports Academy"/>
    <s v="Chennai Super Kings"/>
    <s v="Mumbai Indians"/>
    <s v="Chennai Super Kings"/>
    <x v="1"/>
    <s v="Chennai Super Kings"/>
    <s v="runs"/>
    <n v="22"/>
    <s v="N"/>
    <s v="Normal Match"/>
    <x v="7"/>
    <s v="SJA Taufel"/>
    <x v="2"/>
    <x v="0"/>
    <x v="1"/>
    <x v="1"/>
  </r>
  <r>
    <x v="173"/>
    <s v="Chennai"/>
    <x v="3"/>
    <d v="2011-04-08T00:00:00"/>
    <s v="S Anirudha"/>
    <s v="MA Chidambaram Stadium, Chepauk"/>
    <s v="Chennai Super Kings"/>
    <s v="Kolkata Knight Riders"/>
    <s v="Chennai Super Kings"/>
    <x v="1"/>
    <s v="Chennai Super Kings"/>
    <s v="runs"/>
    <n v="2"/>
    <s v="N"/>
    <s v="Normal Match"/>
    <x v="8"/>
    <s v="PR Reiffel"/>
    <x v="3"/>
    <x v="0"/>
    <x v="1"/>
    <x v="1"/>
  </r>
  <r>
    <x v="174"/>
    <s v="Hyderabad"/>
    <x v="3"/>
    <d v="2011-04-09T00:00:00"/>
    <s v="SK Trivedi"/>
    <s v="Rajiv Gandhi International Stadium, Uppal"/>
    <s v="Deccan Chargers"/>
    <s v="Rajasthan Royals"/>
    <s v="Rajasthan Royals"/>
    <x v="0"/>
    <s v="Rajasthan Royals"/>
    <s v="wickets"/>
    <n v="8"/>
    <s v="N"/>
    <s v="Normal Match"/>
    <x v="7"/>
    <s v="SK Tarapore"/>
    <x v="3"/>
    <x v="1"/>
    <x v="1"/>
    <x v="1"/>
  </r>
  <r>
    <x v="175"/>
    <s v="Kochi"/>
    <x v="3"/>
    <d v="2011-04-09T00:00:00"/>
    <s v="AB de Villiers"/>
    <s v="Nehru Stadium"/>
    <s v="Kochi Tuskers Kerala"/>
    <s v="Royal Challengers Bangalore"/>
    <s v="Kochi Tuskers Kerala"/>
    <x v="1"/>
    <s v="Royal Challengers Bangalore"/>
    <s v="wickets"/>
    <n v="6"/>
    <s v="N"/>
    <s v="Normal Match"/>
    <x v="12"/>
    <s v="K Hariharan"/>
    <x v="3"/>
    <x v="1"/>
    <x v="0"/>
    <x v="0"/>
  </r>
  <r>
    <x v="176"/>
    <s v="Delhi"/>
    <x v="3"/>
    <d v="2011-04-10T00:00:00"/>
    <s v="SL Malinga"/>
    <s v="Feroz Shah Kotla"/>
    <s v="Delhi Capitals"/>
    <s v="Mumbai Indians"/>
    <s v="Delhi Capitals"/>
    <x v="1"/>
    <s v="Mumbai Indians"/>
    <s v="wickets"/>
    <n v="8"/>
    <s v="N"/>
    <s v="Normal Match"/>
    <x v="22"/>
    <s v="RB Tiffin"/>
    <x v="3"/>
    <x v="1"/>
    <x v="0"/>
    <x v="0"/>
  </r>
  <r>
    <x v="177"/>
    <s v="Mumbai"/>
    <x v="3"/>
    <d v="2011-04-10T00:00:00"/>
    <s v="SB Wagh"/>
    <s v="Dr DY Patil Sports Academy"/>
    <s v="Pune Warriors"/>
    <s v="Punjab Kings"/>
    <s v="Punjab Kings"/>
    <x v="1"/>
    <s v="Pune Warriors"/>
    <s v="wickets"/>
    <n v="7"/>
    <s v="N"/>
    <s v="Normal Match"/>
    <x v="8"/>
    <s v="PR Reiffel"/>
    <x v="3"/>
    <x v="1"/>
    <x v="0"/>
    <x v="0"/>
  </r>
  <r>
    <x v="178"/>
    <s v="Kolkata"/>
    <x v="3"/>
    <d v="2011-04-11T00:00:00"/>
    <s v="JH Kallis"/>
    <s v="Eden Gardens"/>
    <s v="Kolkata Knight Riders"/>
    <s v="Deccan Chargers"/>
    <s v="Kolkata Knight Riders"/>
    <x v="1"/>
    <s v="Kolkata Knight Riders"/>
    <s v="runs"/>
    <n v="9"/>
    <s v="N"/>
    <s v="Normal Match"/>
    <x v="7"/>
    <s v="SK Tarapore"/>
    <x v="3"/>
    <x v="0"/>
    <x v="1"/>
    <x v="1"/>
  </r>
  <r>
    <x v="179"/>
    <s v="Jaipur"/>
    <x v="3"/>
    <d v="2011-04-12T00:00:00"/>
    <s v="SK Warne"/>
    <s v="Sawai Mansingh Stadium"/>
    <s v="Rajasthan Royals"/>
    <s v="Delhi Capitals"/>
    <s v="Delhi Capitals"/>
    <x v="1"/>
    <s v="Rajasthan Royals"/>
    <s v="wickets"/>
    <n v="6"/>
    <s v="N"/>
    <s v="Normal Match"/>
    <x v="2"/>
    <s v="RB Tiffin"/>
    <x v="3"/>
    <x v="1"/>
    <x v="0"/>
    <x v="0"/>
  </r>
  <r>
    <x v="180"/>
    <s v="Bangalore"/>
    <x v="3"/>
    <d v="2011-04-12T00:00:00"/>
    <s v="SR Tendulkar"/>
    <s v="M. Chinnaswamy Stadium"/>
    <s v="Royal Challengers Bangalore"/>
    <s v="Mumbai Indians"/>
    <s v="Mumbai Indians"/>
    <x v="0"/>
    <s v="Mumbai Indians"/>
    <s v="wickets"/>
    <n v="9"/>
    <s v="N"/>
    <s v="Normal Match"/>
    <x v="12"/>
    <s v="AL Hill"/>
    <x v="3"/>
    <x v="1"/>
    <x v="1"/>
    <x v="1"/>
  </r>
  <r>
    <x v="181"/>
    <s v="Chandigarh"/>
    <x v="3"/>
    <d v="2011-04-13T00:00:00"/>
    <s v="PC Valthaty"/>
    <s v="Punjab Cricket Association Stadium, Mohali"/>
    <s v="Punjab Kings"/>
    <s v="Chennai Super Kings"/>
    <s v="Punjab Kings"/>
    <x v="0"/>
    <s v="Punjab Kings"/>
    <s v="wickets"/>
    <n v="6"/>
    <s v="N"/>
    <s v="Normal Match"/>
    <x v="0"/>
    <s v="SL Shastri"/>
    <x v="3"/>
    <x v="1"/>
    <x v="1"/>
    <x v="1"/>
  </r>
  <r>
    <x v="182"/>
    <s v="Mumbai"/>
    <x v="3"/>
    <d v="2011-04-13T00:00:00"/>
    <s v="MD Mishra"/>
    <s v="Dr DY Patil Sports Academy"/>
    <s v="Pune Warriors"/>
    <s v="Kochi Tuskers Kerala"/>
    <s v="Kochi Tuskers Kerala"/>
    <x v="1"/>
    <s v="Pune Warriors"/>
    <s v="wickets"/>
    <n v="4"/>
    <s v="N"/>
    <s v="Normal Match"/>
    <x v="13"/>
    <s v="PR Reiffel"/>
    <x v="3"/>
    <x v="1"/>
    <x v="0"/>
    <x v="0"/>
  </r>
  <r>
    <x v="183"/>
    <s v="Hyderabad"/>
    <x v="3"/>
    <d v="2011-04-14T00:00:00"/>
    <s v="DW Steyn"/>
    <s v="Rajiv Gandhi International Stadium, Uppal"/>
    <s v="Deccan Chargers"/>
    <s v="Royal Challengers Bangalore"/>
    <s v="Royal Challengers Bangalore"/>
    <x v="0"/>
    <s v="Deccan Chargers"/>
    <s v="runs"/>
    <n v="33"/>
    <s v="N"/>
    <s v="Normal Match"/>
    <x v="7"/>
    <s v="S Ravi"/>
    <x v="3"/>
    <x v="0"/>
    <x v="0"/>
    <x v="0"/>
  </r>
  <r>
    <x v="184"/>
    <s v="Jaipur"/>
    <x v="3"/>
    <d v="2011-04-15T00:00:00"/>
    <s v="G Gambhir"/>
    <s v="Sawai Mansingh Stadium"/>
    <s v="Rajasthan Royals"/>
    <s v="Kolkata Knight Riders"/>
    <s v="Kolkata Knight Riders"/>
    <x v="0"/>
    <s v="Kolkata Knight Riders"/>
    <s v="wickets"/>
    <n v="9"/>
    <s v="N"/>
    <s v="Normal Match"/>
    <x v="2"/>
    <s v="SS Hazare"/>
    <x v="3"/>
    <x v="1"/>
    <x v="1"/>
    <x v="1"/>
  </r>
  <r>
    <x v="185"/>
    <s v="Mumbai"/>
    <x v="3"/>
    <d v="2011-04-15T00:00:00"/>
    <s v="BB McCullum"/>
    <s v="Wankhede Stadium"/>
    <s v="Mumbai Indians"/>
    <s v="Kochi Tuskers Kerala"/>
    <s v="Kochi Tuskers Kerala"/>
    <x v="0"/>
    <s v="Kochi Tuskers Kerala"/>
    <s v="wickets"/>
    <n v="8"/>
    <s v="N"/>
    <s v="Normal Match"/>
    <x v="8"/>
    <s v="PR Reiffel"/>
    <x v="3"/>
    <x v="1"/>
    <x v="1"/>
    <x v="1"/>
  </r>
  <r>
    <x v="186"/>
    <s v="Chennai"/>
    <x v="3"/>
    <d v="2011-04-16T00:00:00"/>
    <s v="MEK Hussey"/>
    <s v="MA Chidambaram Stadium, Chepauk"/>
    <s v="Chennai Super Kings"/>
    <s v="Royal Challengers Bangalore"/>
    <s v="Chennai Super Kings"/>
    <x v="1"/>
    <s v="Chennai Super Kings"/>
    <s v="runs"/>
    <n v="21"/>
    <s v="N"/>
    <s v="Normal Match"/>
    <x v="12"/>
    <s v="AL Hill"/>
    <x v="3"/>
    <x v="0"/>
    <x v="1"/>
    <x v="1"/>
  </r>
  <r>
    <x v="187"/>
    <s v="Hyderabad"/>
    <x v="3"/>
    <d v="2011-04-16T00:00:00"/>
    <s v="PC Valthaty"/>
    <s v="Rajiv Gandhi International Stadium, Uppal"/>
    <s v="Deccan Chargers"/>
    <s v="Punjab Kings"/>
    <s v="Punjab Kings"/>
    <x v="0"/>
    <s v="Punjab Kings"/>
    <s v="wickets"/>
    <n v="8"/>
    <s v="N"/>
    <s v="Normal Match"/>
    <x v="7"/>
    <s v="S Ravi"/>
    <x v="3"/>
    <x v="1"/>
    <x v="1"/>
    <x v="1"/>
  </r>
  <r>
    <x v="188"/>
    <s v="Mumbai"/>
    <x v="3"/>
    <d v="2011-04-17T00:00:00"/>
    <s v="Yuvraj Singh"/>
    <s v="Dr DY Patil Sports Academy"/>
    <s v="Pune Warriors"/>
    <s v="Delhi Capitals"/>
    <s v="Delhi Capitals"/>
    <x v="0"/>
    <s v="Delhi Capitals"/>
    <s v="wickets"/>
    <n v="3"/>
    <s v="N"/>
    <s v="Normal Match"/>
    <x v="0"/>
    <s v="AM Saheba"/>
    <x v="3"/>
    <x v="1"/>
    <x v="1"/>
    <x v="1"/>
  </r>
  <r>
    <x v="189"/>
    <s v="Kolkata"/>
    <x v="3"/>
    <d v="2011-04-17T00:00:00"/>
    <s v="L Balaji"/>
    <s v="Eden Gardens"/>
    <s v="Kolkata Knight Riders"/>
    <s v="Rajasthan Royals"/>
    <s v="Kolkata Knight Riders"/>
    <x v="0"/>
    <s v="Kolkata Knight Riders"/>
    <s v="wickets"/>
    <n v="8"/>
    <s v="N"/>
    <s v="Normal Match"/>
    <x v="2"/>
    <s v="RB Tiffin"/>
    <x v="3"/>
    <x v="1"/>
    <x v="1"/>
    <x v="1"/>
  </r>
  <r>
    <x v="190"/>
    <s v="Kochi"/>
    <x v="3"/>
    <d v="2011-04-18T00:00:00"/>
    <s v="BB McCullum"/>
    <s v="Nehru Stadium"/>
    <s v="Kochi Tuskers Kerala"/>
    <s v="Chennai Super Kings"/>
    <s v="Kochi Tuskers Kerala"/>
    <x v="0"/>
    <s v="Kochi Tuskers Kerala"/>
    <s v="wickets"/>
    <n v="7"/>
    <s v="N"/>
    <s v="D/L"/>
    <x v="16"/>
    <s v="AL Hill"/>
    <x v="3"/>
    <x v="1"/>
    <x v="1"/>
    <x v="1"/>
  </r>
  <r>
    <x v="191"/>
    <s v="Delhi"/>
    <x v="3"/>
    <d v="2011-04-19T00:00:00"/>
    <s v="S Sohal"/>
    <s v="Feroz Shah Kotla"/>
    <s v="Delhi Capitals"/>
    <s v="Deccan Chargers"/>
    <s v="Deccan Chargers"/>
    <x v="1"/>
    <s v="Deccan Chargers"/>
    <s v="runs"/>
    <n v="16"/>
    <s v="N"/>
    <s v="Normal Match"/>
    <x v="23"/>
    <s v="RJ Tucker"/>
    <x v="3"/>
    <x v="0"/>
    <x v="1"/>
    <x v="1"/>
  </r>
  <r>
    <x v="192"/>
    <s v="Mumbai"/>
    <x v="3"/>
    <d v="2011-04-20T00:00:00"/>
    <s v="MM Patel"/>
    <s v="Wankhede Stadium"/>
    <s v="Mumbai Indians"/>
    <s v="Pune Warriors"/>
    <s v="Pune Warriors"/>
    <x v="1"/>
    <s v="Mumbai Indians"/>
    <s v="wickets"/>
    <n v="7"/>
    <s v="N"/>
    <s v="Normal Match"/>
    <x v="0"/>
    <s v="AM Saheba"/>
    <x v="3"/>
    <x v="1"/>
    <x v="0"/>
    <x v="0"/>
  </r>
  <r>
    <x v="193"/>
    <s v="Kolkata"/>
    <x v="3"/>
    <d v="2011-04-20T00:00:00"/>
    <s v="DPMD Jayawardene"/>
    <s v="Eden Gardens"/>
    <s v="Kolkata Knight Riders"/>
    <s v="Kochi Tuskers Kerala"/>
    <s v="Kolkata Knight Riders"/>
    <x v="0"/>
    <s v="Kochi Tuskers Kerala"/>
    <s v="runs"/>
    <n v="6"/>
    <s v="N"/>
    <s v="Normal Match"/>
    <x v="2"/>
    <s v="RB Tiffin"/>
    <x v="3"/>
    <x v="0"/>
    <x v="0"/>
    <x v="0"/>
  </r>
  <r>
    <x v="194"/>
    <s v="Chandigarh"/>
    <x v="3"/>
    <d v="2011-04-21T00:00:00"/>
    <s v="SE Marsh"/>
    <s v="Punjab Cricket Association Stadium, Mohali"/>
    <s v="Punjab Kings"/>
    <s v="Rajasthan Royals"/>
    <s v="Rajasthan Royals"/>
    <x v="0"/>
    <s v="Punjab Kings"/>
    <s v="runs"/>
    <n v="48"/>
    <s v="N"/>
    <s v="Normal Match"/>
    <x v="13"/>
    <s v="PR Reiffel"/>
    <x v="3"/>
    <x v="0"/>
    <x v="0"/>
    <x v="0"/>
  </r>
  <r>
    <x v="195"/>
    <s v="Mumbai"/>
    <x v="3"/>
    <d v="2011-04-22T00:00:00"/>
    <s v="Harbhajan Singh"/>
    <s v="Wankhede Stadium"/>
    <s v="Mumbai Indians"/>
    <s v="Chennai Super Kings"/>
    <s v="Chennai Super Kings"/>
    <x v="0"/>
    <s v="Mumbai Indians"/>
    <s v="runs"/>
    <n v="8"/>
    <s v="N"/>
    <s v="Normal Match"/>
    <x v="0"/>
    <s v="AM Saheba"/>
    <x v="3"/>
    <x v="0"/>
    <x v="0"/>
    <x v="0"/>
  </r>
  <r>
    <x v="196"/>
    <s v="Kolkata"/>
    <x v="3"/>
    <d v="2011-04-22T00:00:00"/>
    <s v="CH Gayle"/>
    <s v="Eden Gardens"/>
    <s v="Kolkata Knight Riders"/>
    <s v="Royal Challengers Bangalore"/>
    <s v="Royal Challengers Bangalore"/>
    <x v="0"/>
    <s v="Royal Challengers Bangalore"/>
    <s v="wickets"/>
    <n v="9"/>
    <s v="N"/>
    <s v="Normal Match"/>
    <x v="15"/>
    <s v="RB Tiffin"/>
    <x v="3"/>
    <x v="1"/>
    <x v="1"/>
    <x v="1"/>
  </r>
  <r>
    <x v="197"/>
    <s v="Delhi"/>
    <x v="3"/>
    <d v="2011-04-23T00:00:00"/>
    <s v="DA Warner"/>
    <s v="Feroz Shah Kotla"/>
    <s v="Delhi Capitals"/>
    <s v="Punjab Kings"/>
    <s v="Punjab Kings"/>
    <x v="0"/>
    <s v="Delhi Capitals"/>
    <s v="runs"/>
    <n v="29"/>
    <s v="N"/>
    <s v="Normal Match"/>
    <x v="13"/>
    <s v="RE Koertzen"/>
    <x v="3"/>
    <x v="0"/>
    <x v="0"/>
    <x v="0"/>
  </r>
  <r>
    <x v="198"/>
    <s v="Hyderabad"/>
    <x v="3"/>
    <d v="2011-04-24T00:00:00"/>
    <s v="SL Malinga"/>
    <s v="Rajiv Gandhi International Stadium, Uppal"/>
    <s v="Deccan Chargers"/>
    <s v="Mumbai Indians"/>
    <s v="Deccan Chargers"/>
    <x v="0"/>
    <s v="Mumbai Indians"/>
    <s v="runs"/>
    <n v="37"/>
    <s v="N"/>
    <s v="Normal Match"/>
    <x v="12"/>
    <s v="AL Hill"/>
    <x v="3"/>
    <x v="0"/>
    <x v="0"/>
    <x v="0"/>
  </r>
  <r>
    <x v="199"/>
    <s v="Jaipur"/>
    <x v="3"/>
    <d v="2011-04-24T00:00:00"/>
    <s v="SK Warne"/>
    <s v="Sawai Mansingh Stadium"/>
    <s v="Rajasthan Royals"/>
    <s v="Kochi Tuskers Kerala"/>
    <s v="Rajasthan Royals"/>
    <x v="0"/>
    <s v="Rajasthan Royals"/>
    <s v="wickets"/>
    <n v="8"/>
    <s v="N"/>
    <s v="Normal Match"/>
    <x v="8"/>
    <s v="SK Tarapore"/>
    <x v="3"/>
    <x v="1"/>
    <x v="1"/>
    <x v="1"/>
  </r>
  <r>
    <x v="200"/>
    <s v="Chennai"/>
    <x v="3"/>
    <d v="2011-04-25T00:00:00"/>
    <s v="MEK Hussey"/>
    <s v="MA Chidambaram Stadium, Chepauk"/>
    <s v="Chennai Super Kings"/>
    <s v="Pune Warriors"/>
    <s v="Pune Warriors"/>
    <x v="0"/>
    <s v="Chennai Super Kings"/>
    <s v="runs"/>
    <n v="25"/>
    <s v="N"/>
    <s v="Normal Match"/>
    <x v="2"/>
    <s v="RB Tiffin"/>
    <x v="3"/>
    <x v="0"/>
    <x v="0"/>
    <x v="0"/>
  </r>
  <r>
    <x v="201"/>
    <s v="Delhi"/>
    <x v="3"/>
    <d v="2011-04-26T00:00:00"/>
    <s v="V Kohli"/>
    <s v="Feroz Shah Kotla"/>
    <s v="Delhi Capitals"/>
    <s v="Royal Challengers Bangalore"/>
    <s v="Royal Challengers Bangalore"/>
    <x v="0"/>
    <s v="Royal Challengers Bangalore"/>
    <s v="wickets"/>
    <n v="3"/>
    <s v="N"/>
    <s v="Normal Match"/>
    <x v="13"/>
    <s v="RJ Tucker"/>
    <x v="3"/>
    <x v="1"/>
    <x v="1"/>
    <x v="1"/>
  </r>
  <r>
    <x v="202"/>
    <s v="Mumbai"/>
    <x v="3"/>
    <d v="2011-04-27T00:00:00"/>
    <s v="DE Bollinger"/>
    <s v="Dr DY Patil Sports Academy"/>
    <s v="Pune Warriors"/>
    <s v="Chennai Super Kings"/>
    <s v="Pune Warriors"/>
    <x v="1"/>
    <s v="Chennai Super Kings"/>
    <s v="wickets"/>
    <n v="8"/>
    <s v="N"/>
    <s v="Normal Match"/>
    <x v="0"/>
    <s v="SL Shastri"/>
    <x v="3"/>
    <x v="1"/>
    <x v="0"/>
    <x v="0"/>
  </r>
  <r>
    <x v="203"/>
    <s v="Kochi"/>
    <x v="3"/>
    <d v="2011-04-27T00:00:00"/>
    <s v="I Sharma"/>
    <s v="Nehru Stadium"/>
    <s v="Kochi Tuskers Kerala"/>
    <s v="Deccan Chargers"/>
    <s v="Kochi Tuskers Kerala"/>
    <x v="0"/>
    <s v="Deccan Chargers"/>
    <s v="runs"/>
    <n v="55"/>
    <s v="N"/>
    <s v="Normal Match"/>
    <x v="12"/>
    <s v="AL Hill"/>
    <x v="3"/>
    <x v="0"/>
    <x v="0"/>
    <x v="0"/>
  </r>
  <r>
    <x v="204"/>
    <s v="Delhi"/>
    <x v="3"/>
    <d v="2011-04-28T00:00:00"/>
    <s v="MK Tiwary"/>
    <s v="Feroz Shah Kotla"/>
    <s v="Delhi Capitals"/>
    <s v="Kolkata Knight Riders"/>
    <s v="Delhi Capitals"/>
    <x v="0"/>
    <s v="Kolkata Knight Riders"/>
    <s v="runs"/>
    <n v="17"/>
    <s v="N"/>
    <s v="Normal Match"/>
    <x v="23"/>
    <s v="RJ Tucker"/>
    <x v="3"/>
    <x v="0"/>
    <x v="0"/>
    <x v="0"/>
  </r>
  <r>
    <x v="205"/>
    <s v="Jaipur"/>
    <x v="3"/>
    <d v="2011-04-29T00:00:00"/>
    <s v="J Botha"/>
    <s v="Sawai Mansingh Stadium"/>
    <s v="Rajasthan Royals"/>
    <s v="Mumbai Indians"/>
    <s v="Rajasthan Royals"/>
    <x v="0"/>
    <s v="Rajasthan Royals"/>
    <s v="wickets"/>
    <n v="7"/>
    <s v="N"/>
    <s v="Normal Match"/>
    <x v="0"/>
    <s v="SK Tarapore"/>
    <x v="3"/>
    <x v="1"/>
    <x v="1"/>
    <x v="1"/>
  </r>
  <r>
    <x v="206"/>
    <s v="Bangalore"/>
    <x v="3"/>
    <d v="2011-04-29T00:00:00"/>
    <s v="V Kohli"/>
    <s v="M. Chinnaswamy Stadium"/>
    <s v="Royal Challengers Bangalore"/>
    <s v="Pune Warriors"/>
    <s v="Pune Warriors"/>
    <x v="0"/>
    <s v="Royal Challengers Bangalore"/>
    <s v="runs"/>
    <n v="26"/>
    <s v="N"/>
    <s v="Normal Match"/>
    <x v="2"/>
    <s v="SS Hazare"/>
    <x v="3"/>
    <x v="0"/>
    <x v="0"/>
    <x v="0"/>
  </r>
  <r>
    <x v="207"/>
    <s v="Kochi"/>
    <x v="3"/>
    <d v="2011-04-30T00:00:00"/>
    <s v="V Sehwag"/>
    <s v="Nehru Stadium"/>
    <s v="Kochi Tuskers Kerala"/>
    <s v="Delhi Capitals"/>
    <s v="Delhi Capitals"/>
    <x v="1"/>
    <s v="Delhi Capitals"/>
    <s v="runs"/>
    <n v="38"/>
    <s v="N"/>
    <s v="Normal Match"/>
    <x v="12"/>
    <s v="AL Hill"/>
    <x v="3"/>
    <x v="0"/>
    <x v="1"/>
    <x v="1"/>
  </r>
  <r>
    <x v="208"/>
    <s v="Kolkata"/>
    <x v="3"/>
    <d v="2011-04-30T00:00:00"/>
    <s v="Iqbal Abdulla"/>
    <s v="Eden Gardens"/>
    <s v="Kolkata Knight Riders"/>
    <s v="Punjab Kings"/>
    <s v="Kolkata Knight Riders"/>
    <x v="0"/>
    <s v="Kolkata Knight Riders"/>
    <s v="wickets"/>
    <n v="8"/>
    <s v="N"/>
    <s v="Normal Match"/>
    <x v="22"/>
    <s v="SL Shastri"/>
    <x v="3"/>
    <x v="1"/>
    <x v="1"/>
    <x v="1"/>
  </r>
  <r>
    <x v="209"/>
    <s v="Jaipur"/>
    <x v="3"/>
    <d v="2011-05-01T00:00:00"/>
    <s v="LRPL Taylor"/>
    <s v="Sawai Mansingh Stadium"/>
    <s v="Rajasthan Royals"/>
    <s v="Pune Warriors"/>
    <s v="Rajasthan Royals"/>
    <x v="0"/>
    <s v="Rajasthan Royals"/>
    <s v="wickets"/>
    <n v="6"/>
    <s v="N"/>
    <s v="Normal Match"/>
    <x v="18"/>
    <s v="SJA Taufel"/>
    <x v="3"/>
    <x v="1"/>
    <x v="1"/>
    <x v="1"/>
  </r>
  <r>
    <x v="210"/>
    <s v="Chennai"/>
    <x v="3"/>
    <d v="2011-05-01T00:00:00"/>
    <s v="JA Morkel"/>
    <s v="MA Chidambaram Stadium, Chepauk"/>
    <s v="Chennai Super Kings"/>
    <s v="Deccan Chargers"/>
    <s v="Chennai Super Kings"/>
    <x v="1"/>
    <s v="Chennai Super Kings"/>
    <s v="runs"/>
    <n v="19"/>
    <s v="N"/>
    <s v="Normal Match"/>
    <x v="2"/>
    <s v="RB Tiffin"/>
    <x v="3"/>
    <x v="0"/>
    <x v="1"/>
    <x v="1"/>
  </r>
  <r>
    <x v="211"/>
    <s v="Mumbai"/>
    <x v="3"/>
    <d v="2011-05-02T00:00:00"/>
    <s v="KA Pollard"/>
    <s v="Wankhede Stadium"/>
    <s v="Mumbai Indians"/>
    <s v="Punjab Kings"/>
    <s v="Punjab Kings"/>
    <x v="0"/>
    <s v="Mumbai Indians"/>
    <s v="runs"/>
    <n v="23"/>
    <s v="N"/>
    <s v="Normal Match"/>
    <x v="12"/>
    <s v="PR Reiffel"/>
    <x v="3"/>
    <x v="0"/>
    <x v="0"/>
    <x v="0"/>
  </r>
  <r>
    <x v="212"/>
    <s v="Delhi"/>
    <x v="3"/>
    <d v="2011-05-02T00:00:00"/>
    <s v="P Parameswaran"/>
    <s v="Feroz Shah Kotla"/>
    <s v="Delhi Capitals"/>
    <s v="Kochi Tuskers Kerala"/>
    <s v="Kochi Tuskers Kerala"/>
    <x v="0"/>
    <s v="Kochi Tuskers Kerala"/>
    <s v="wickets"/>
    <n v="7"/>
    <s v="N"/>
    <s v="Normal Match"/>
    <x v="0"/>
    <s v="SL Shastri"/>
    <x v="3"/>
    <x v="1"/>
    <x v="1"/>
    <x v="1"/>
  </r>
  <r>
    <x v="213"/>
    <s v="Hyderabad"/>
    <x v="3"/>
    <d v="2011-05-03T00:00:00"/>
    <s v="YK Pathan"/>
    <s v="Rajiv Gandhi International Stadium, Uppal"/>
    <s v="Deccan Chargers"/>
    <s v="Kolkata Knight Riders"/>
    <s v="Deccan Chargers"/>
    <x v="0"/>
    <s v="Kolkata Knight Riders"/>
    <s v="runs"/>
    <n v="20"/>
    <s v="N"/>
    <s v="Normal Match"/>
    <x v="13"/>
    <s v="RJ Tucker"/>
    <x v="3"/>
    <x v="0"/>
    <x v="0"/>
    <x v="0"/>
  </r>
  <r>
    <x v="214"/>
    <s v="Chennai"/>
    <x v="3"/>
    <d v="2011-05-04T00:00:00"/>
    <s v="MEK Hussey"/>
    <s v="MA Chidambaram Stadium, Chepauk"/>
    <s v="Chennai Super Kings"/>
    <s v="Rajasthan Royals"/>
    <s v="Rajasthan Royals"/>
    <x v="1"/>
    <s v="Chennai Super Kings"/>
    <s v="wickets"/>
    <n v="8"/>
    <s v="N"/>
    <s v="Normal Match"/>
    <x v="15"/>
    <s v="RB Tiffin"/>
    <x v="3"/>
    <x v="1"/>
    <x v="0"/>
    <x v="0"/>
  </r>
  <r>
    <x v="215"/>
    <s v="Mumbai"/>
    <x v="3"/>
    <d v="2011-05-04T00:00:00"/>
    <s v="R Sharma"/>
    <s v="Dr DY Patil Sports Academy"/>
    <s v="Pune Warriors"/>
    <s v="Mumbai Indians"/>
    <s v="Pune Warriors"/>
    <x v="0"/>
    <s v="Mumbai Indians"/>
    <s v="runs"/>
    <n v="21"/>
    <s v="N"/>
    <s v="Normal Match"/>
    <x v="12"/>
    <s v="SJA Taufel"/>
    <x v="3"/>
    <x v="0"/>
    <x v="0"/>
    <x v="0"/>
  </r>
  <r>
    <x v="216"/>
    <s v="Kochi"/>
    <x v="3"/>
    <d v="2011-05-05T00:00:00"/>
    <s v="BJ Hodge"/>
    <s v="Nehru Stadium"/>
    <s v="Kochi Tuskers Kerala"/>
    <s v="Kolkata Knight Riders"/>
    <s v="Kolkata Knight Riders"/>
    <x v="0"/>
    <s v="Kochi Tuskers Kerala"/>
    <s v="runs"/>
    <n v="17"/>
    <s v="N"/>
    <s v="Normal Match"/>
    <x v="19"/>
    <s v="RJ Tucker"/>
    <x v="3"/>
    <x v="0"/>
    <x v="0"/>
    <x v="0"/>
  </r>
  <r>
    <x v="217"/>
    <s v="Hyderabad"/>
    <x v="3"/>
    <d v="2011-05-05T00:00:00"/>
    <s v="V Sehwag"/>
    <s v="Rajiv Gandhi International Stadium, Uppal"/>
    <s v="Deccan Chargers"/>
    <s v="Delhi Capitals"/>
    <s v="Delhi Capitals"/>
    <x v="0"/>
    <s v="Delhi Capitals"/>
    <s v="wickets"/>
    <n v="4"/>
    <s v="N"/>
    <s v="Normal Match"/>
    <x v="0"/>
    <s v="AM Saheba"/>
    <x v="3"/>
    <x v="1"/>
    <x v="1"/>
    <x v="1"/>
  </r>
  <r>
    <x v="218"/>
    <s v="Bangalore"/>
    <x v="3"/>
    <d v="2011-05-06T00:00:00"/>
    <s v="CH Gayle"/>
    <s v="M. Chinnaswamy Stadium"/>
    <s v="Royal Challengers Bangalore"/>
    <s v="Punjab Kings"/>
    <s v="Punjab Kings"/>
    <x v="0"/>
    <s v="Royal Challengers Bangalore"/>
    <s v="runs"/>
    <n v="85"/>
    <s v="N"/>
    <s v="Normal Match"/>
    <x v="2"/>
    <s v="RB Tiffin"/>
    <x v="3"/>
    <x v="0"/>
    <x v="0"/>
    <x v="0"/>
  </r>
  <r>
    <x v="219"/>
    <s v="Kolkata"/>
    <x v="3"/>
    <d v="2011-05-07T00:00:00"/>
    <s v="Iqbal Abdulla"/>
    <s v="Eden Gardens"/>
    <s v="Kolkata Knight Riders"/>
    <s v="Chennai Super Kings"/>
    <s v="Chennai Super Kings"/>
    <x v="1"/>
    <s v="Kolkata Knight Riders"/>
    <s v="runs"/>
    <n v="10"/>
    <s v="N"/>
    <s v="D/L"/>
    <x v="0"/>
    <s v="PR Reiffel"/>
    <x v="3"/>
    <x v="0"/>
    <x v="0"/>
    <x v="0"/>
  </r>
  <r>
    <x v="220"/>
    <s v="Mumbai"/>
    <x v="3"/>
    <d v="2011-05-07T00:00:00"/>
    <s v="AT Rayudu"/>
    <s v="Wankhede Stadium"/>
    <s v="Mumbai Indians"/>
    <s v="Delhi Capitals"/>
    <s v="Delhi Capitals"/>
    <x v="0"/>
    <s v="Mumbai Indians"/>
    <s v="runs"/>
    <n v="32"/>
    <s v="N"/>
    <s v="Normal Match"/>
    <x v="16"/>
    <s v="SJA Taufel"/>
    <x v="3"/>
    <x v="0"/>
    <x v="0"/>
    <x v="0"/>
  </r>
  <r>
    <x v="221"/>
    <s v="Bangalore"/>
    <x v="3"/>
    <d v="2011-05-08T00:00:00"/>
    <s v="CH Gayle"/>
    <s v="M. Chinnaswamy Stadium"/>
    <s v="Royal Challengers Bangalore"/>
    <s v="Kochi Tuskers Kerala"/>
    <s v="Kochi Tuskers Kerala"/>
    <x v="1"/>
    <s v="Royal Challengers Bangalore"/>
    <s v="wickets"/>
    <n v="9"/>
    <s v="N"/>
    <s v="Normal Match"/>
    <x v="2"/>
    <s v="SS Hazare"/>
    <x v="3"/>
    <x v="1"/>
    <x v="0"/>
    <x v="0"/>
  </r>
  <r>
    <x v="222"/>
    <s v="Chandigarh"/>
    <x v="3"/>
    <d v="2011-05-08T00:00:00"/>
    <s v="R Sharma"/>
    <s v="Punjab Cricket Association Stadium, Mohali"/>
    <s v="Punjab Kings"/>
    <s v="Pune Warriors"/>
    <s v="Punjab Kings"/>
    <x v="1"/>
    <s v="Pune Warriors"/>
    <s v="wickets"/>
    <n v="5"/>
    <s v="N"/>
    <s v="Normal Match"/>
    <x v="18"/>
    <s v="RJ Tucker"/>
    <x v="3"/>
    <x v="1"/>
    <x v="0"/>
    <x v="0"/>
  </r>
  <r>
    <x v="223"/>
    <s v="Jaipur"/>
    <x v="3"/>
    <d v="2011-05-09T00:00:00"/>
    <s v="M Vijay"/>
    <s v="Sawai Mansingh Stadium"/>
    <s v="Rajasthan Royals"/>
    <s v="Chennai Super Kings"/>
    <s v="Rajasthan Royals"/>
    <x v="0"/>
    <s v="Chennai Super Kings"/>
    <s v="runs"/>
    <n v="63"/>
    <s v="N"/>
    <s v="Normal Match"/>
    <x v="16"/>
    <s v="SJA Taufel"/>
    <x v="3"/>
    <x v="0"/>
    <x v="0"/>
    <x v="0"/>
  </r>
  <r>
    <x v="224"/>
    <s v="Hyderabad"/>
    <x v="3"/>
    <d v="2011-05-10T00:00:00"/>
    <s v="MR Marsh"/>
    <s v="Rajiv Gandhi International Stadium, Uppal"/>
    <s v="Deccan Chargers"/>
    <s v="Pune Warriors"/>
    <s v="Deccan Chargers"/>
    <x v="1"/>
    <s v="Pune Warriors"/>
    <s v="wickets"/>
    <n v="6"/>
    <s v="N"/>
    <s v="Normal Match"/>
    <x v="0"/>
    <s v="AM Saheba"/>
    <x v="3"/>
    <x v="1"/>
    <x v="0"/>
    <x v="0"/>
  </r>
  <r>
    <x v="225"/>
    <s v="Chandigarh"/>
    <x v="3"/>
    <d v="2011-05-10T00:00:00"/>
    <s v="BA Bhatt"/>
    <s v="Punjab Cricket Association Stadium, Mohali"/>
    <s v="Punjab Kings"/>
    <s v="Mumbai Indians"/>
    <s v="Mumbai Indians"/>
    <x v="0"/>
    <s v="Punjab Kings"/>
    <s v="runs"/>
    <n v="76"/>
    <s v="N"/>
    <s v="Normal Match"/>
    <x v="18"/>
    <s v="RJ Tucker"/>
    <x v="3"/>
    <x v="0"/>
    <x v="0"/>
    <x v="0"/>
  </r>
  <r>
    <x v="226"/>
    <s v="Jaipur"/>
    <x v="3"/>
    <d v="2011-05-11T00:00:00"/>
    <s v="S Aravind"/>
    <s v="Sawai Mansingh Stadium"/>
    <s v="Rajasthan Royals"/>
    <s v="Royal Challengers Bangalore"/>
    <s v="Royal Challengers Bangalore"/>
    <x v="0"/>
    <s v="Royal Challengers Bangalore"/>
    <s v="wickets"/>
    <n v="9"/>
    <s v="N"/>
    <s v="Normal Match"/>
    <x v="12"/>
    <s v="K Hariharan"/>
    <x v="3"/>
    <x v="1"/>
    <x v="1"/>
    <x v="1"/>
  </r>
  <r>
    <x v="227"/>
    <s v="Chennai"/>
    <x v="3"/>
    <d v="2011-05-12T00:00:00"/>
    <s v="MS Dhoni"/>
    <s v="MA Chidambaram Stadium, Chepauk"/>
    <s v="Chennai Super Kings"/>
    <s v="Delhi Capitals"/>
    <s v="Chennai Super Kings"/>
    <x v="1"/>
    <s v="Chennai Super Kings"/>
    <s v="runs"/>
    <n v="18"/>
    <s v="N"/>
    <s v="Normal Match"/>
    <x v="22"/>
    <s v="SL Shastri"/>
    <x v="3"/>
    <x v="0"/>
    <x v="1"/>
    <x v="1"/>
  </r>
  <r>
    <x v="228"/>
    <s v="Indore"/>
    <x v="3"/>
    <d v="2011-05-13T00:00:00"/>
    <s v="KD Karthik"/>
    <s v="Holkar Cricket Stadium"/>
    <s v="Kochi Tuskers Kerala"/>
    <s v="Punjab Kings"/>
    <s v="Punjab Kings"/>
    <x v="0"/>
    <s v="Punjab Kings"/>
    <s v="wickets"/>
    <n v="6"/>
    <s v="N"/>
    <s v="Normal Match"/>
    <x v="13"/>
    <s v="RJ Tucker"/>
    <x v="3"/>
    <x v="1"/>
    <x v="1"/>
    <x v="1"/>
  </r>
  <r>
    <x v="229"/>
    <s v="Bangalore"/>
    <x v="3"/>
    <d v="2011-05-14T00:00:00"/>
    <s v="CH Gayle"/>
    <s v="M. Chinnaswamy Stadium"/>
    <s v="Royal Challengers Bangalore"/>
    <s v="Kolkata Knight Riders"/>
    <s v="Royal Challengers Bangalore"/>
    <x v="0"/>
    <s v="Royal Challengers Bangalore"/>
    <s v="wickets"/>
    <n v="4"/>
    <s v="N"/>
    <s v="D/L"/>
    <x v="7"/>
    <s v="RB Tiffin"/>
    <x v="3"/>
    <x v="1"/>
    <x v="1"/>
    <x v="1"/>
  </r>
  <r>
    <x v="230"/>
    <s v="Mumbai"/>
    <x v="3"/>
    <d v="2011-05-14T00:00:00"/>
    <s v="A Mishra"/>
    <s v="Wankhede Stadium"/>
    <s v="Mumbai Indians"/>
    <s v="Deccan Chargers"/>
    <s v="Deccan Chargers"/>
    <x v="1"/>
    <s v="Deccan Chargers"/>
    <s v="runs"/>
    <n v="10"/>
    <s v="N"/>
    <s v="Normal Match"/>
    <x v="19"/>
    <s v="SK Tarapore"/>
    <x v="3"/>
    <x v="0"/>
    <x v="1"/>
    <x v="1"/>
  </r>
  <r>
    <x v="231"/>
    <s v="Dharamsala"/>
    <x v="3"/>
    <d v="2011-05-15T00:00:00"/>
    <s v="PP Chawla"/>
    <s v="Himachal Pradesh Cricket Association Stadium"/>
    <s v="Punjab Kings"/>
    <s v="Delhi Capitals"/>
    <s v="Delhi Capitals"/>
    <x v="0"/>
    <s v="Punjab Kings"/>
    <s v="runs"/>
    <n v="29"/>
    <s v="N"/>
    <s v="Normal Match"/>
    <x v="0"/>
    <s v="SL Shastri"/>
    <x v="3"/>
    <x v="0"/>
    <x v="0"/>
    <x v="0"/>
  </r>
  <r>
    <x v="232"/>
    <s v="Indore"/>
    <x v="3"/>
    <d v="2011-05-15T00:00:00"/>
    <s v="BJ Hodge"/>
    <s v="Holkar Cricket Stadium"/>
    <s v="Kochi Tuskers Kerala"/>
    <s v="Rajasthan Royals"/>
    <s v="Kochi Tuskers Kerala"/>
    <x v="0"/>
    <s v="Kochi Tuskers Kerala"/>
    <s v="wickets"/>
    <n v="8"/>
    <s v="N"/>
    <s v="Normal Match"/>
    <x v="23"/>
    <s v="RJ Tucker"/>
    <x v="3"/>
    <x v="1"/>
    <x v="1"/>
    <x v="1"/>
  </r>
  <r>
    <x v="233"/>
    <s v="Mumbai"/>
    <x v="3"/>
    <d v="2011-05-16T00:00:00"/>
    <s v="A Mishra"/>
    <s v="Dr DY Patil Sports Academy"/>
    <s v="Pune Warriors"/>
    <s v="Deccan Chargers"/>
    <s v="Deccan Chargers"/>
    <x v="0"/>
    <s v="Deccan Chargers"/>
    <s v="wickets"/>
    <n v="6"/>
    <s v="N"/>
    <s v="Normal Match"/>
    <x v="19"/>
    <s v="SK Tarapore"/>
    <x v="3"/>
    <x v="1"/>
    <x v="1"/>
    <x v="1"/>
  </r>
  <r>
    <x v="234"/>
    <s v="Dharamsala"/>
    <x v="3"/>
    <d v="2011-05-17T00:00:00"/>
    <s v="AC Gilchrist"/>
    <s v="Himachal Pradesh Cricket Association Stadium"/>
    <s v="Punjab Kings"/>
    <s v="Royal Challengers Bangalore"/>
    <s v="Punjab Kings"/>
    <x v="1"/>
    <s v="Punjab Kings"/>
    <s v="runs"/>
    <n v="111"/>
    <s v="N"/>
    <s v="Normal Match"/>
    <x v="0"/>
    <s v="AM Saheba"/>
    <x v="3"/>
    <x v="0"/>
    <x v="1"/>
    <x v="1"/>
  </r>
  <r>
    <x v="235"/>
    <s v="Chennai"/>
    <x v="3"/>
    <d v="2011-05-18T00:00:00"/>
    <s v="WP Saha"/>
    <s v="MA Chidambaram Stadium, Chepauk"/>
    <s v="Chennai Super Kings"/>
    <s v="Kochi Tuskers Kerala"/>
    <s v="Chennai Super Kings"/>
    <x v="1"/>
    <s v="Chennai Super Kings"/>
    <s v="runs"/>
    <n v="11"/>
    <s v="N"/>
    <s v="Normal Match"/>
    <x v="12"/>
    <s v="RE Koertzen"/>
    <x v="3"/>
    <x v="0"/>
    <x v="1"/>
    <x v="1"/>
  </r>
  <r>
    <x v="236"/>
    <s v="Mumbai"/>
    <x v="3"/>
    <d v="2011-05-19T00:00:00"/>
    <s v="YK Pathan"/>
    <s v="Dr DY Patil Sports Academy"/>
    <s v="Pune Warriors"/>
    <s v="Kolkata Knight Riders"/>
    <s v="Kolkata Knight Riders"/>
    <x v="0"/>
    <s v="Kolkata Knight Riders"/>
    <s v="wickets"/>
    <n v="7"/>
    <s v="N"/>
    <s v="Normal Match"/>
    <x v="19"/>
    <s v="SJA Taufel"/>
    <x v="3"/>
    <x v="1"/>
    <x v="1"/>
    <x v="1"/>
  </r>
  <r>
    <x v="237"/>
    <s v="Mumbai"/>
    <x v="3"/>
    <d v="2011-05-20T00:00:00"/>
    <s v="SR Watson"/>
    <s v="Wankhede Stadium"/>
    <s v="Mumbai Indians"/>
    <s v="Rajasthan Royals"/>
    <s v="Mumbai Indians"/>
    <x v="1"/>
    <s v="Rajasthan Royals"/>
    <s v="wickets"/>
    <n v="10"/>
    <s v="N"/>
    <s v="Normal Match"/>
    <x v="7"/>
    <s v="PR Reiffel"/>
    <x v="3"/>
    <x v="1"/>
    <x v="0"/>
    <x v="0"/>
  </r>
  <r>
    <x v="238"/>
    <s v="Dharamsala"/>
    <x v="3"/>
    <d v="2011-05-21T00:00:00"/>
    <s v="S Dhawan"/>
    <s v="Himachal Pradesh Cricket Association Stadium"/>
    <s v="Punjab Kings"/>
    <s v="Deccan Chargers"/>
    <s v="Punjab Kings"/>
    <x v="0"/>
    <s v="Deccan Chargers"/>
    <s v="runs"/>
    <n v="82"/>
    <s v="N"/>
    <s v="Normal Match"/>
    <x v="0"/>
    <s v="AM Saheba"/>
    <x v="3"/>
    <x v="0"/>
    <x v="0"/>
    <x v="0"/>
  </r>
  <r>
    <x v="239"/>
    <s v="Bangalore"/>
    <x v="3"/>
    <d v="2011-05-22T00:00:00"/>
    <s v="CH Gayle"/>
    <s v="M. Chinnaswamy Stadium"/>
    <s v="Royal Challengers Bangalore"/>
    <s v="Chennai Super Kings"/>
    <s v="Royal Challengers Bangalore"/>
    <x v="0"/>
    <s v="Royal Challengers Bangalore"/>
    <s v="wickets"/>
    <n v="8"/>
    <s v="N"/>
    <s v="Normal Match"/>
    <x v="16"/>
    <s v="RE Koertzen"/>
    <x v="3"/>
    <x v="1"/>
    <x v="1"/>
    <x v="1"/>
  </r>
  <r>
    <x v="240"/>
    <s v="Kolkata"/>
    <x v="3"/>
    <d v="2011-05-22T00:00:00"/>
    <s v="JEC Franklin"/>
    <s v="Eden Gardens"/>
    <s v="Kolkata Knight Riders"/>
    <s v="Mumbai Indians"/>
    <s v="Mumbai Indians"/>
    <x v="0"/>
    <s v="Mumbai Indians"/>
    <s v="wickets"/>
    <n v="5"/>
    <s v="N"/>
    <s v="Normal Match"/>
    <x v="18"/>
    <s v="SJA Taufel"/>
    <x v="3"/>
    <x v="1"/>
    <x v="1"/>
    <x v="1"/>
  </r>
  <r>
    <x v="241"/>
    <s v="Mumbai"/>
    <x v="3"/>
    <d v="2011-05-24T00:00:00"/>
    <s v="SK Raina"/>
    <s v="Wankhede Stadium"/>
    <s v="Royal Challengers Bangalore"/>
    <s v="Chennai Super Kings"/>
    <s v="Chennai Super Kings"/>
    <x v="0"/>
    <s v="Chennai Super Kings"/>
    <s v="wickets"/>
    <n v="6"/>
    <s v="N"/>
    <s v="Normal Match"/>
    <x v="0"/>
    <s v="SJA Taufel"/>
    <x v="3"/>
    <x v="1"/>
    <x v="1"/>
    <x v="1"/>
  </r>
  <r>
    <x v="242"/>
    <s v="Mumbai"/>
    <x v="3"/>
    <d v="2011-05-25T00:00:00"/>
    <s v="MM Patel"/>
    <s v="Wankhede Stadium"/>
    <s v="Mumbai Indians"/>
    <s v="Kolkata Knight Riders"/>
    <s v="Mumbai Indians"/>
    <x v="0"/>
    <s v="Mumbai Indians"/>
    <s v="wickets"/>
    <n v="4"/>
    <s v="N"/>
    <s v="Normal Match"/>
    <x v="0"/>
    <s v="SJA Taufel"/>
    <x v="3"/>
    <x v="1"/>
    <x v="1"/>
    <x v="1"/>
  </r>
  <r>
    <x v="243"/>
    <s v="Chennai"/>
    <x v="3"/>
    <d v="2011-05-27T00:00:00"/>
    <s v="CH Gayle"/>
    <s v="MA Chidambaram Stadium, Chepauk"/>
    <s v="Royal Challengers Bangalore"/>
    <s v="Mumbai Indians"/>
    <s v="Mumbai Indians"/>
    <x v="0"/>
    <s v="Royal Challengers Bangalore"/>
    <s v="runs"/>
    <n v="43"/>
    <s v="N"/>
    <s v="Normal Match"/>
    <x v="0"/>
    <s v="SJA Taufel"/>
    <x v="3"/>
    <x v="0"/>
    <x v="0"/>
    <x v="0"/>
  </r>
  <r>
    <x v="244"/>
    <s v="Chennai"/>
    <x v="3"/>
    <d v="2011-05-28T00:00:00"/>
    <s v="M Vijay"/>
    <s v="MA Chidambaram Stadium, Chepauk"/>
    <s v="Chennai Super Kings"/>
    <s v="Royal Challengers Bangalore"/>
    <s v="Chennai Super Kings"/>
    <x v="1"/>
    <s v="Chennai Super Kings"/>
    <s v="runs"/>
    <n v="58"/>
    <s v="N"/>
    <s v="Normal Match"/>
    <x v="0"/>
    <s v="SJA Taufel"/>
    <x v="3"/>
    <x v="0"/>
    <x v="1"/>
    <x v="1"/>
  </r>
  <r>
    <x v="245"/>
    <s v="Chennai"/>
    <x v="4"/>
    <d v="2012-04-04T00:00:00"/>
    <s v="RE Levi"/>
    <s v="MA Chidambaram Stadium, Chepauk"/>
    <s v="Chennai Super Kings"/>
    <s v="Mumbai Indians"/>
    <s v="Mumbai Indians"/>
    <x v="0"/>
    <s v="Mumbai Indians"/>
    <s v="wickets"/>
    <n v="8"/>
    <s v="N"/>
    <s v="Normal Match"/>
    <x v="24"/>
    <s v="SJA Taufel"/>
    <x v="4"/>
    <x v="1"/>
    <x v="1"/>
    <x v="1"/>
  </r>
  <r>
    <x v="246"/>
    <s v="Kolkata"/>
    <x v="4"/>
    <d v="2012-04-05T00:00:00"/>
    <s v="IK Pathan"/>
    <s v="Eden Gardens"/>
    <s v="Kolkata Knight Riders"/>
    <s v="Delhi Capitals"/>
    <s v="Delhi Capitals"/>
    <x v="0"/>
    <s v="Delhi Capitals"/>
    <s v="wickets"/>
    <n v="8"/>
    <s v="N"/>
    <s v="Normal Match"/>
    <x v="13"/>
    <s v="HDPK Dharmasena"/>
    <x v="4"/>
    <x v="1"/>
    <x v="1"/>
    <x v="1"/>
  </r>
  <r>
    <x v="247"/>
    <s v="Mumbai"/>
    <x v="4"/>
    <d v="2012-04-06T00:00:00"/>
    <s v="SPD Smith"/>
    <s v="Wankhede Stadium"/>
    <s v="Mumbai Indians"/>
    <s v="Pune Warriors"/>
    <s v="Mumbai Indians"/>
    <x v="0"/>
    <s v="Pune Warriors"/>
    <s v="runs"/>
    <n v="28"/>
    <s v="N"/>
    <s v="Normal Match"/>
    <x v="25"/>
    <s v="SJA Taufel"/>
    <x v="4"/>
    <x v="0"/>
    <x v="0"/>
    <x v="0"/>
  </r>
  <r>
    <x v="248"/>
    <s v="Jaipur"/>
    <x v="4"/>
    <d v="2012-04-06T00:00:00"/>
    <s v="AM Rahane"/>
    <s v="Sawai Mansingh Stadium"/>
    <s v="Rajasthan Royals"/>
    <s v="Punjab Kings"/>
    <s v="Punjab Kings"/>
    <x v="0"/>
    <s v="Rajasthan Royals"/>
    <s v="runs"/>
    <n v="31"/>
    <s v="N"/>
    <s v="Normal Match"/>
    <x v="4"/>
    <s v="SK Tarapore"/>
    <x v="4"/>
    <x v="0"/>
    <x v="0"/>
    <x v="0"/>
  </r>
  <r>
    <x v="249"/>
    <s v="Bangalore"/>
    <x v="4"/>
    <d v="2012-04-07T00:00:00"/>
    <s v="AB de Villiers"/>
    <s v="M. Chinnaswamy Stadium"/>
    <s v="Royal Challengers Bangalore"/>
    <s v="Delhi Capitals"/>
    <s v="Delhi Capitals"/>
    <x v="0"/>
    <s v="Royal Challengers Bangalore"/>
    <s v="runs"/>
    <n v="20"/>
    <s v="N"/>
    <s v="Normal Match"/>
    <x v="13"/>
    <s v="S Ravi"/>
    <x v="4"/>
    <x v="0"/>
    <x v="0"/>
    <x v="0"/>
  </r>
  <r>
    <x v="250"/>
    <s v="Visakhapatnam"/>
    <x v="4"/>
    <d v="2012-04-07T00:00:00"/>
    <s v="RA Jadeja"/>
    <s v="Dr. Y.S. Rajasekhara Reddy ACA-VDCA Cricket Stadium"/>
    <s v="Deccan Chargers"/>
    <s v="Chennai Super Kings"/>
    <s v="Deccan Chargers"/>
    <x v="0"/>
    <s v="Chennai Super Kings"/>
    <s v="runs"/>
    <n v="74"/>
    <s v="N"/>
    <s v="Normal Match"/>
    <x v="24"/>
    <s v="HDPK Dharmasena"/>
    <x v="4"/>
    <x v="0"/>
    <x v="0"/>
    <x v="0"/>
  </r>
  <r>
    <x v="251"/>
    <s v="Jaipur"/>
    <x v="4"/>
    <d v="2012-04-08T00:00:00"/>
    <s v="BJ Hodge"/>
    <s v="Sawai Mansingh Stadium"/>
    <s v="Rajasthan Royals"/>
    <s v="Kolkata Knight Riders"/>
    <s v="Kolkata Knight Riders"/>
    <x v="0"/>
    <s v="Rajasthan Royals"/>
    <s v="runs"/>
    <n v="22"/>
    <s v="N"/>
    <s v="Normal Match"/>
    <x v="4"/>
    <s v="VA Kulkarni"/>
    <x v="4"/>
    <x v="0"/>
    <x v="0"/>
    <x v="0"/>
  </r>
  <r>
    <x v="252"/>
    <s v="Pune"/>
    <x v="4"/>
    <d v="2012-04-08T00:00:00"/>
    <s v="MN Samuels"/>
    <s v="Subrata Roy Sahara Stadium"/>
    <s v="Pune Warriors"/>
    <s v="Punjab Kings"/>
    <s v="Pune Warriors"/>
    <x v="1"/>
    <s v="Pune Warriors"/>
    <s v="runs"/>
    <n v="22"/>
    <s v="N"/>
    <s v="Normal Match"/>
    <x v="21"/>
    <s v="SJA Taufel"/>
    <x v="4"/>
    <x v="0"/>
    <x v="1"/>
    <x v="1"/>
  </r>
  <r>
    <x v="253"/>
    <s v="Visakhapatnam"/>
    <x v="4"/>
    <d v="2012-04-09T00:00:00"/>
    <s v="RG Sharma"/>
    <s v="Dr. Y.S. Rajasekhara Reddy ACA-VDCA Cricket Stadium"/>
    <s v="Deccan Chargers"/>
    <s v="Mumbai Indians"/>
    <s v="Deccan Chargers"/>
    <x v="1"/>
    <s v="Mumbai Indians"/>
    <s v="wickets"/>
    <n v="5"/>
    <s v="N"/>
    <s v="Normal Match"/>
    <x v="25"/>
    <s v="JD Cloete"/>
    <x v="4"/>
    <x v="1"/>
    <x v="0"/>
    <x v="0"/>
  </r>
  <r>
    <x v="254"/>
    <s v="Bangalore"/>
    <x v="4"/>
    <d v="2012-04-10T00:00:00"/>
    <s v="L Balaji"/>
    <s v="M. Chinnaswamy Stadium"/>
    <s v="Royal Challengers Bangalore"/>
    <s v="Kolkata Knight Riders"/>
    <s v="Royal Challengers Bangalore"/>
    <x v="0"/>
    <s v="Kolkata Knight Riders"/>
    <s v="runs"/>
    <n v="42"/>
    <s v="N"/>
    <s v="Normal Match"/>
    <x v="19"/>
    <s v="RJ Tucker"/>
    <x v="4"/>
    <x v="0"/>
    <x v="0"/>
    <x v="0"/>
  </r>
  <r>
    <x v="255"/>
    <s v="Delhi"/>
    <x v="4"/>
    <d v="2012-04-10T00:00:00"/>
    <s v="M Morkel"/>
    <s v="Feroz Shah Kotla"/>
    <s v="Delhi Capitals"/>
    <s v="Chennai Super Kings"/>
    <s v="Delhi Capitals"/>
    <x v="0"/>
    <s v="Delhi Capitals"/>
    <s v="wickets"/>
    <n v="8"/>
    <s v="N"/>
    <s v="Normal Match"/>
    <x v="0"/>
    <s v="SK Tarapore"/>
    <x v="4"/>
    <x v="1"/>
    <x v="1"/>
    <x v="1"/>
  </r>
  <r>
    <x v="256"/>
    <s v="Mumbai"/>
    <x v="4"/>
    <d v="2012-04-11T00:00:00"/>
    <s v="KA Pollard"/>
    <s v="Wankhede Stadium"/>
    <s v="Mumbai Indians"/>
    <s v="Rajasthan Royals"/>
    <s v="Rajasthan Royals"/>
    <x v="0"/>
    <s v="Mumbai Indians"/>
    <s v="runs"/>
    <n v="27"/>
    <s v="N"/>
    <s v="Normal Match"/>
    <x v="2"/>
    <s v="BNJ Oxenford"/>
    <x v="4"/>
    <x v="0"/>
    <x v="0"/>
    <x v="0"/>
  </r>
  <r>
    <x v="257"/>
    <s v="Chennai"/>
    <x v="4"/>
    <d v="2012-04-12T00:00:00"/>
    <s v="F du Plessis"/>
    <s v="MA Chidambaram Stadium, Chepauk"/>
    <s v="Chennai Super Kings"/>
    <s v="Royal Challengers Bangalore"/>
    <s v="Royal Challengers Bangalore"/>
    <x v="1"/>
    <s v="Chennai Super Kings"/>
    <s v="wickets"/>
    <n v="5"/>
    <s v="N"/>
    <s v="Normal Match"/>
    <x v="12"/>
    <s v="RJ Tucker"/>
    <x v="4"/>
    <x v="1"/>
    <x v="0"/>
    <x v="0"/>
  </r>
  <r>
    <x v="258"/>
    <s v="Chandigarh"/>
    <x v="4"/>
    <d v="2012-04-12T00:00:00"/>
    <s v="AD Mascarenhas"/>
    <s v="Punjab Cricket Association Stadium, Mohali"/>
    <s v="Punjab Kings"/>
    <s v="Pune Warriors"/>
    <s v="Punjab Kings"/>
    <x v="0"/>
    <s v="Punjab Kings"/>
    <s v="wickets"/>
    <n v="7"/>
    <s v="N"/>
    <s v="Normal Match"/>
    <x v="26"/>
    <s v="SK Tarapore"/>
    <x v="4"/>
    <x v="1"/>
    <x v="1"/>
    <x v="1"/>
  </r>
  <r>
    <x v="259"/>
    <s v="Kolkata"/>
    <x v="4"/>
    <d v="2012-04-13T00:00:00"/>
    <s v="Shakib Al Hasan"/>
    <s v="Eden Gardens"/>
    <s v="Kolkata Knight Riders"/>
    <s v="Rajasthan Royals"/>
    <s v="Rajasthan Royals"/>
    <x v="1"/>
    <s v="Kolkata Knight Riders"/>
    <s v="wickets"/>
    <n v="5"/>
    <s v="N"/>
    <s v="Normal Match"/>
    <x v="0"/>
    <s v="S Asnani"/>
    <x v="4"/>
    <x v="1"/>
    <x v="0"/>
    <x v="0"/>
  </r>
  <r>
    <x v="260"/>
    <s v="Delhi"/>
    <x v="4"/>
    <d v="2012-04-19T00:00:00"/>
    <s v="KP Pietersen"/>
    <s v="Feroz Shah Kotla"/>
    <s v="Delhi Capitals"/>
    <s v="Deccan Chargers"/>
    <s v="Deccan Chargers"/>
    <x v="1"/>
    <s v="Delhi Capitals"/>
    <s v="wickets"/>
    <n v="5"/>
    <s v="N"/>
    <s v="Normal Match"/>
    <x v="4"/>
    <s v="SK Tarapore"/>
    <x v="4"/>
    <x v="1"/>
    <x v="0"/>
    <x v="0"/>
  </r>
  <r>
    <x v="261"/>
    <s v="Pune"/>
    <x v="4"/>
    <d v="2012-04-14T00:00:00"/>
    <s v="JD Ryder"/>
    <s v="Subrata Roy Sahara Stadium"/>
    <s v="Pune Warriors"/>
    <s v="Chennai Super Kings"/>
    <s v="Chennai Super Kings"/>
    <x v="1"/>
    <s v="Pune Warriors"/>
    <s v="wickets"/>
    <n v="7"/>
    <s v="N"/>
    <s v="Normal Match"/>
    <x v="2"/>
    <s v="BNJ Oxenford"/>
    <x v="4"/>
    <x v="1"/>
    <x v="0"/>
    <x v="0"/>
  </r>
  <r>
    <x v="262"/>
    <s v="Kolkata"/>
    <x v="4"/>
    <d v="2012-04-15T00:00:00"/>
    <s v="SP Narine"/>
    <s v="Eden Gardens"/>
    <s v="Kolkata Knight Riders"/>
    <s v="Punjab Kings"/>
    <s v="Kolkata Knight Riders"/>
    <x v="0"/>
    <s v="Punjab Kings"/>
    <s v="runs"/>
    <n v="2"/>
    <s v="N"/>
    <s v="Normal Match"/>
    <x v="0"/>
    <s v="S Asnani"/>
    <x v="4"/>
    <x v="0"/>
    <x v="0"/>
    <x v="0"/>
  </r>
  <r>
    <x v="263"/>
    <s v="Bangalore"/>
    <x v="4"/>
    <d v="2012-04-15T00:00:00"/>
    <s v="AM Rahane"/>
    <s v="M. Chinnaswamy Stadium"/>
    <s v="Royal Challengers Bangalore"/>
    <s v="Rajasthan Royals"/>
    <s v="Rajasthan Royals"/>
    <x v="1"/>
    <s v="Rajasthan Royals"/>
    <s v="runs"/>
    <n v="59"/>
    <s v="N"/>
    <s v="Normal Match"/>
    <x v="24"/>
    <s v="RJ Tucker"/>
    <x v="4"/>
    <x v="0"/>
    <x v="1"/>
    <x v="1"/>
  </r>
  <r>
    <x v="264"/>
    <s v="Mumbai"/>
    <x v="4"/>
    <d v="2012-04-16T00:00:00"/>
    <s v="S Nadeem"/>
    <s v="Wankhede Stadium"/>
    <s v="Mumbai Indians"/>
    <s v="Delhi Capitals"/>
    <s v="Delhi Capitals"/>
    <x v="0"/>
    <s v="Delhi Capitals"/>
    <s v="wickets"/>
    <n v="7"/>
    <s v="N"/>
    <s v="Normal Match"/>
    <x v="4"/>
    <s v="SK Tarapore"/>
    <x v="4"/>
    <x v="1"/>
    <x v="1"/>
    <x v="1"/>
  </r>
  <r>
    <x v="265"/>
    <s v="Jaipur"/>
    <x v="4"/>
    <d v="2012-04-17T00:00:00"/>
    <s v="BJ Hodge"/>
    <s v="Sawai Mansingh Stadium"/>
    <s v="Rajasthan Royals"/>
    <s v="Deccan Chargers"/>
    <s v="Deccan Chargers"/>
    <x v="1"/>
    <s v="Rajasthan Royals"/>
    <s v="wickets"/>
    <n v="5"/>
    <s v="N"/>
    <s v="Normal Match"/>
    <x v="2"/>
    <s v="BNJ Oxenford"/>
    <x v="4"/>
    <x v="1"/>
    <x v="0"/>
    <x v="0"/>
  </r>
  <r>
    <x v="266"/>
    <s v="Bangalore"/>
    <x v="4"/>
    <d v="2012-04-17T00:00:00"/>
    <s v="CH Gayle"/>
    <s v="M. Chinnaswamy Stadium"/>
    <s v="Royal Challengers Bangalore"/>
    <s v="Pune Warriors"/>
    <s v="Pune Warriors"/>
    <x v="1"/>
    <s v="Royal Challengers Bangalore"/>
    <s v="wickets"/>
    <n v="6"/>
    <s v="N"/>
    <s v="Normal Match"/>
    <x v="13"/>
    <s v="S Das"/>
    <x v="4"/>
    <x v="1"/>
    <x v="0"/>
    <x v="0"/>
  </r>
  <r>
    <x v="267"/>
    <s v="Chandigarh"/>
    <x v="4"/>
    <d v="2012-04-18T00:00:00"/>
    <s v="G Gambhir"/>
    <s v="Punjab Cricket Association Stadium, Mohali"/>
    <s v="Punjab Kings"/>
    <s v="Kolkata Knight Riders"/>
    <s v="Punjab Kings"/>
    <x v="1"/>
    <s v="Kolkata Knight Riders"/>
    <s v="wickets"/>
    <n v="8"/>
    <s v="N"/>
    <s v="Normal Match"/>
    <x v="24"/>
    <s v="RJ Tucker"/>
    <x v="4"/>
    <x v="1"/>
    <x v="0"/>
    <x v="0"/>
  </r>
  <r>
    <x v="268"/>
    <s v="Hyderabad"/>
    <x v="4"/>
    <d v="2012-05-10T00:00:00"/>
    <s v="DA Warner"/>
    <s v="Rajiv Gandhi International Stadium, Uppal"/>
    <s v="Deccan Chargers"/>
    <s v="Delhi Capitals"/>
    <s v="Deccan Chargers"/>
    <x v="1"/>
    <s v="Delhi Capitals"/>
    <s v="wickets"/>
    <n v="9"/>
    <s v="N"/>
    <s v="Normal Match"/>
    <x v="24"/>
    <s v="SJA Taufel"/>
    <x v="4"/>
    <x v="1"/>
    <x v="0"/>
    <x v="0"/>
  </r>
  <r>
    <x v="269"/>
    <s v="Chennai"/>
    <x v="4"/>
    <d v="2012-04-19T00:00:00"/>
    <s v="KMDN Kulasekara"/>
    <s v="MA Chidambaram Stadium, Chepauk"/>
    <s v="Chennai Super Kings"/>
    <s v="Pune Warriors"/>
    <s v="Pune Warriors"/>
    <x v="0"/>
    <s v="Chennai Super Kings"/>
    <s v="runs"/>
    <n v="13"/>
    <s v="N"/>
    <s v="Normal Match"/>
    <x v="0"/>
    <s v="S Das"/>
    <x v="4"/>
    <x v="0"/>
    <x v="0"/>
    <x v="0"/>
  </r>
  <r>
    <x v="270"/>
    <s v="Chandigarh"/>
    <x v="4"/>
    <d v="2012-04-20T00:00:00"/>
    <s v="CH Gayle"/>
    <s v="Punjab Cricket Association Stadium, Mohali"/>
    <s v="Punjab Kings"/>
    <s v="Royal Challengers Bangalore"/>
    <s v="Royal Challengers Bangalore"/>
    <x v="0"/>
    <s v="Royal Challengers Bangalore"/>
    <s v="wickets"/>
    <n v="5"/>
    <s v="N"/>
    <s v="Normal Match"/>
    <x v="19"/>
    <s v="RJ Tucker"/>
    <x v="4"/>
    <x v="1"/>
    <x v="1"/>
    <x v="1"/>
  </r>
  <r>
    <x v="271"/>
    <s v="Chennai"/>
    <x v="4"/>
    <d v="2012-04-21T00:00:00"/>
    <s v="F du Plessis"/>
    <s v="MA Chidambaram Stadium, Chepauk"/>
    <s v="Chennai Super Kings"/>
    <s v="Rajasthan Royals"/>
    <s v="Rajasthan Royals"/>
    <x v="1"/>
    <s v="Chennai Super Kings"/>
    <s v="wickets"/>
    <n v="7"/>
    <s v="N"/>
    <s v="Normal Match"/>
    <x v="2"/>
    <s v="BNJ Oxenford"/>
    <x v="4"/>
    <x v="1"/>
    <x v="0"/>
    <x v="0"/>
  </r>
  <r>
    <x v="272"/>
    <s v="Delhi"/>
    <x v="4"/>
    <d v="2012-04-21T00:00:00"/>
    <s v="SC Ganguly"/>
    <s v="Feroz Shah Kotla"/>
    <s v="Delhi Capitals"/>
    <s v="Pune Warriors"/>
    <s v="Delhi Capitals"/>
    <x v="0"/>
    <s v="Pune Warriors"/>
    <s v="runs"/>
    <n v="20"/>
    <s v="N"/>
    <s v="Normal Match"/>
    <x v="0"/>
    <s v="S Das"/>
    <x v="4"/>
    <x v="0"/>
    <x v="0"/>
    <x v="0"/>
  </r>
  <r>
    <x v="273"/>
    <s v="Mumbai"/>
    <x v="4"/>
    <d v="2012-04-22T00:00:00"/>
    <s v="SE Marsh"/>
    <s v="Wankhede Stadium"/>
    <s v="Mumbai Indians"/>
    <s v="Punjab Kings"/>
    <s v="Mumbai Indians"/>
    <x v="1"/>
    <s v="Punjab Kings"/>
    <s v="wickets"/>
    <n v="6"/>
    <s v="N"/>
    <s v="Normal Match"/>
    <x v="19"/>
    <s v="RJ Tucker"/>
    <x v="4"/>
    <x v="1"/>
    <x v="0"/>
    <x v="0"/>
  </r>
  <r>
    <x v="274"/>
    <s v="Cuttack"/>
    <x v="4"/>
    <d v="2012-04-22T00:00:00"/>
    <s v="B Lee"/>
    <s v="Barabati Stadium"/>
    <s v="Deccan Chargers"/>
    <s v="Kolkata Knight Riders"/>
    <s v="Kolkata Knight Riders"/>
    <x v="0"/>
    <s v="Kolkata Knight Riders"/>
    <s v="wickets"/>
    <n v="5"/>
    <s v="N"/>
    <s v="Normal Match"/>
    <x v="4"/>
    <s v="SK Tarapore"/>
    <x v="4"/>
    <x v="1"/>
    <x v="1"/>
    <x v="1"/>
  </r>
  <r>
    <x v="275"/>
    <s v="Jaipur"/>
    <x v="4"/>
    <d v="2012-04-23T00:00:00"/>
    <s v="AB de Villiers"/>
    <s v="Sawai Mansingh Stadium"/>
    <s v="Rajasthan Royals"/>
    <s v="Royal Challengers Bangalore"/>
    <s v="Rajasthan Royals"/>
    <x v="0"/>
    <s v="Royal Challengers Bangalore"/>
    <s v="runs"/>
    <n v="46"/>
    <s v="N"/>
    <s v="Normal Match"/>
    <x v="0"/>
    <s v="S Asnani"/>
    <x v="4"/>
    <x v="0"/>
    <x v="0"/>
    <x v="0"/>
  </r>
  <r>
    <x v="276"/>
    <s v="Pune"/>
    <x v="4"/>
    <d v="2012-04-24T00:00:00"/>
    <s v="V Sehwag"/>
    <s v="Subrata Roy Sahara Stadium"/>
    <s v="Pune Warriors"/>
    <s v="Delhi Capitals"/>
    <s v="Pune Warriors"/>
    <x v="1"/>
    <s v="Delhi Capitals"/>
    <s v="wickets"/>
    <n v="8"/>
    <s v="N"/>
    <s v="Normal Match"/>
    <x v="19"/>
    <s v="RJ Tucker"/>
    <x v="4"/>
    <x v="1"/>
    <x v="0"/>
    <x v="0"/>
  </r>
  <r>
    <x v="277"/>
    <s v="Chandigarh"/>
    <x v="4"/>
    <d v="2012-04-25T00:00:00"/>
    <s v="AT Rayudu"/>
    <s v="Punjab Cricket Association Stadium, Mohali"/>
    <s v="Punjab Kings"/>
    <s v="Mumbai Indians"/>
    <s v="Punjab Kings"/>
    <x v="1"/>
    <s v="Mumbai Indians"/>
    <s v="wickets"/>
    <n v="4"/>
    <s v="N"/>
    <s v="Normal Match"/>
    <x v="2"/>
    <s v="BNJ Oxenford"/>
    <x v="4"/>
    <x v="1"/>
    <x v="0"/>
    <x v="0"/>
  </r>
  <r>
    <x v="278"/>
    <s v="Pune"/>
    <x v="4"/>
    <d v="2012-04-26T00:00:00"/>
    <s v="CL White"/>
    <s v="Subrata Roy Sahara Stadium"/>
    <s v="Pune Warriors"/>
    <s v="Deccan Chargers"/>
    <s v="Deccan Chargers"/>
    <x v="1"/>
    <s v="Deccan Chargers"/>
    <s v="runs"/>
    <n v="18"/>
    <s v="N"/>
    <s v="Normal Match"/>
    <x v="19"/>
    <s v="RJ Tucker"/>
    <x v="4"/>
    <x v="0"/>
    <x v="1"/>
    <x v="1"/>
  </r>
  <r>
    <x v="279"/>
    <s v="Delhi"/>
    <x v="4"/>
    <d v="2012-04-27T00:00:00"/>
    <s v="V Sehwag"/>
    <s v="Feroz Shah Kotla"/>
    <s v="Delhi Capitals"/>
    <s v="Mumbai Indians"/>
    <s v="Mumbai Indians"/>
    <x v="0"/>
    <s v="Delhi Capitals"/>
    <s v="runs"/>
    <n v="37"/>
    <s v="N"/>
    <s v="Normal Match"/>
    <x v="2"/>
    <s v="BNJ Oxenford"/>
    <x v="4"/>
    <x v="0"/>
    <x v="0"/>
    <x v="0"/>
  </r>
  <r>
    <x v="280"/>
    <s v="Chennai"/>
    <x v="4"/>
    <d v="2012-04-28T00:00:00"/>
    <s v="Mandeep Singh"/>
    <s v="MA Chidambaram Stadium, Chepauk"/>
    <s v="Chennai Super Kings"/>
    <s v="Punjab Kings"/>
    <s v="Punjab Kings"/>
    <x v="1"/>
    <s v="Punjab Kings"/>
    <s v="runs"/>
    <n v="7"/>
    <s v="N"/>
    <s v="Normal Match"/>
    <x v="4"/>
    <s v="SK Tarapore"/>
    <x v="4"/>
    <x v="0"/>
    <x v="1"/>
    <x v="1"/>
  </r>
  <r>
    <x v="281"/>
    <s v="Kolkata"/>
    <x v="4"/>
    <d v="2012-04-28T00:00:00"/>
    <s v="G Gambhir"/>
    <s v="Eden Gardens"/>
    <s v="Kolkata Knight Riders"/>
    <s v="Royal Challengers Bangalore"/>
    <s v="Kolkata Knight Riders"/>
    <x v="1"/>
    <s v="Kolkata Knight Riders"/>
    <s v="runs"/>
    <n v="47"/>
    <s v="N"/>
    <s v="Normal Match"/>
    <x v="0"/>
    <s v="BR Doctrove"/>
    <x v="4"/>
    <x v="0"/>
    <x v="1"/>
    <x v="1"/>
  </r>
  <r>
    <x v="282"/>
    <s v="Delhi"/>
    <x v="4"/>
    <d v="2012-04-29T00:00:00"/>
    <s v="V Sehwag"/>
    <s v="Feroz Shah Kotla"/>
    <s v="Delhi Capitals"/>
    <s v="Rajasthan Royals"/>
    <s v="Delhi Capitals"/>
    <x v="1"/>
    <s v="Delhi Capitals"/>
    <s v="runs"/>
    <n v="1"/>
    <s v="N"/>
    <s v="Normal Match"/>
    <x v="19"/>
    <s v="RJ Tucker"/>
    <x v="4"/>
    <x v="0"/>
    <x v="1"/>
    <x v="1"/>
  </r>
  <r>
    <x v="283"/>
    <s v="Mumbai"/>
    <x v="4"/>
    <d v="2012-04-29T00:00:00"/>
    <s v="DW Steyn"/>
    <s v="Wankhede Stadium"/>
    <s v="Mumbai Indians"/>
    <s v="Deccan Chargers"/>
    <s v="Mumbai Indians"/>
    <x v="0"/>
    <s v="Mumbai Indians"/>
    <s v="wickets"/>
    <n v="5"/>
    <s v="N"/>
    <s v="Normal Match"/>
    <x v="25"/>
    <s v="BNJ Oxenford"/>
    <x v="4"/>
    <x v="1"/>
    <x v="1"/>
    <x v="1"/>
  </r>
  <r>
    <x v="284"/>
    <s v="Chennai"/>
    <x v="4"/>
    <d v="2012-04-30T00:00:00"/>
    <s v="G Gambhir"/>
    <s v="MA Chidambaram Stadium, Chepauk"/>
    <s v="Chennai Super Kings"/>
    <s v="Kolkata Knight Riders"/>
    <s v="Chennai Super Kings"/>
    <x v="1"/>
    <s v="Kolkata Knight Riders"/>
    <s v="wickets"/>
    <n v="5"/>
    <s v="N"/>
    <s v="Normal Match"/>
    <x v="4"/>
    <s v="C Shamshuddin"/>
    <x v="4"/>
    <x v="1"/>
    <x v="0"/>
    <x v="0"/>
  </r>
  <r>
    <x v="285"/>
    <s v="Cuttack"/>
    <x v="4"/>
    <d v="2012-05-01T00:00:00"/>
    <s v="KC Sangakkara"/>
    <s v="Barabati Stadium"/>
    <s v="Deccan Chargers"/>
    <s v="Pune Warriors"/>
    <s v="Deccan Chargers"/>
    <x v="1"/>
    <s v="Deccan Chargers"/>
    <s v="runs"/>
    <n v="13"/>
    <s v="N"/>
    <s v="Normal Match"/>
    <x v="2"/>
    <s v="AK Chaudhary"/>
    <x v="4"/>
    <x v="0"/>
    <x v="1"/>
    <x v="1"/>
  </r>
  <r>
    <x v="286"/>
    <s v="Jaipur"/>
    <x v="4"/>
    <d v="2012-05-01T00:00:00"/>
    <s v="P Negi"/>
    <s v="Sawai Mansingh Stadium"/>
    <s v="Rajasthan Royals"/>
    <s v="Delhi Capitals"/>
    <s v="Rajasthan Royals"/>
    <x v="1"/>
    <s v="Delhi Capitals"/>
    <s v="wickets"/>
    <n v="6"/>
    <s v="N"/>
    <s v="Normal Match"/>
    <x v="24"/>
    <s v="SJA Taufel"/>
    <x v="4"/>
    <x v="1"/>
    <x v="0"/>
    <x v="0"/>
  </r>
  <r>
    <x v="287"/>
    <s v="Bangalore"/>
    <x v="4"/>
    <d v="2012-05-02T00:00:00"/>
    <s v="Azhar Mahmood"/>
    <s v="M. Chinnaswamy Stadium"/>
    <s v="Royal Challengers Bangalore"/>
    <s v="Punjab Kings"/>
    <s v="Punjab Kings"/>
    <x v="0"/>
    <s v="Punjab Kings"/>
    <s v="wickets"/>
    <n v="4"/>
    <s v="N"/>
    <s v="Normal Match"/>
    <x v="4"/>
    <s v="C Shamshuddin"/>
    <x v="4"/>
    <x v="1"/>
    <x v="1"/>
    <x v="1"/>
  </r>
  <r>
    <x v="288"/>
    <s v="Pune"/>
    <x v="4"/>
    <d v="2012-05-03T00:00:00"/>
    <s v="SL Malinga"/>
    <s v="Subrata Roy Sahara Stadium"/>
    <s v="Pune Warriors"/>
    <s v="Mumbai Indians"/>
    <s v="Mumbai Indians"/>
    <x v="1"/>
    <s v="Mumbai Indians"/>
    <s v="runs"/>
    <n v="1"/>
    <s v="N"/>
    <s v="Normal Match"/>
    <x v="0"/>
    <s v="S Asnani"/>
    <x v="4"/>
    <x v="0"/>
    <x v="1"/>
    <x v="1"/>
  </r>
  <r>
    <x v="289"/>
    <s v="Chennai"/>
    <x v="4"/>
    <d v="2012-05-04T00:00:00"/>
    <s v="SK Raina"/>
    <s v="MA Chidambaram Stadium, Chepauk"/>
    <s v="Chennai Super Kings"/>
    <s v="Deccan Chargers"/>
    <s v="Chennai Super Kings"/>
    <x v="1"/>
    <s v="Chennai Super Kings"/>
    <s v="runs"/>
    <n v="10"/>
    <s v="N"/>
    <s v="Normal Match"/>
    <x v="12"/>
    <s v="BNJ Oxenford"/>
    <x v="4"/>
    <x v="0"/>
    <x v="1"/>
    <x v="1"/>
  </r>
  <r>
    <x v="290"/>
    <s v="Kolkata"/>
    <x v="4"/>
    <d v="2012-05-05T00:00:00"/>
    <s v="SP Narine"/>
    <s v="Eden Gardens"/>
    <s v="Kolkata Knight Riders"/>
    <s v="Pune Warriors"/>
    <s v="Kolkata Knight Riders"/>
    <x v="1"/>
    <s v="Kolkata Knight Riders"/>
    <s v="runs"/>
    <n v="7"/>
    <s v="N"/>
    <s v="Normal Match"/>
    <x v="4"/>
    <s v="SK Tarapore"/>
    <x v="4"/>
    <x v="0"/>
    <x v="1"/>
    <x v="1"/>
  </r>
  <r>
    <x v="291"/>
    <s v="Chandigarh"/>
    <x v="4"/>
    <d v="2012-05-05T00:00:00"/>
    <s v="SR Watson"/>
    <s v="Punjab Cricket Association Stadium, Mohali"/>
    <s v="Punjab Kings"/>
    <s v="Rajasthan Royals"/>
    <s v="Rajasthan Royals"/>
    <x v="1"/>
    <s v="Rajasthan Royals"/>
    <s v="runs"/>
    <n v="43"/>
    <s v="N"/>
    <s v="Normal Match"/>
    <x v="24"/>
    <s v="SJA Taufel"/>
    <x v="4"/>
    <x v="0"/>
    <x v="1"/>
    <x v="1"/>
  </r>
  <r>
    <x v="292"/>
    <s v="Mumbai"/>
    <x v="4"/>
    <d v="2012-05-06T00:00:00"/>
    <s v="DR Smith"/>
    <s v="Wankhede Stadium"/>
    <s v="Mumbai Indians"/>
    <s v="Chennai Super Kings"/>
    <s v="Mumbai Indians"/>
    <x v="0"/>
    <s v="Mumbai Indians"/>
    <s v="wickets"/>
    <n v="2"/>
    <s v="N"/>
    <s v="Normal Match"/>
    <x v="0"/>
    <s v="S Asnani"/>
    <x v="4"/>
    <x v="1"/>
    <x v="1"/>
    <x v="1"/>
  </r>
  <r>
    <x v="293"/>
    <s v="Bangalore"/>
    <x v="4"/>
    <d v="2012-05-06T00:00:00"/>
    <s v="AB de Villiers"/>
    <s v="M. Chinnaswamy Stadium"/>
    <s v="Royal Challengers Bangalore"/>
    <s v="Deccan Chargers"/>
    <s v="Royal Challengers Bangalore"/>
    <x v="0"/>
    <s v="Royal Challengers Bangalore"/>
    <s v="wickets"/>
    <n v="5"/>
    <s v="N"/>
    <s v="Normal Match"/>
    <x v="12"/>
    <s v="BNJ Oxenford"/>
    <x v="4"/>
    <x v="1"/>
    <x v="1"/>
    <x v="1"/>
  </r>
  <r>
    <x v="294"/>
    <s v="Delhi"/>
    <x v="4"/>
    <d v="2012-05-07T00:00:00"/>
    <s v="JH Kallis"/>
    <s v="Feroz Shah Kotla"/>
    <s v="Delhi Capitals"/>
    <s v="Kolkata Knight Riders"/>
    <s v="Delhi Capitals"/>
    <x v="1"/>
    <s v="Kolkata Knight Riders"/>
    <s v="wickets"/>
    <n v="6"/>
    <s v="N"/>
    <s v="Normal Match"/>
    <x v="24"/>
    <s v="S Ravi"/>
    <x v="4"/>
    <x v="1"/>
    <x v="0"/>
    <x v="0"/>
  </r>
  <r>
    <x v="295"/>
    <s v="Pune"/>
    <x v="4"/>
    <d v="2012-05-08T00:00:00"/>
    <s v="SR Watson"/>
    <s v="Subrata Roy Sahara Stadium"/>
    <s v="Pune Warriors"/>
    <s v="Rajasthan Royals"/>
    <s v="Pune Warriors"/>
    <x v="1"/>
    <s v="Rajasthan Royals"/>
    <s v="wickets"/>
    <n v="7"/>
    <s v="N"/>
    <s v="Normal Match"/>
    <x v="0"/>
    <s v="BR Doctrove"/>
    <x v="4"/>
    <x v="1"/>
    <x v="0"/>
    <x v="0"/>
  </r>
  <r>
    <x v="296"/>
    <s v="Hyderabad"/>
    <x v="4"/>
    <d v="2012-05-08T00:00:00"/>
    <s v="Mandeep Singh"/>
    <s v="Rajiv Gandhi International Stadium, Uppal"/>
    <s v="Deccan Chargers"/>
    <s v="Punjab Kings"/>
    <s v="Deccan Chargers"/>
    <x v="0"/>
    <s v="Punjab Kings"/>
    <s v="runs"/>
    <n v="25"/>
    <s v="N"/>
    <s v="Normal Match"/>
    <x v="12"/>
    <s v="BNJ Oxenford"/>
    <x v="4"/>
    <x v="0"/>
    <x v="0"/>
    <x v="0"/>
  </r>
  <r>
    <x v="297"/>
    <s v="Mumbai"/>
    <x v="4"/>
    <d v="2012-05-09T00:00:00"/>
    <s v="CH Gayle"/>
    <s v="Wankhede Stadium"/>
    <s v="Mumbai Indians"/>
    <s v="Royal Challengers Bangalore"/>
    <s v="Royal Challengers Bangalore"/>
    <x v="0"/>
    <s v="Royal Challengers Bangalore"/>
    <s v="wickets"/>
    <n v="9"/>
    <s v="N"/>
    <s v="Normal Match"/>
    <x v="4"/>
    <s v="VA Kulkarni"/>
    <x v="4"/>
    <x v="1"/>
    <x v="1"/>
    <x v="1"/>
  </r>
  <r>
    <x v="298"/>
    <s v="Jaipur"/>
    <x v="4"/>
    <d v="2012-05-10T00:00:00"/>
    <s v="BW Hilfenhaus"/>
    <s v="Sawai Mansingh Stadium"/>
    <s v="Rajasthan Royals"/>
    <s v="Chennai Super Kings"/>
    <s v="Chennai Super Kings"/>
    <x v="0"/>
    <s v="Chennai Super Kings"/>
    <s v="wickets"/>
    <n v="4"/>
    <s v="N"/>
    <s v="Normal Match"/>
    <x v="27"/>
    <s v="C Shamshuddin"/>
    <x v="4"/>
    <x v="1"/>
    <x v="1"/>
    <x v="1"/>
  </r>
  <r>
    <x v="299"/>
    <s v="Pune"/>
    <x v="4"/>
    <d v="2012-05-11T00:00:00"/>
    <s v="CH Gayle"/>
    <s v="Subrata Roy Sahara Stadium"/>
    <s v="Pune Warriors"/>
    <s v="Royal Challengers Bangalore"/>
    <s v="Pune Warriors"/>
    <x v="0"/>
    <s v="Royal Challengers Bangalore"/>
    <s v="runs"/>
    <n v="35"/>
    <s v="N"/>
    <s v="Normal Match"/>
    <x v="4"/>
    <s v="SK Tarapore"/>
    <x v="4"/>
    <x v="0"/>
    <x v="0"/>
    <x v="0"/>
  </r>
  <r>
    <x v="300"/>
    <s v="Kolkata"/>
    <x v="4"/>
    <d v="2012-05-12T00:00:00"/>
    <s v="RG Sharma"/>
    <s v="Eden Gardens"/>
    <s v="Kolkata Knight Riders"/>
    <s v="Mumbai Indians"/>
    <s v="Mumbai Indians"/>
    <x v="1"/>
    <s v="Mumbai Indians"/>
    <s v="runs"/>
    <n v="27"/>
    <s v="N"/>
    <s v="Normal Match"/>
    <x v="19"/>
    <s v="SJA Taufel"/>
    <x v="4"/>
    <x v="0"/>
    <x v="1"/>
    <x v="1"/>
  </r>
  <r>
    <x v="301"/>
    <s v="Chennai"/>
    <x v="4"/>
    <d v="2012-05-12T00:00:00"/>
    <s v="BW Hilfenhaus"/>
    <s v="MA Chidambaram Stadium, Chepauk"/>
    <s v="Chennai Super Kings"/>
    <s v="Delhi Capitals"/>
    <s v="Chennai Super Kings"/>
    <x v="0"/>
    <s v="Chennai Super Kings"/>
    <s v="wickets"/>
    <n v="9"/>
    <s v="N"/>
    <s v="Normal Match"/>
    <x v="21"/>
    <s v="BR Doctrove"/>
    <x v="4"/>
    <x v="1"/>
    <x v="1"/>
    <x v="1"/>
  </r>
  <r>
    <x v="302"/>
    <s v="Jaipur"/>
    <x v="4"/>
    <d v="2012-05-13T00:00:00"/>
    <s v="A Chandila"/>
    <s v="Sawai Mansingh Stadium"/>
    <s v="Rajasthan Royals"/>
    <s v="Pune Warriors"/>
    <s v="Rajasthan Royals"/>
    <x v="1"/>
    <s v="Rajasthan Royals"/>
    <s v="runs"/>
    <n v="45"/>
    <s v="N"/>
    <s v="Normal Match"/>
    <x v="4"/>
    <s v="SK Tarapore"/>
    <x v="4"/>
    <x v="0"/>
    <x v="1"/>
    <x v="1"/>
  </r>
  <r>
    <x v="303"/>
    <s v="Chandigarh"/>
    <x v="4"/>
    <d v="2012-05-13T00:00:00"/>
    <s v="DJ Hussey"/>
    <s v="Punjab Cricket Association Stadium, Mohali"/>
    <s v="Punjab Kings"/>
    <s v="Deccan Chargers"/>
    <s v="Deccan Chargers"/>
    <x v="1"/>
    <s v="Punjab Kings"/>
    <s v="wickets"/>
    <n v="4"/>
    <s v="N"/>
    <s v="Normal Match"/>
    <x v="12"/>
    <s v="BNJ Oxenford"/>
    <x v="4"/>
    <x v="1"/>
    <x v="0"/>
    <x v="0"/>
  </r>
  <r>
    <x v="304"/>
    <s v="Bangalore"/>
    <x v="4"/>
    <d v="2012-05-14T00:00:00"/>
    <s v="AT Rayudu"/>
    <s v="M. Chinnaswamy Stadium"/>
    <s v="Royal Challengers Bangalore"/>
    <s v="Mumbai Indians"/>
    <s v="Mumbai Indians"/>
    <x v="0"/>
    <s v="Mumbai Indians"/>
    <s v="wickets"/>
    <n v="5"/>
    <s v="N"/>
    <s v="Normal Match"/>
    <x v="21"/>
    <s v="BR Doctrove"/>
    <x v="4"/>
    <x v="1"/>
    <x v="1"/>
    <x v="1"/>
  </r>
  <r>
    <x v="305"/>
    <s v="Kolkata"/>
    <x v="4"/>
    <d v="2012-05-14T00:00:00"/>
    <s v="MEK Hussey"/>
    <s v="Eden Gardens"/>
    <s v="Kolkata Knight Riders"/>
    <s v="Chennai Super Kings"/>
    <s v="Chennai Super Kings"/>
    <x v="0"/>
    <s v="Chennai Super Kings"/>
    <s v="wickets"/>
    <n v="5"/>
    <s v="N"/>
    <s v="Normal Match"/>
    <x v="24"/>
    <s v="SJA Taufel"/>
    <x v="4"/>
    <x v="1"/>
    <x v="1"/>
    <x v="1"/>
  </r>
  <r>
    <x v="306"/>
    <s v="Delhi"/>
    <x v="4"/>
    <d v="2012-05-15T00:00:00"/>
    <s v="UT Yadav"/>
    <s v="Feroz Shah Kotla"/>
    <s v="Delhi Capitals"/>
    <s v="Punjab Kings"/>
    <s v="Punjab Kings"/>
    <x v="1"/>
    <s v="Delhi Capitals"/>
    <s v="wickets"/>
    <n v="5"/>
    <s v="N"/>
    <s v="Normal Match"/>
    <x v="12"/>
    <s v="BNJ Oxenford"/>
    <x v="4"/>
    <x v="1"/>
    <x v="0"/>
    <x v="0"/>
  </r>
  <r>
    <x v="307"/>
    <s v="Mumbai"/>
    <x v="4"/>
    <d v="2012-05-16T00:00:00"/>
    <s v="SP Narine"/>
    <s v="Wankhede Stadium"/>
    <s v="Mumbai Indians"/>
    <s v="Kolkata Knight Riders"/>
    <s v="Mumbai Indians"/>
    <x v="0"/>
    <s v="Kolkata Knight Riders"/>
    <s v="runs"/>
    <n v="32"/>
    <s v="N"/>
    <s v="Normal Match"/>
    <x v="21"/>
    <s v="BR Doctrove"/>
    <x v="4"/>
    <x v="0"/>
    <x v="0"/>
    <x v="0"/>
  </r>
  <r>
    <x v="308"/>
    <s v="Dharamsala"/>
    <x v="4"/>
    <d v="2012-05-17T00:00:00"/>
    <s v="AC Gilchrist"/>
    <s v="Himachal Pradesh Cricket Association Stadium"/>
    <s v="Punjab Kings"/>
    <s v="Chennai Super Kings"/>
    <s v="Punjab Kings"/>
    <x v="0"/>
    <s v="Punjab Kings"/>
    <s v="wickets"/>
    <n v="6"/>
    <s v="N"/>
    <s v="Normal Match"/>
    <x v="26"/>
    <s v="SK Tarapore"/>
    <x v="4"/>
    <x v="1"/>
    <x v="1"/>
    <x v="1"/>
  </r>
  <r>
    <x v="309"/>
    <s v="Delhi"/>
    <x v="4"/>
    <d v="2012-05-17T00:00:00"/>
    <s v="CH Gayle"/>
    <s v="Feroz Shah Kotla"/>
    <s v="Delhi Capitals"/>
    <s v="Royal Challengers Bangalore"/>
    <s v="Delhi Capitals"/>
    <x v="0"/>
    <s v="Royal Challengers Bangalore"/>
    <s v="runs"/>
    <n v="21"/>
    <s v="N"/>
    <s v="Normal Match"/>
    <x v="12"/>
    <s v="C Shamshuddin"/>
    <x v="4"/>
    <x v="0"/>
    <x v="0"/>
    <x v="0"/>
  </r>
  <r>
    <x v="310"/>
    <s v="Hyderabad"/>
    <x v="4"/>
    <d v="2012-05-18T00:00:00"/>
    <s v="DW Steyn"/>
    <s v="Rajiv Gandhi International Stadium, Uppal"/>
    <s v="Deccan Chargers"/>
    <s v="Rajasthan Royals"/>
    <s v="Rajasthan Royals"/>
    <x v="1"/>
    <s v="Deccan Chargers"/>
    <s v="wickets"/>
    <n v="5"/>
    <s v="N"/>
    <s v="Normal Match"/>
    <x v="19"/>
    <s v="SJA Taufel"/>
    <x v="4"/>
    <x v="1"/>
    <x v="0"/>
    <x v="0"/>
  </r>
  <r>
    <x v="311"/>
    <s v="Dharamsala"/>
    <x v="4"/>
    <d v="2012-05-19T00:00:00"/>
    <s v="UT Yadav"/>
    <s v="Himachal Pradesh Cricket Association Stadium"/>
    <s v="Punjab Kings"/>
    <s v="Delhi Capitals"/>
    <s v="Delhi Capitals"/>
    <x v="0"/>
    <s v="Delhi Capitals"/>
    <s v="wickets"/>
    <n v="6"/>
    <s v="N"/>
    <s v="Normal Match"/>
    <x v="4"/>
    <s v="VA Kulkarni"/>
    <x v="4"/>
    <x v="1"/>
    <x v="1"/>
    <x v="1"/>
  </r>
  <r>
    <x v="312"/>
    <s v="Pune"/>
    <x v="4"/>
    <d v="2012-05-19T00:00:00"/>
    <s v="Shakib Al Hasan"/>
    <s v="Subrata Roy Sahara Stadium"/>
    <s v="Pune Warriors"/>
    <s v="Kolkata Knight Riders"/>
    <s v="Kolkata Knight Riders"/>
    <x v="1"/>
    <s v="Kolkata Knight Riders"/>
    <s v="runs"/>
    <n v="34"/>
    <s v="N"/>
    <s v="Normal Match"/>
    <x v="13"/>
    <s v="BR Doctrove"/>
    <x v="4"/>
    <x v="0"/>
    <x v="1"/>
    <x v="1"/>
  </r>
  <r>
    <x v="313"/>
    <s v="Hyderabad"/>
    <x v="4"/>
    <d v="2012-05-20T00:00:00"/>
    <s v="DW Steyn"/>
    <s v="Rajiv Gandhi International Stadium, Uppal"/>
    <s v="Deccan Chargers"/>
    <s v="Royal Challengers Bangalore"/>
    <s v="Royal Challengers Bangalore"/>
    <x v="0"/>
    <s v="Deccan Chargers"/>
    <s v="runs"/>
    <n v="9"/>
    <s v="N"/>
    <s v="Normal Match"/>
    <x v="19"/>
    <s v="SJA Taufel"/>
    <x v="4"/>
    <x v="0"/>
    <x v="0"/>
    <x v="0"/>
  </r>
  <r>
    <x v="314"/>
    <s v="Jaipur"/>
    <x v="4"/>
    <d v="2012-05-20T00:00:00"/>
    <s v="DR Smith"/>
    <s v="Sawai Mansingh Stadium"/>
    <s v="Rajasthan Royals"/>
    <s v="Mumbai Indians"/>
    <s v="Rajasthan Royals"/>
    <x v="1"/>
    <s v="Mumbai Indians"/>
    <s v="wickets"/>
    <n v="10"/>
    <s v="N"/>
    <s v="Normal Match"/>
    <x v="12"/>
    <s v="C Shamshuddin"/>
    <x v="4"/>
    <x v="1"/>
    <x v="0"/>
    <x v="0"/>
  </r>
  <r>
    <x v="315"/>
    <s v="Pune"/>
    <x v="4"/>
    <d v="2012-05-22T00:00:00"/>
    <s v="YK Pathan"/>
    <s v="Subrata Roy Sahara Stadium"/>
    <s v="Delhi Capitals"/>
    <s v="Kolkata Knight Riders"/>
    <s v="Kolkata Knight Riders"/>
    <x v="1"/>
    <s v="Kolkata Knight Riders"/>
    <s v="runs"/>
    <n v="18"/>
    <s v="N"/>
    <s v="Normal Match"/>
    <x v="8"/>
    <s v="SJA Taufel"/>
    <x v="4"/>
    <x v="0"/>
    <x v="1"/>
    <x v="1"/>
  </r>
  <r>
    <x v="316"/>
    <s v="Bangalore"/>
    <x v="4"/>
    <d v="2012-05-23T00:00:00"/>
    <s v="MS Dhoni"/>
    <s v="M. Chinnaswamy Stadium"/>
    <s v="Chennai Super Kings"/>
    <s v="Mumbai Indians"/>
    <s v="Mumbai Indians"/>
    <x v="0"/>
    <s v="Chennai Super Kings"/>
    <s v="runs"/>
    <n v="38"/>
    <s v="N"/>
    <s v="Normal Match"/>
    <x v="4"/>
    <s v="HDPK Dharmasena"/>
    <x v="4"/>
    <x v="0"/>
    <x v="0"/>
    <x v="0"/>
  </r>
  <r>
    <x v="317"/>
    <s v="Chennai"/>
    <x v="4"/>
    <d v="2012-05-25T00:00:00"/>
    <s v="M Vijay"/>
    <s v="MA Chidambaram Stadium, Chepauk"/>
    <s v="Delhi Capitals"/>
    <s v="Chennai Super Kings"/>
    <s v="Delhi Capitals"/>
    <x v="0"/>
    <s v="Chennai Super Kings"/>
    <s v="runs"/>
    <n v="86"/>
    <s v="N"/>
    <s v="Normal Match"/>
    <x v="8"/>
    <s v="SJA Taufel"/>
    <x v="4"/>
    <x v="0"/>
    <x v="0"/>
    <x v="0"/>
  </r>
  <r>
    <x v="318"/>
    <s v="Chennai"/>
    <x v="4"/>
    <d v="2012-05-27T00:00:00"/>
    <s v="MS Bisla"/>
    <s v="MA Chidambaram Stadium, Chepauk"/>
    <s v="Kolkata Knight Riders"/>
    <s v="Chennai Super Kings"/>
    <s v="Chennai Super Kings"/>
    <x v="1"/>
    <s v="Kolkata Knight Riders"/>
    <s v="wickets"/>
    <n v="5"/>
    <s v="N"/>
    <s v="Normal Match"/>
    <x v="4"/>
    <s v="SJA Taufel"/>
    <x v="4"/>
    <x v="1"/>
    <x v="0"/>
    <x v="0"/>
  </r>
  <r>
    <x v="319"/>
    <s v="Kolkata"/>
    <x v="5"/>
    <d v="2013-04-03T00:00:00"/>
    <s v="SP Narine"/>
    <s v="Eden Gardens"/>
    <s v="Kolkata Knight Riders"/>
    <s v="Delhi Capitals"/>
    <s v="Kolkata Knight Riders"/>
    <x v="0"/>
    <s v="Kolkata Knight Riders"/>
    <s v="wickets"/>
    <n v="6"/>
    <s v="N"/>
    <s v="Normal Match"/>
    <x v="19"/>
    <s v="SJA Taufel"/>
    <x v="5"/>
    <x v="1"/>
    <x v="1"/>
    <x v="1"/>
  </r>
  <r>
    <x v="320"/>
    <s v="Bangalore"/>
    <x v="5"/>
    <d v="2013-04-04T00:00:00"/>
    <s v="CH Gayle"/>
    <s v="M. Chinnaswamy Stadium"/>
    <s v="Royal Challengers Bangalore"/>
    <s v="Mumbai Indians"/>
    <s v="Mumbai Indians"/>
    <x v="0"/>
    <s v="Royal Challengers Bangalore"/>
    <s v="runs"/>
    <n v="2"/>
    <s v="N"/>
    <s v="Normal Match"/>
    <x v="26"/>
    <s v="C Shamshuddin"/>
    <x v="5"/>
    <x v="0"/>
    <x v="0"/>
    <x v="0"/>
  </r>
  <r>
    <x v="321"/>
    <s v="Hyderabad"/>
    <x v="5"/>
    <d v="2013-04-05T00:00:00"/>
    <s v="A Mishra"/>
    <s v="Rajiv Gandhi International Stadium, Uppal"/>
    <s v="Sunrisers Hyderabad"/>
    <s v="Pune Warriors"/>
    <s v="Pune Warriors"/>
    <x v="0"/>
    <s v="Sunrisers Hyderabad"/>
    <s v="runs"/>
    <n v="22"/>
    <s v="N"/>
    <s v="Normal Match"/>
    <x v="19"/>
    <s v="SJA Taufel"/>
    <x v="5"/>
    <x v="0"/>
    <x v="0"/>
    <x v="0"/>
  </r>
  <r>
    <x v="322"/>
    <s v="Delhi"/>
    <x v="5"/>
    <d v="2013-04-06T00:00:00"/>
    <s v="R Dravid"/>
    <s v="Feroz Shah Kotla"/>
    <s v="Delhi Capitals"/>
    <s v="Rajasthan Royals"/>
    <s v="Rajasthan Royals"/>
    <x v="1"/>
    <s v="Rajasthan Royals"/>
    <s v="runs"/>
    <n v="5"/>
    <s v="N"/>
    <s v="Normal Match"/>
    <x v="21"/>
    <s v="C Shamshuddin"/>
    <x v="5"/>
    <x v="0"/>
    <x v="1"/>
    <x v="1"/>
  </r>
  <r>
    <x v="323"/>
    <s v="Chennai"/>
    <x v="5"/>
    <d v="2013-04-06T00:00:00"/>
    <s v="KA Pollard"/>
    <s v="MA Chidambaram Stadium, Chepauk"/>
    <s v="Chennai Super Kings"/>
    <s v="Mumbai Indians"/>
    <s v="Mumbai Indians"/>
    <x v="1"/>
    <s v="Mumbai Indians"/>
    <s v="runs"/>
    <n v="9"/>
    <s v="N"/>
    <s v="Normal Match"/>
    <x v="11"/>
    <s v="VA Kulkarni"/>
    <x v="5"/>
    <x v="0"/>
    <x v="1"/>
    <x v="1"/>
  </r>
  <r>
    <x v="324"/>
    <s v="Pune"/>
    <x v="5"/>
    <d v="2013-04-07T00:00:00"/>
    <s v="M Vohra"/>
    <s v="Subrata Roy Sahara Stadium"/>
    <s v="Pune Warriors"/>
    <s v="Punjab Kings"/>
    <s v="Pune Warriors"/>
    <x v="1"/>
    <s v="Punjab Kings"/>
    <s v="wickets"/>
    <n v="8"/>
    <s v="N"/>
    <s v="Normal Match"/>
    <x v="13"/>
    <s v="SJA Taufel"/>
    <x v="5"/>
    <x v="1"/>
    <x v="0"/>
    <x v="0"/>
  </r>
  <r>
    <x v="325"/>
    <s v="Jaipur"/>
    <x v="5"/>
    <d v="2013-04-08T00:00:00"/>
    <s v="SK Trivedi"/>
    <s v="Sawai Mansingh Stadium"/>
    <s v="Rajasthan Royals"/>
    <s v="Kolkata Knight Riders"/>
    <s v="Kolkata Knight Riders"/>
    <x v="0"/>
    <s v="Rajasthan Royals"/>
    <s v="runs"/>
    <n v="19"/>
    <s v="N"/>
    <s v="Normal Match"/>
    <x v="2"/>
    <s v="S Das"/>
    <x v="5"/>
    <x v="0"/>
    <x v="0"/>
    <x v="0"/>
  </r>
  <r>
    <x v="326"/>
    <s v="Mumbai"/>
    <x v="5"/>
    <d v="2013-04-09T00:00:00"/>
    <s v="KD Karthik"/>
    <s v="Wankhede Stadium"/>
    <s v="Mumbai Indians"/>
    <s v="Delhi Capitals"/>
    <s v="Mumbai Indians"/>
    <x v="1"/>
    <s v="Mumbai Indians"/>
    <s v="runs"/>
    <n v="44"/>
    <s v="N"/>
    <s v="Normal Match"/>
    <x v="11"/>
    <s v="VA Kulkarni"/>
    <x v="5"/>
    <x v="0"/>
    <x v="1"/>
    <x v="1"/>
  </r>
  <r>
    <x v="327"/>
    <s v="Chandigarh"/>
    <x v="5"/>
    <d v="2013-04-10T00:00:00"/>
    <s v="MEK Hussey"/>
    <s v="Punjab Cricket Association Stadium, Mohali"/>
    <s v="Punjab Kings"/>
    <s v="Chennai Super Kings"/>
    <s v="Chennai Super Kings"/>
    <x v="0"/>
    <s v="Chennai Super Kings"/>
    <s v="wickets"/>
    <n v="10"/>
    <s v="N"/>
    <s v="Normal Match"/>
    <x v="2"/>
    <s v="C Shamshuddin"/>
    <x v="5"/>
    <x v="1"/>
    <x v="1"/>
    <x v="1"/>
  </r>
  <r>
    <x v="328"/>
    <s v="Bangalore"/>
    <x v="5"/>
    <d v="2013-04-11T00:00:00"/>
    <s v="CH Gayle"/>
    <s v="M. Chinnaswamy Stadium"/>
    <s v="Royal Challengers Bangalore"/>
    <s v="Kolkata Knight Riders"/>
    <s v="Royal Challengers Bangalore"/>
    <x v="0"/>
    <s v="Royal Challengers Bangalore"/>
    <s v="wickets"/>
    <n v="8"/>
    <s v="N"/>
    <s v="Normal Match"/>
    <x v="0"/>
    <s v="AK Chaudhary"/>
    <x v="5"/>
    <x v="1"/>
    <x v="1"/>
    <x v="1"/>
  </r>
  <r>
    <x v="329"/>
    <s v="Pune"/>
    <x v="5"/>
    <d v="2013-04-11T00:00:00"/>
    <s v="AJ Finch"/>
    <s v="Subrata Roy Sahara Stadium"/>
    <s v="Pune Warriors"/>
    <s v="Rajasthan Royals"/>
    <s v="Rajasthan Royals"/>
    <x v="1"/>
    <s v="Pune Warriors"/>
    <s v="wickets"/>
    <n v="7"/>
    <s v="N"/>
    <s v="Normal Match"/>
    <x v="11"/>
    <s v="K Srinath"/>
    <x v="5"/>
    <x v="1"/>
    <x v="0"/>
    <x v="0"/>
  </r>
  <r>
    <x v="330"/>
    <s v="Delhi"/>
    <x v="5"/>
    <d v="2013-04-12T00:00:00"/>
    <s v="A Mishra"/>
    <s v="Feroz Shah Kotla"/>
    <s v="Delhi Capitals"/>
    <s v="Sunrisers Hyderabad"/>
    <s v="Delhi Capitals"/>
    <x v="1"/>
    <s v="Sunrisers Hyderabad"/>
    <s v="wickets"/>
    <n v="3"/>
    <s v="N"/>
    <s v="Normal Match"/>
    <x v="2"/>
    <s v="Subroto Das"/>
    <x v="5"/>
    <x v="1"/>
    <x v="0"/>
    <x v="0"/>
  </r>
  <r>
    <x v="331"/>
    <s v="Mumbai"/>
    <x v="5"/>
    <d v="2013-04-13T00:00:00"/>
    <s v="RG Sharma"/>
    <s v="Wankhede Stadium"/>
    <s v="Mumbai Indians"/>
    <s v="Pune Warriors"/>
    <s v="Mumbai Indians"/>
    <x v="1"/>
    <s v="Mumbai Indians"/>
    <s v="runs"/>
    <n v="41"/>
    <s v="N"/>
    <s v="Normal Match"/>
    <x v="19"/>
    <s v="SJA Taufel"/>
    <x v="5"/>
    <x v="0"/>
    <x v="1"/>
    <x v="1"/>
  </r>
  <r>
    <x v="332"/>
    <s v="Chennai"/>
    <x v="5"/>
    <d v="2013-04-13T00:00:00"/>
    <s v="RA Jadeja"/>
    <s v="MA Chidambaram Stadium, Chepauk"/>
    <s v="Chennai Super Kings"/>
    <s v="Royal Challengers Bangalore"/>
    <s v="Chennai Super Kings"/>
    <x v="0"/>
    <s v="Chennai Super Kings"/>
    <s v="wickets"/>
    <n v="4"/>
    <s v="N"/>
    <s v="Normal Match"/>
    <x v="0"/>
    <s v="AK Chaudhary"/>
    <x v="5"/>
    <x v="1"/>
    <x v="1"/>
    <x v="1"/>
  </r>
  <r>
    <x v="333"/>
    <s v="Kolkata"/>
    <x v="5"/>
    <d v="2013-04-14T00:00:00"/>
    <s v="G Gambhir"/>
    <s v="Eden Gardens"/>
    <s v="Kolkata Knight Riders"/>
    <s v="Sunrisers Hyderabad"/>
    <s v="Kolkata Knight Riders"/>
    <x v="1"/>
    <s v="Kolkata Knight Riders"/>
    <s v="runs"/>
    <n v="48"/>
    <s v="N"/>
    <s v="Normal Match"/>
    <x v="11"/>
    <s v="VA Kulkarni"/>
    <x v="5"/>
    <x v="0"/>
    <x v="1"/>
    <x v="1"/>
  </r>
  <r>
    <x v="334"/>
    <s v="Jaipur"/>
    <x v="5"/>
    <d v="2013-04-14T00:00:00"/>
    <s v="JP Faulkner"/>
    <s v="Sawai Mansingh Stadium"/>
    <s v="Rajasthan Royals"/>
    <s v="Punjab Kings"/>
    <s v="Rajasthan Royals"/>
    <x v="0"/>
    <s v="Rajasthan Royals"/>
    <s v="wickets"/>
    <n v="6"/>
    <s v="N"/>
    <s v="Normal Match"/>
    <x v="2"/>
    <s v="C Shamshuddin"/>
    <x v="5"/>
    <x v="1"/>
    <x v="1"/>
    <x v="1"/>
  </r>
  <r>
    <x v="335"/>
    <s v="Chennai"/>
    <x v="5"/>
    <d v="2013-04-15T00:00:00"/>
    <s v="SPD Smith"/>
    <s v="MA Chidambaram Stadium, Chepauk"/>
    <s v="Chennai Super Kings"/>
    <s v="Pune Warriors"/>
    <s v="Pune Warriors"/>
    <x v="1"/>
    <s v="Pune Warriors"/>
    <s v="runs"/>
    <n v="24"/>
    <s v="N"/>
    <s v="Normal Match"/>
    <x v="0"/>
    <s v="AK Chaudhary"/>
    <x v="5"/>
    <x v="0"/>
    <x v="1"/>
    <x v="1"/>
  </r>
  <r>
    <x v="336"/>
    <s v="Chandigarh"/>
    <x v="5"/>
    <d v="2013-04-16T00:00:00"/>
    <s v="MS Gony"/>
    <s v="Punjab Cricket Association Stadium, Mohali"/>
    <s v="Punjab Kings"/>
    <s v="Kolkata Knight Riders"/>
    <s v="Kolkata Knight Riders"/>
    <x v="0"/>
    <s v="Punjab Kings"/>
    <s v="runs"/>
    <n v="4"/>
    <s v="N"/>
    <s v="Normal Match"/>
    <x v="28"/>
    <s v="SJA Taufel"/>
    <x v="5"/>
    <x v="0"/>
    <x v="0"/>
    <x v="0"/>
  </r>
  <r>
    <x v="337"/>
    <s v="Pune"/>
    <x v="5"/>
    <d v="2013-04-17T00:00:00"/>
    <s v="A Mishra"/>
    <s v="Subrata Roy Sahara Stadium"/>
    <s v="Pune Warriors"/>
    <s v="Sunrisers Hyderabad"/>
    <s v="Pune Warriors"/>
    <x v="0"/>
    <s v="Sunrisers Hyderabad"/>
    <s v="runs"/>
    <n v="11"/>
    <s v="N"/>
    <s v="Normal Match"/>
    <x v="0"/>
    <s v="AK Chaudhary"/>
    <x v="5"/>
    <x v="0"/>
    <x v="0"/>
    <x v="0"/>
  </r>
  <r>
    <x v="338"/>
    <s v="Jaipur"/>
    <x v="5"/>
    <d v="2013-04-17T00:00:00"/>
    <s v="AM Rahane"/>
    <s v="Sawai Mansingh Stadium"/>
    <s v="Rajasthan Royals"/>
    <s v="Mumbai Indians"/>
    <s v="Rajasthan Royals"/>
    <x v="1"/>
    <s v="Rajasthan Royals"/>
    <s v="runs"/>
    <n v="87"/>
    <s v="N"/>
    <s v="Normal Match"/>
    <x v="2"/>
    <s v="C Shamshuddin"/>
    <x v="5"/>
    <x v="0"/>
    <x v="1"/>
    <x v="1"/>
  </r>
  <r>
    <x v="339"/>
    <s v="Delhi"/>
    <x v="5"/>
    <d v="2013-04-18T00:00:00"/>
    <s v="MEK Hussey"/>
    <s v="Feroz Shah Kotla"/>
    <s v="Delhi Capitals"/>
    <s v="Chennai Super Kings"/>
    <s v="Chennai Super Kings"/>
    <x v="1"/>
    <s v="Chennai Super Kings"/>
    <s v="runs"/>
    <n v="86"/>
    <s v="N"/>
    <s v="Normal Match"/>
    <x v="11"/>
    <s v="VA Kulkarni"/>
    <x v="5"/>
    <x v="0"/>
    <x v="1"/>
    <x v="1"/>
  </r>
  <r>
    <x v="340"/>
    <s v="Hyderabad"/>
    <x v="5"/>
    <d v="2013-04-19T00:00:00"/>
    <s v="GH Vihari"/>
    <s v="Rajiv Gandhi International Stadium, Uppal"/>
    <s v="Sunrisers Hyderabad"/>
    <s v="Punjab Kings"/>
    <s v="Punjab Kings"/>
    <x v="1"/>
    <s v="Sunrisers Hyderabad"/>
    <s v="wickets"/>
    <n v="5"/>
    <s v="N"/>
    <s v="Normal Match"/>
    <x v="12"/>
    <s v="CK Nandan"/>
    <x v="5"/>
    <x v="1"/>
    <x v="0"/>
    <x v="0"/>
  </r>
  <r>
    <x v="341"/>
    <s v="Kolkata"/>
    <x v="5"/>
    <d v="2013-04-20T00:00:00"/>
    <s v="RA Jadeja"/>
    <s v="Eden Gardens"/>
    <s v="Kolkata Knight Riders"/>
    <s v="Chennai Super Kings"/>
    <s v="Kolkata Knight Riders"/>
    <x v="1"/>
    <s v="Chennai Super Kings"/>
    <s v="wickets"/>
    <n v="4"/>
    <s v="N"/>
    <s v="Normal Match"/>
    <x v="0"/>
    <s v="AK Chaudhary"/>
    <x v="5"/>
    <x v="1"/>
    <x v="0"/>
    <x v="0"/>
  </r>
  <r>
    <x v="342"/>
    <s v="Bangalore"/>
    <x v="5"/>
    <d v="2013-04-20T00:00:00"/>
    <s v="R Vinay Kumar"/>
    <s v="M. Chinnaswamy Stadium"/>
    <s v="Royal Challengers Bangalore"/>
    <s v="Rajasthan Royals"/>
    <s v="Royal Challengers Bangalore"/>
    <x v="0"/>
    <s v="Royal Challengers Bangalore"/>
    <s v="wickets"/>
    <n v="7"/>
    <s v="N"/>
    <s v="Normal Match"/>
    <x v="2"/>
    <s v="C Shamshuddin"/>
    <x v="5"/>
    <x v="1"/>
    <x v="1"/>
    <x v="1"/>
  </r>
  <r>
    <x v="343"/>
    <s v="Delhi"/>
    <x v="5"/>
    <d v="2013-04-21T00:00:00"/>
    <s v="V Sehwag"/>
    <s v="Feroz Shah Kotla"/>
    <s v="Delhi Capitals"/>
    <s v="Mumbai Indians"/>
    <s v="Mumbai Indians"/>
    <x v="1"/>
    <s v="Delhi Capitals"/>
    <s v="wickets"/>
    <n v="9"/>
    <s v="N"/>
    <s v="Normal Match"/>
    <x v="12"/>
    <s v="S Ravi"/>
    <x v="5"/>
    <x v="1"/>
    <x v="0"/>
    <x v="0"/>
  </r>
  <r>
    <x v="344"/>
    <s v="Chandigarh"/>
    <x v="5"/>
    <d v="2013-04-21T00:00:00"/>
    <s v="DA Miller"/>
    <s v="Punjab Cricket Association Stadium, Mohali"/>
    <s v="Punjab Kings"/>
    <s v="Pune Warriors"/>
    <s v="Punjab Kings"/>
    <x v="0"/>
    <s v="Punjab Kings"/>
    <s v="wickets"/>
    <n v="7"/>
    <s v="N"/>
    <s v="Normal Match"/>
    <x v="11"/>
    <s v="K Srinath"/>
    <x v="5"/>
    <x v="1"/>
    <x v="1"/>
    <x v="1"/>
  </r>
  <r>
    <x v="345"/>
    <s v="Chennai"/>
    <x v="5"/>
    <d v="2013-04-22T00:00:00"/>
    <s v="MEK Hussey"/>
    <s v="MA Chidambaram Stadium, Chepauk"/>
    <s v="Chennai Super Kings"/>
    <s v="Rajasthan Royals"/>
    <s v="Rajasthan Royals"/>
    <x v="1"/>
    <s v="Chennai Super Kings"/>
    <s v="wickets"/>
    <n v="5"/>
    <s v="N"/>
    <s v="Normal Match"/>
    <x v="13"/>
    <s v="AK Chaudhary"/>
    <x v="5"/>
    <x v="1"/>
    <x v="0"/>
    <x v="0"/>
  </r>
  <r>
    <x v="346"/>
    <s v="Bangalore"/>
    <x v="5"/>
    <d v="2013-04-23T00:00:00"/>
    <s v="CH Gayle"/>
    <s v="M. Chinnaswamy Stadium"/>
    <s v="Royal Challengers Bangalore"/>
    <s v="Pune Warriors"/>
    <s v="Pune Warriors"/>
    <x v="0"/>
    <s v="Royal Challengers Bangalore"/>
    <s v="runs"/>
    <n v="130"/>
    <s v="N"/>
    <s v="Normal Match"/>
    <x v="2"/>
    <s v="C Shamshuddin"/>
    <x v="5"/>
    <x v="0"/>
    <x v="0"/>
    <x v="0"/>
  </r>
  <r>
    <x v="347"/>
    <s v="Dharamsala"/>
    <x v="5"/>
    <d v="2013-05-16T00:00:00"/>
    <s v="DA Miller"/>
    <s v="Himachal Pradesh Cricket Association Stadium"/>
    <s v="Punjab Kings"/>
    <s v="Delhi Capitals"/>
    <s v="Delhi Capitals"/>
    <x v="0"/>
    <s v="Punjab Kings"/>
    <s v="runs"/>
    <n v="7"/>
    <s v="N"/>
    <s v="Normal Match"/>
    <x v="12"/>
    <s v="S Ravi"/>
    <x v="5"/>
    <x v="0"/>
    <x v="0"/>
    <x v="0"/>
  </r>
  <r>
    <x v="348"/>
    <s v="Kolkata"/>
    <x v="5"/>
    <d v="2013-04-24T00:00:00"/>
    <s v="DR Smith"/>
    <s v="Eden Gardens"/>
    <s v="Kolkata Knight Riders"/>
    <s v="Mumbai Indians"/>
    <s v="Kolkata Knight Riders"/>
    <x v="1"/>
    <s v="Mumbai Indians"/>
    <s v="wickets"/>
    <n v="5"/>
    <s v="N"/>
    <s v="Normal Match"/>
    <x v="12"/>
    <s v="S Ravi"/>
    <x v="5"/>
    <x v="1"/>
    <x v="0"/>
    <x v="0"/>
  </r>
  <r>
    <x v="349"/>
    <s v="Chennai"/>
    <x v="5"/>
    <d v="2013-04-25T00:00:00"/>
    <s v="MS Dhoni"/>
    <s v="MA Chidambaram Stadium, Chepauk"/>
    <s v="Chennai Super Kings"/>
    <s v="Sunrisers Hyderabad"/>
    <s v="Sunrisers Hyderabad"/>
    <x v="1"/>
    <s v="Chennai Super Kings"/>
    <s v="wickets"/>
    <n v="5"/>
    <s v="N"/>
    <s v="Normal Match"/>
    <x v="2"/>
    <s v="S Das"/>
    <x v="5"/>
    <x v="1"/>
    <x v="0"/>
    <x v="0"/>
  </r>
  <r>
    <x v="350"/>
    <s v="Kolkata"/>
    <x v="5"/>
    <d v="2013-04-26T00:00:00"/>
    <s v="JH Kallis"/>
    <s v="Eden Gardens"/>
    <s v="Kolkata Knight Riders"/>
    <s v="Punjab Kings"/>
    <s v="Punjab Kings"/>
    <x v="1"/>
    <s v="Kolkata Knight Riders"/>
    <s v="wickets"/>
    <n v="6"/>
    <s v="N"/>
    <s v="Normal Match"/>
    <x v="28"/>
    <s v="S Ravi"/>
    <x v="5"/>
    <x v="1"/>
    <x v="0"/>
    <x v="0"/>
  </r>
  <r>
    <x v="351"/>
    <s v="Jaipur"/>
    <x v="5"/>
    <d v="2013-04-27T00:00:00"/>
    <s v="JP Faulkner"/>
    <s v="Sawai Mansingh Stadium"/>
    <s v="Rajasthan Royals"/>
    <s v="Sunrisers Hyderabad"/>
    <s v="Sunrisers Hyderabad"/>
    <x v="1"/>
    <s v="Rajasthan Royals"/>
    <s v="wickets"/>
    <n v="8"/>
    <s v="N"/>
    <s v="Normal Match"/>
    <x v="26"/>
    <s v="K Srinath"/>
    <x v="5"/>
    <x v="1"/>
    <x v="0"/>
    <x v="0"/>
  </r>
  <r>
    <x v="352"/>
    <s v="Mumbai"/>
    <x v="5"/>
    <d v="2013-04-27T00:00:00"/>
    <s v="DR Smith"/>
    <s v="Wankhede Stadium"/>
    <s v="Mumbai Indians"/>
    <s v="Royal Challengers Bangalore"/>
    <s v="Mumbai Indians"/>
    <x v="1"/>
    <s v="Mumbai Indians"/>
    <s v="runs"/>
    <n v="58"/>
    <s v="N"/>
    <s v="Normal Match"/>
    <x v="0"/>
    <s v="S Asnani"/>
    <x v="5"/>
    <x v="0"/>
    <x v="1"/>
    <x v="1"/>
  </r>
  <r>
    <x v="353"/>
    <s v="Chennai"/>
    <x v="5"/>
    <d v="2013-04-28T00:00:00"/>
    <s v="MEK Hussey"/>
    <s v="MA Chidambaram Stadium, Chepauk"/>
    <s v="Chennai Super Kings"/>
    <s v="Kolkata Knight Riders"/>
    <s v="Kolkata Knight Riders"/>
    <x v="0"/>
    <s v="Chennai Super Kings"/>
    <s v="runs"/>
    <n v="14"/>
    <s v="N"/>
    <s v="Normal Match"/>
    <x v="2"/>
    <s v="SJA Taufel"/>
    <x v="5"/>
    <x v="0"/>
    <x v="0"/>
    <x v="0"/>
  </r>
  <r>
    <x v="354"/>
    <s v="Raipur"/>
    <x v="5"/>
    <d v="2013-04-28T00:00:00"/>
    <s v="DA Warner"/>
    <s v="Shaheed Veer Narayan Singh International Stadium"/>
    <s v="Delhi Capitals"/>
    <s v="Pune Warriors"/>
    <s v="Pune Warriors"/>
    <x v="0"/>
    <s v="Delhi Capitals"/>
    <s v="runs"/>
    <n v="15"/>
    <s v="N"/>
    <s v="Normal Match"/>
    <x v="28"/>
    <s v="S Ravi"/>
    <x v="5"/>
    <x v="0"/>
    <x v="0"/>
    <x v="0"/>
  </r>
  <r>
    <x v="355"/>
    <s v="Jaipur"/>
    <x v="5"/>
    <d v="2013-04-29T00:00:00"/>
    <s v="SV Samson"/>
    <s v="Sawai Mansingh Stadium"/>
    <s v="Rajasthan Royals"/>
    <s v="Royal Challengers Bangalore"/>
    <s v="Rajasthan Royals"/>
    <x v="0"/>
    <s v="Rajasthan Royals"/>
    <s v="wickets"/>
    <n v="4"/>
    <s v="N"/>
    <s v="Normal Match"/>
    <x v="11"/>
    <s v="K Srinath"/>
    <x v="5"/>
    <x v="1"/>
    <x v="1"/>
    <x v="1"/>
  </r>
  <r>
    <x v="356"/>
    <s v="Mumbai"/>
    <x v="5"/>
    <d v="2013-04-29T00:00:00"/>
    <s v="RG Sharma"/>
    <s v="Wankhede Stadium"/>
    <s v="Mumbai Indians"/>
    <s v="Punjab Kings"/>
    <s v="Mumbai Indians"/>
    <x v="1"/>
    <s v="Mumbai Indians"/>
    <s v="runs"/>
    <n v="4"/>
    <s v="N"/>
    <s v="Normal Match"/>
    <x v="0"/>
    <s v="AK Chaudhary"/>
    <x v="5"/>
    <x v="0"/>
    <x v="1"/>
    <x v="1"/>
  </r>
  <r>
    <x v="357"/>
    <s v="Pune"/>
    <x v="5"/>
    <d v="2013-04-30T00:00:00"/>
    <s v="MS Dhoni"/>
    <s v="Subrata Roy Sahara Stadium"/>
    <s v="Pune Warriors"/>
    <s v="Chennai Super Kings"/>
    <s v="Chennai Super Kings"/>
    <x v="1"/>
    <s v="Chennai Super Kings"/>
    <s v="runs"/>
    <n v="37"/>
    <s v="N"/>
    <s v="Normal Match"/>
    <x v="21"/>
    <s v="SJA Taufel"/>
    <x v="5"/>
    <x v="0"/>
    <x v="1"/>
    <x v="1"/>
  </r>
  <r>
    <x v="358"/>
    <s v="Hyderabad"/>
    <x v="5"/>
    <d v="2013-05-01T00:00:00"/>
    <s v="I Sharma"/>
    <s v="Rajiv Gandhi International Stadium, Uppal"/>
    <s v="Sunrisers Hyderabad"/>
    <s v="Mumbai Indians"/>
    <s v="Mumbai Indians"/>
    <x v="1"/>
    <s v="Sunrisers Hyderabad"/>
    <s v="wickets"/>
    <n v="7"/>
    <s v="N"/>
    <s v="Normal Match"/>
    <x v="0"/>
    <s v="S Asnani"/>
    <x v="5"/>
    <x v="1"/>
    <x v="0"/>
    <x v="0"/>
  </r>
  <r>
    <x v="359"/>
    <s v="Raipur"/>
    <x v="5"/>
    <d v="2013-05-01T00:00:00"/>
    <s v="DA Warner"/>
    <s v="Shaheed Veer Narayan Singh International Stadium"/>
    <s v="Delhi Capitals"/>
    <s v="Kolkata Knight Riders"/>
    <s v="Kolkata Knight Riders"/>
    <x v="1"/>
    <s v="Delhi Capitals"/>
    <s v="wickets"/>
    <n v="7"/>
    <s v="N"/>
    <s v="Normal Match"/>
    <x v="12"/>
    <s v="CK Nandan"/>
    <x v="5"/>
    <x v="1"/>
    <x v="0"/>
    <x v="0"/>
  </r>
  <r>
    <x v="360"/>
    <s v="Chennai"/>
    <x v="5"/>
    <d v="2013-05-02T00:00:00"/>
    <s v="SK Raina"/>
    <s v="MA Chidambaram Stadium, Chepauk"/>
    <s v="Chennai Super Kings"/>
    <s v="Punjab Kings"/>
    <s v="Chennai Super Kings"/>
    <x v="1"/>
    <s v="Chennai Super Kings"/>
    <s v="runs"/>
    <n v="15"/>
    <s v="N"/>
    <s v="Normal Match"/>
    <x v="11"/>
    <s v="VA Kulkarni"/>
    <x v="5"/>
    <x v="0"/>
    <x v="1"/>
    <x v="1"/>
  </r>
  <r>
    <x v="361"/>
    <s v="Pune"/>
    <x v="5"/>
    <d v="2013-05-02T00:00:00"/>
    <s v="AB de Villiers"/>
    <s v="Subrata Roy Sahara Stadium"/>
    <s v="Pune Warriors"/>
    <s v="Royal Challengers Bangalore"/>
    <s v="Royal Challengers Bangalore"/>
    <x v="1"/>
    <s v="Royal Challengers Bangalore"/>
    <s v="runs"/>
    <n v="17"/>
    <s v="N"/>
    <s v="Normal Match"/>
    <x v="2"/>
    <s v="C Shamshuddin"/>
    <x v="5"/>
    <x v="0"/>
    <x v="1"/>
    <x v="1"/>
  </r>
  <r>
    <x v="362"/>
    <s v="Kolkata"/>
    <x v="5"/>
    <d v="2013-05-03T00:00:00"/>
    <s v="YK Pathan"/>
    <s v="Eden Gardens"/>
    <s v="Kolkata Knight Riders"/>
    <s v="Rajasthan Royals"/>
    <s v="Rajasthan Royals"/>
    <x v="1"/>
    <s v="Kolkata Knight Riders"/>
    <s v="wickets"/>
    <n v="8"/>
    <s v="N"/>
    <s v="Normal Match"/>
    <x v="12"/>
    <s v="CK Nandan"/>
    <x v="5"/>
    <x v="1"/>
    <x v="0"/>
    <x v="0"/>
  </r>
  <r>
    <x v="363"/>
    <s v="Hyderabad"/>
    <x v="5"/>
    <d v="2013-05-04T00:00:00"/>
    <s v="DJG Sammy"/>
    <s v="Rajiv Gandhi International Stadium, Uppal"/>
    <s v="Sunrisers Hyderabad"/>
    <s v="Delhi Capitals"/>
    <s v="Delhi Capitals"/>
    <x v="1"/>
    <s v="Sunrisers Hyderabad"/>
    <s v="wickets"/>
    <n v="6"/>
    <s v="N"/>
    <s v="Normal Match"/>
    <x v="0"/>
    <s v="S Asnani"/>
    <x v="5"/>
    <x v="1"/>
    <x v="0"/>
    <x v="0"/>
  </r>
  <r>
    <x v="364"/>
    <s v="Bangalore"/>
    <x v="5"/>
    <d v="2013-05-14T00:00:00"/>
    <s v="AC Gilchrist"/>
    <s v="M. Chinnaswamy Stadium"/>
    <s v="Royal Challengers Bangalore"/>
    <s v="Punjab Kings"/>
    <s v="Punjab Kings"/>
    <x v="0"/>
    <s v="Punjab Kings"/>
    <s v="wickets"/>
    <n v="7"/>
    <s v="N"/>
    <s v="Normal Match"/>
    <x v="12"/>
    <s v="S Ravi"/>
    <x v="5"/>
    <x v="1"/>
    <x v="1"/>
    <x v="1"/>
  </r>
  <r>
    <x v="365"/>
    <s v="Mumbai"/>
    <x v="5"/>
    <d v="2013-05-05T00:00:00"/>
    <s v="MG Johnson"/>
    <s v="Wankhede Stadium"/>
    <s v="Mumbai Indians"/>
    <s v="Chennai Super Kings"/>
    <s v="Mumbai Indians"/>
    <x v="1"/>
    <s v="Mumbai Indians"/>
    <s v="runs"/>
    <n v="60"/>
    <s v="N"/>
    <s v="Normal Match"/>
    <x v="12"/>
    <s v="CK Nandan"/>
    <x v="5"/>
    <x v="0"/>
    <x v="1"/>
    <x v="1"/>
  </r>
  <r>
    <x v="366"/>
    <s v="Jaipur"/>
    <x v="5"/>
    <d v="2013-05-05T00:00:00"/>
    <s v="AM Rahane"/>
    <s v="Sawai Mansingh Stadium"/>
    <s v="Rajasthan Royals"/>
    <s v="Pune Warriors"/>
    <s v="Pune Warriors"/>
    <x v="1"/>
    <s v="Rajasthan Royals"/>
    <s v="wickets"/>
    <n v="5"/>
    <s v="N"/>
    <s v="Normal Match"/>
    <x v="29"/>
    <s v="RJ Tucker"/>
    <x v="5"/>
    <x v="1"/>
    <x v="0"/>
    <x v="0"/>
  </r>
  <r>
    <x v="367"/>
    <s v="Bangalore"/>
    <x v="5"/>
    <d v="2013-04-09T00:00:00"/>
    <s v="V Kohli"/>
    <s v="M. Chinnaswamy Stadium"/>
    <s v="Royal Challengers Bangalore"/>
    <s v="Sunrisers Hyderabad"/>
    <s v="Sunrisers Hyderabad"/>
    <x v="1"/>
    <s v="Royal Challengers Bangalore"/>
    <s v="wickets"/>
    <n v="7"/>
    <s v="N"/>
    <s v="Normal Match"/>
    <x v="19"/>
    <s v="SJA Taufel"/>
    <x v="5"/>
    <x v="1"/>
    <x v="0"/>
    <x v="0"/>
  </r>
  <r>
    <x v="368"/>
    <s v="Jaipur"/>
    <x v="5"/>
    <d v="2013-05-07T00:00:00"/>
    <s v="AM Rahane"/>
    <s v="Sawai Mansingh Stadium"/>
    <s v="Rajasthan Royals"/>
    <s v="Delhi Capitals"/>
    <s v="Delhi Capitals"/>
    <x v="1"/>
    <s v="Rajasthan Royals"/>
    <s v="wickets"/>
    <n v="9"/>
    <s v="N"/>
    <s v="Normal Match"/>
    <x v="2"/>
    <s v="RJ Tucker"/>
    <x v="5"/>
    <x v="1"/>
    <x v="0"/>
    <x v="0"/>
  </r>
  <r>
    <x v="369"/>
    <s v="Mumbai"/>
    <x v="5"/>
    <d v="2013-05-07T00:00:00"/>
    <s v="SR Tendulkar"/>
    <s v="Wankhede Stadium"/>
    <s v="Mumbai Indians"/>
    <s v="Kolkata Knight Riders"/>
    <s v="Mumbai Indians"/>
    <x v="1"/>
    <s v="Mumbai Indians"/>
    <s v="runs"/>
    <n v="65"/>
    <s v="N"/>
    <s v="Normal Match"/>
    <x v="12"/>
    <s v="S Ravi"/>
    <x v="5"/>
    <x v="0"/>
    <x v="1"/>
    <x v="1"/>
  </r>
  <r>
    <x v="370"/>
    <s v="Hyderabad"/>
    <x v="5"/>
    <d v="2013-05-08T00:00:00"/>
    <s v="SK Raina"/>
    <s v="Rajiv Gandhi International Stadium, Uppal"/>
    <s v="Sunrisers Hyderabad"/>
    <s v="Chennai Super Kings"/>
    <s v="Sunrisers Hyderabad"/>
    <x v="0"/>
    <s v="Chennai Super Kings"/>
    <s v="runs"/>
    <n v="77"/>
    <s v="N"/>
    <s v="Normal Match"/>
    <x v="21"/>
    <s v="NJ Llong"/>
    <x v="5"/>
    <x v="0"/>
    <x v="0"/>
    <x v="0"/>
  </r>
  <r>
    <x v="371"/>
    <s v="Chandigarh"/>
    <x v="5"/>
    <d v="2013-05-09T00:00:00"/>
    <s v="KK Cooper"/>
    <s v="Punjab Cricket Association Stadium, Mohali"/>
    <s v="Punjab Kings"/>
    <s v="Rajasthan Royals"/>
    <s v="Rajasthan Royals"/>
    <x v="0"/>
    <s v="Rajasthan Royals"/>
    <s v="wickets"/>
    <n v="8"/>
    <s v="N"/>
    <s v="Normal Match"/>
    <x v="12"/>
    <s v="S Ravi"/>
    <x v="5"/>
    <x v="1"/>
    <x v="1"/>
    <x v="1"/>
  </r>
  <r>
    <x v="372"/>
    <s v="Pune"/>
    <x v="5"/>
    <d v="2013-05-09T00:00:00"/>
    <s v="G Gambhir"/>
    <s v="Subrata Roy Sahara Stadium"/>
    <s v="Pune Warriors"/>
    <s v="Kolkata Knight Riders"/>
    <s v="Kolkata Knight Riders"/>
    <x v="1"/>
    <s v="Kolkata Knight Riders"/>
    <s v="runs"/>
    <n v="46"/>
    <s v="N"/>
    <s v="Normal Match"/>
    <x v="0"/>
    <s v="S Asnani"/>
    <x v="5"/>
    <x v="0"/>
    <x v="1"/>
    <x v="1"/>
  </r>
  <r>
    <x v="373"/>
    <s v="Delhi"/>
    <x v="5"/>
    <d v="2013-05-10T00:00:00"/>
    <s v="JD Unadkat"/>
    <s v="Feroz Shah Kotla"/>
    <s v="Delhi Capitals"/>
    <s v="Royal Challengers Bangalore"/>
    <s v="Delhi Capitals"/>
    <x v="0"/>
    <s v="Royal Challengers Bangalore"/>
    <s v="runs"/>
    <n v="4"/>
    <s v="N"/>
    <s v="Normal Match"/>
    <x v="30"/>
    <s v="K Srinath"/>
    <x v="5"/>
    <x v="0"/>
    <x v="0"/>
    <x v="0"/>
  </r>
  <r>
    <x v="374"/>
    <s v="Pune"/>
    <x v="5"/>
    <d v="2013-05-11T00:00:00"/>
    <s v="MG Johnson"/>
    <s v="Subrata Roy Sahara Stadium"/>
    <s v="Pune Warriors"/>
    <s v="Mumbai Indians"/>
    <s v="Pune Warriors"/>
    <x v="1"/>
    <s v="Mumbai Indians"/>
    <s v="wickets"/>
    <n v="5"/>
    <s v="N"/>
    <s v="Normal Match"/>
    <x v="0"/>
    <s v="AK Chaudhary"/>
    <x v="5"/>
    <x v="1"/>
    <x v="0"/>
    <x v="0"/>
  </r>
  <r>
    <x v="375"/>
    <s v="Chandigarh"/>
    <x v="5"/>
    <d v="2013-05-11T00:00:00"/>
    <s v="PA Patel"/>
    <s v="Punjab Cricket Association Stadium, Mohali"/>
    <s v="Punjab Kings"/>
    <s v="Sunrisers Hyderabad"/>
    <s v="Punjab Kings"/>
    <x v="0"/>
    <s v="Sunrisers Hyderabad"/>
    <s v="runs"/>
    <n v="30"/>
    <s v="N"/>
    <s v="Normal Match"/>
    <x v="21"/>
    <s v="RJ Tucker"/>
    <x v="5"/>
    <x v="0"/>
    <x v="0"/>
    <x v="0"/>
  </r>
  <r>
    <x v="376"/>
    <s v="Ranchi"/>
    <x v="5"/>
    <d v="2013-05-12T00:00:00"/>
    <s v="JH Kallis"/>
    <s v="JSCA International Stadium Complex"/>
    <s v="Kolkata Knight Riders"/>
    <s v="Royal Challengers Bangalore"/>
    <s v="Kolkata Knight Riders"/>
    <x v="0"/>
    <s v="Kolkata Knight Riders"/>
    <s v="wickets"/>
    <n v="5"/>
    <s v="N"/>
    <s v="Normal Match"/>
    <x v="30"/>
    <s v="K Srinath"/>
    <x v="5"/>
    <x v="1"/>
    <x v="1"/>
    <x v="1"/>
  </r>
  <r>
    <x v="377"/>
    <s v="Jaipur"/>
    <x v="5"/>
    <d v="2013-05-12T00:00:00"/>
    <s v="SR Watson"/>
    <s v="Sawai Mansingh Stadium"/>
    <s v="Rajasthan Royals"/>
    <s v="Chennai Super Kings"/>
    <s v="Rajasthan Royals"/>
    <x v="0"/>
    <s v="Rajasthan Royals"/>
    <s v="wickets"/>
    <n v="5"/>
    <s v="N"/>
    <s v="Normal Match"/>
    <x v="12"/>
    <s v="CK Nandan"/>
    <x v="5"/>
    <x v="1"/>
    <x v="1"/>
    <x v="1"/>
  </r>
  <r>
    <x v="378"/>
    <s v="Delhi"/>
    <x v="5"/>
    <d v="2013-04-23T00:00:00"/>
    <s v="Harmeet Singh"/>
    <s v="Feroz Shah Kotla"/>
    <s v="Delhi Capitals"/>
    <s v="Punjab Kings"/>
    <s v="Punjab Kings"/>
    <x v="0"/>
    <s v="Punjab Kings"/>
    <s v="wickets"/>
    <n v="5"/>
    <s v="N"/>
    <s v="Normal Match"/>
    <x v="26"/>
    <s v="K Srinath"/>
    <x v="5"/>
    <x v="1"/>
    <x v="1"/>
    <x v="1"/>
  </r>
  <r>
    <x v="379"/>
    <s v="Mumbai"/>
    <x v="5"/>
    <d v="2013-05-13T00:00:00"/>
    <s v="KA Pollard"/>
    <s v="Wankhede Stadium"/>
    <s v="Mumbai Indians"/>
    <s v="Sunrisers Hyderabad"/>
    <s v="Sunrisers Hyderabad"/>
    <x v="1"/>
    <s v="Mumbai Indians"/>
    <s v="wickets"/>
    <n v="7"/>
    <s v="N"/>
    <s v="Normal Match"/>
    <x v="25"/>
    <s v="SJA Taufel"/>
    <x v="5"/>
    <x v="1"/>
    <x v="0"/>
    <x v="0"/>
  </r>
  <r>
    <x v="380"/>
    <s v="Ranchi"/>
    <x v="5"/>
    <d v="2013-05-15T00:00:00"/>
    <s v="MK Pandey"/>
    <s v="JSCA International Stadium Complex"/>
    <s v="Kolkata Knight Riders"/>
    <s v="Pune Warriors"/>
    <s v="Kolkata Knight Riders"/>
    <x v="0"/>
    <s v="Pune Warriors"/>
    <s v="runs"/>
    <n v="7"/>
    <s v="N"/>
    <s v="Normal Match"/>
    <x v="30"/>
    <s v="K Srinath"/>
    <x v="5"/>
    <x v="0"/>
    <x v="0"/>
    <x v="0"/>
  </r>
  <r>
    <x v="381"/>
    <s v="Chennai"/>
    <x v="5"/>
    <d v="2013-05-14T00:00:00"/>
    <s v="MS Dhoni"/>
    <s v="MA Chidambaram Stadium, Chepauk"/>
    <s v="Chennai Super Kings"/>
    <s v="Delhi Capitals"/>
    <s v="Chennai Super Kings"/>
    <x v="1"/>
    <s v="Chennai Super Kings"/>
    <s v="runs"/>
    <n v="33"/>
    <s v="N"/>
    <s v="Normal Match"/>
    <x v="29"/>
    <s v="RJ Tucker"/>
    <x v="5"/>
    <x v="0"/>
    <x v="1"/>
    <x v="1"/>
  </r>
  <r>
    <x v="382"/>
    <s v="Mumbai"/>
    <x v="5"/>
    <d v="2013-05-15T00:00:00"/>
    <s v="AP Tare"/>
    <s v="Wankhede Stadium"/>
    <s v="Mumbai Indians"/>
    <s v="Rajasthan Royals"/>
    <s v="Rajasthan Royals"/>
    <x v="0"/>
    <s v="Mumbai Indians"/>
    <s v="runs"/>
    <n v="14"/>
    <s v="N"/>
    <s v="Normal Match"/>
    <x v="0"/>
    <s v="S Asnani"/>
    <x v="5"/>
    <x v="0"/>
    <x v="0"/>
    <x v="0"/>
  </r>
  <r>
    <x v="383"/>
    <s v="Chandigarh"/>
    <x v="5"/>
    <d v="2013-05-06T00:00:00"/>
    <s v="DA Miller"/>
    <s v="Punjab Cricket Association Stadium, Mohali"/>
    <s v="Punjab Kings"/>
    <s v="Royal Challengers Bangalore"/>
    <s v="Punjab Kings"/>
    <x v="0"/>
    <s v="Punjab Kings"/>
    <s v="wickets"/>
    <n v="6"/>
    <s v="N"/>
    <s v="Normal Match"/>
    <x v="26"/>
    <s v="NJ Llong"/>
    <x v="5"/>
    <x v="1"/>
    <x v="1"/>
    <x v="1"/>
  </r>
  <r>
    <x v="384"/>
    <s v="Hyderabad"/>
    <x v="5"/>
    <d v="2013-05-17T00:00:00"/>
    <s v="A Mishra"/>
    <s v="Rajiv Gandhi International Stadium, Uppal"/>
    <s v="Sunrisers Hyderabad"/>
    <s v="Rajasthan Royals"/>
    <s v="Sunrisers Hyderabad"/>
    <x v="1"/>
    <s v="Sunrisers Hyderabad"/>
    <s v="runs"/>
    <n v="23"/>
    <s v="N"/>
    <s v="Normal Match"/>
    <x v="0"/>
    <s v="AK Chaudhary"/>
    <x v="5"/>
    <x v="0"/>
    <x v="1"/>
    <x v="1"/>
  </r>
  <r>
    <x v="385"/>
    <s v="Dharamsala"/>
    <x v="5"/>
    <d v="2013-05-18T00:00:00"/>
    <s v="Azhar Mahmood"/>
    <s v="Himachal Pradesh Cricket Association Stadium"/>
    <s v="Punjab Kings"/>
    <s v="Mumbai Indians"/>
    <s v="Mumbai Indians"/>
    <x v="0"/>
    <s v="Punjab Kings"/>
    <s v="runs"/>
    <n v="50"/>
    <s v="N"/>
    <s v="Normal Match"/>
    <x v="12"/>
    <s v="CK Nandan"/>
    <x v="5"/>
    <x v="0"/>
    <x v="0"/>
    <x v="0"/>
  </r>
  <r>
    <x v="386"/>
    <s v="Pune"/>
    <x v="5"/>
    <d v="2013-05-19T00:00:00"/>
    <s v="LJ Wright"/>
    <s v="Subrata Roy Sahara Stadium"/>
    <s v="Pune Warriors"/>
    <s v="Delhi Capitals"/>
    <s v="Pune Warriors"/>
    <x v="1"/>
    <s v="Pune Warriors"/>
    <s v="runs"/>
    <n v="38"/>
    <s v="N"/>
    <s v="Normal Match"/>
    <x v="30"/>
    <s v="SJA Taufel"/>
    <x v="5"/>
    <x v="0"/>
    <x v="1"/>
    <x v="1"/>
  </r>
  <r>
    <x v="387"/>
    <s v="Bangalore"/>
    <x v="5"/>
    <d v="2013-05-18T00:00:00"/>
    <s v="V Kohli"/>
    <s v="M. Chinnaswamy Stadium"/>
    <s v="Royal Challengers Bangalore"/>
    <s v="Chennai Super Kings"/>
    <s v="Chennai Super Kings"/>
    <x v="0"/>
    <s v="Royal Challengers Bangalore"/>
    <s v="runs"/>
    <n v="24"/>
    <s v="N"/>
    <s v="Normal Match"/>
    <x v="29"/>
    <s v="RJ Tucker"/>
    <x v="5"/>
    <x v="0"/>
    <x v="0"/>
    <x v="0"/>
  </r>
  <r>
    <x v="388"/>
    <s v="Hyderabad"/>
    <x v="5"/>
    <d v="2013-05-19T00:00:00"/>
    <s v="PA Patel"/>
    <s v="Rajiv Gandhi International Stadium, Uppal"/>
    <s v="Sunrisers Hyderabad"/>
    <s v="Kolkata Knight Riders"/>
    <s v="Kolkata Knight Riders"/>
    <x v="1"/>
    <s v="Sunrisers Hyderabad"/>
    <s v="wickets"/>
    <n v="5"/>
    <s v="N"/>
    <s v="Normal Match"/>
    <x v="0"/>
    <s v="S Asnani"/>
    <x v="5"/>
    <x v="1"/>
    <x v="0"/>
    <x v="0"/>
  </r>
  <r>
    <x v="389"/>
    <s v="Delhi"/>
    <x v="5"/>
    <d v="2013-05-21T00:00:00"/>
    <s v="MEK Hussey"/>
    <s v="Feroz Shah Kotla"/>
    <s v="Chennai Super Kings"/>
    <s v="Mumbai Indians"/>
    <s v="Chennai Super Kings"/>
    <x v="1"/>
    <s v="Chennai Super Kings"/>
    <s v="runs"/>
    <n v="48"/>
    <s v="N"/>
    <s v="Normal Match"/>
    <x v="30"/>
    <s v="RJ Tucker"/>
    <x v="5"/>
    <x v="0"/>
    <x v="1"/>
    <x v="1"/>
  </r>
  <r>
    <x v="390"/>
    <s v="Delhi"/>
    <x v="5"/>
    <d v="2013-05-22T00:00:00"/>
    <s v="BJ Hodge"/>
    <s v="Feroz Shah Kotla"/>
    <s v="Rajasthan Royals"/>
    <s v="Sunrisers Hyderabad"/>
    <s v="Sunrisers Hyderabad"/>
    <x v="1"/>
    <s v="Rajasthan Royals"/>
    <s v="wickets"/>
    <n v="4"/>
    <s v="N"/>
    <s v="Normal Match"/>
    <x v="19"/>
    <s v="RJ Tucker"/>
    <x v="5"/>
    <x v="1"/>
    <x v="0"/>
    <x v="0"/>
  </r>
  <r>
    <x v="391"/>
    <s v="Kolkata"/>
    <x v="5"/>
    <d v="2013-05-24T00:00:00"/>
    <s v="Harbhajan Singh"/>
    <s v="Eden Gardens"/>
    <s v="Mumbai Indians"/>
    <s v="Rajasthan Royals"/>
    <s v="Rajasthan Royals"/>
    <x v="1"/>
    <s v="Mumbai Indians"/>
    <s v="wickets"/>
    <n v="4"/>
    <s v="N"/>
    <s v="Normal Match"/>
    <x v="29"/>
    <s v="SJA Taufel"/>
    <x v="5"/>
    <x v="1"/>
    <x v="0"/>
    <x v="0"/>
  </r>
  <r>
    <x v="392"/>
    <s v="Kolkata"/>
    <x v="5"/>
    <d v="2013-05-26T00:00:00"/>
    <s v="KA Pollard"/>
    <s v="Eden Gardens"/>
    <s v="Chennai Super Kings"/>
    <s v="Mumbai Indians"/>
    <s v="Mumbai Indians"/>
    <x v="1"/>
    <s v="Mumbai Indians"/>
    <s v="runs"/>
    <n v="23"/>
    <s v="N"/>
    <s v="Normal Match"/>
    <x v="12"/>
    <s v="SJA Taufel"/>
    <x v="5"/>
    <x v="0"/>
    <x v="1"/>
    <x v="1"/>
  </r>
  <r>
    <x v="393"/>
    <s v="Abu Dhabi"/>
    <x v="6"/>
    <d v="2014-04-16T00:00:00"/>
    <s v="JH Kallis"/>
    <s v="Sheikh Zayed Stadium"/>
    <s v="Mumbai Indians"/>
    <s v="Kolkata Knight Riders"/>
    <s v="Kolkata Knight Riders"/>
    <x v="1"/>
    <s v="Kolkata Knight Riders"/>
    <s v="runs"/>
    <n v="41"/>
    <s v="N"/>
    <s v="Normal Match"/>
    <x v="11"/>
    <s v="RK Illingworth"/>
    <x v="6"/>
    <x v="0"/>
    <x v="1"/>
    <x v="1"/>
  </r>
  <r>
    <x v="394"/>
    <s v="Unknown"/>
    <x v="6"/>
    <d v="2014-04-17T00:00:00"/>
    <s v="YS Chahal"/>
    <s v="Sharjah Cricket Stadium"/>
    <s v="Delhi Capitals"/>
    <s v="Royal Challengers Bangalore"/>
    <s v="Royal Challengers Bangalore"/>
    <x v="0"/>
    <s v="Royal Challengers Bangalore"/>
    <s v="wickets"/>
    <n v="8"/>
    <s v="N"/>
    <s v="Normal Match"/>
    <x v="2"/>
    <s v="S Ravi"/>
    <x v="6"/>
    <x v="1"/>
    <x v="1"/>
    <x v="1"/>
  </r>
  <r>
    <x v="395"/>
    <s v="Abu Dhabi"/>
    <x v="6"/>
    <d v="2014-04-18T00:00:00"/>
    <s v="GJ Maxwell"/>
    <s v="Sheikh Zayed Stadium"/>
    <s v="Chennai Super Kings"/>
    <s v="Punjab Kings"/>
    <s v="Chennai Super Kings"/>
    <x v="1"/>
    <s v="Punjab Kings"/>
    <s v="wickets"/>
    <n v="6"/>
    <s v="N"/>
    <s v="Normal Match"/>
    <x v="31"/>
    <s v="C Shamshuddin"/>
    <x v="6"/>
    <x v="1"/>
    <x v="0"/>
    <x v="0"/>
  </r>
  <r>
    <x v="396"/>
    <s v="Abu Dhabi"/>
    <x v="6"/>
    <d v="2014-04-18T00:00:00"/>
    <s v="AM Rahane"/>
    <s v="Sheikh Zayed Stadium"/>
    <s v="Sunrisers Hyderabad"/>
    <s v="Rajasthan Royals"/>
    <s v="Rajasthan Royals"/>
    <x v="0"/>
    <s v="Rajasthan Royals"/>
    <s v="wickets"/>
    <n v="4"/>
    <s v="N"/>
    <s v="Normal Match"/>
    <x v="4"/>
    <s v="RK Illingworth"/>
    <x v="6"/>
    <x v="1"/>
    <x v="1"/>
    <x v="1"/>
  </r>
  <r>
    <x v="397"/>
    <s v="Unknown"/>
    <x v="6"/>
    <d v="2014-04-19T00:00:00"/>
    <s v="PA Patel"/>
    <s v="Dubai International Cricket Stadium"/>
    <s v="Royal Challengers Bangalore"/>
    <s v="Mumbai Indians"/>
    <s v="Royal Challengers Bangalore"/>
    <x v="0"/>
    <s v="Royal Challengers Bangalore"/>
    <s v="wickets"/>
    <n v="7"/>
    <s v="N"/>
    <s v="Normal Match"/>
    <x v="2"/>
    <s v="AK Chaudhary"/>
    <x v="6"/>
    <x v="1"/>
    <x v="1"/>
    <x v="1"/>
  </r>
  <r>
    <x v="398"/>
    <s v="Unknown"/>
    <x v="6"/>
    <d v="2014-04-19T00:00:00"/>
    <s v="JP Duminy"/>
    <s v="Dubai International Cricket Stadium"/>
    <s v="Kolkata Knight Riders"/>
    <s v="Delhi Capitals"/>
    <s v="Kolkata Knight Riders"/>
    <x v="1"/>
    <s v="Delhi Capitals"/>
    <s v="wickets"/>
    <n v="4"/>
    <s v="N"/>
    <s v="Normal Match"/>
    <x v="2"/>
    <s v="VA Kulkarni"/>
    <x v="6"/>
    <x v="1"/>
    <x v="0"/>
    <x v="0"/>
  </r>
  <r>
    <x v="399"/>
    <s v="Unknown"/>
    <x v="6"/>
    <d v="2014-04-20T00:00:00"/>
    <s v="GJ Maxwell"/>
    <s v="Sharjah Cricket Stadium"/>
    <s v="Rajasthan Royals"/>
    <s v="Punjab Kings"/>
    <s v="Punjab Kings"/>
    <x v="0"/>
    <s v="Punjab Kings"/>
    <s v="wickets"/>
    <n v="7"/>
    <s v="N"/>
    <s v="Normal Match"/>
    <x v="4"/>
    <s v="M Erasmus"/>
    <x v="6"/>
    <x v="1"/>
    <x v="1"/>
    <x v="1"/>
  </r>
  <r>
    <x v="400"/>
    <s v="Abu Dhabi"/>
    <x v="6"/>
    <d v="2014-04-21T00:00:00"/>
    <s v="SK Raina"/>
    <s v="Sheikh Zayed Stadium"/>
    <s v="Chennai Super Kings"/>
    <s v="Delhi Capitals"/>
    <s v="Chennai Super Kings"/>
    <x v="1"/>
    <s v="Chennai Super Kings"/>
    <s v="runs"/>
    <n v="93"/>
    <s v="N"/>
    <s v="Normal Match"/>
    <x v="31"/>
    <s v="C Shamshuddin"/>
    <x v="6"/>
    <x v="0"/>
    <x v="1"/>
    <x v="1"/>
  </r>
  <r>
    <x v="401"/>
    <s v="Unknown"/>
    <x v="6"/>
    <d v="2014-04-22T00:00:00"/>
    <s v="GJ Maxwell"/>
    <s v="Sharjah Cricket Stadium"/>
    <s v="Punjab Kings"/>
    <s v="Sunrisers Hyderabad"/>
    <s v="Sunrisers Hyderabad"/>
    <x v="0"/>
    <s v="Punjab Kings"/>
    <s v="runs"/>
    <n v="72"/>
    <s v="N"/>
    <s v="Normal Match"/>
    <x v="11"/>
    <s v="S Ravi"/>
    <x v="6"/>
    <x v="0"/>
    <x v="0"/>
    <x v="0"/>
  </r>
  <r>
    <x v="402"/>
    <s v="Unknown"/>
    <x v="6"/>
    <d v="2014-04-23T00:00:00"/>
    <s v="RA Jadeja"/>
    <s v="Dubai International Cricket Stadium"/>
    <s v="Rajasthan Royals"/>
    <s v="Chennai Super Kings"/>
    <s v="Rajasthan Royals"/>
    <x v="0"/>
    <s v="Chennai Super Kings"/>
    <s v="runs"/>
    <n v="7"/>
    <s v="N"/>
    <s v="Normal Match"/>
    <x v="12"/>
    <s v="RK Illingworth"/>
    <x v="6"/>
    <x v="0"/>
    <x v="0"/>
    <x v="0"/>
  </r>
  <r>
    <x v="403"/>
    <s v="Unknown"/>
    <x v="6"/>
    <d v="2014-04-24T00:00:00"/>
    <s v="CA Lynn"/>
    <s v="Sharjah Cricket Stadium"/>
    <s v="Royal Challengers Bangalore"/>
    <s v="Kolkata Knight Riders"/>
    <s v="Royal Challengers Bangalore"/>
    <x v="0"/>
    <s v="Kolkata Knight Riders"/>
    <s v="runs"/>
    <n v="2"/>
    <s v="N"/>
    <s v="Normal Match"/>
    <x v="2"/>
    <s v="VA Kulkarni"/>
    <x v="6"/>
    <x v="0"/>
    <x v="0"/>
    <x v="0"/>
  </r>
  <r>
    <x v="404"/>
    <s v="Unknown"/>
    <x v="6"/>
    <d v="2014-04-25T00:00:00"/>
    <s v="AJ Finch"/>
    <s v="Dubai International Cricket Stadium"/>
    <s v="Sunrisers Hyderabad"/>
    <s v="Delhi Capitals"/>
    <s v="Sunrisers Hyderabad"/>
    <x v="1"/>
    <s v="Sunrisers Hyderabad"/>
    <s v="runs"/>
    <n v="4"/>
    <s v="N"/>
    <s v="Normal Match"/>
    <x v="11"/>
    <s v="S Ravi"/>
    <x v="6"/>
    <x v="0"/>
    <x v="1"/>
    <x v="1"/>
  </r>
  <r>
    <x v="405"/>
    <s v="Unknown"/>
    <x v="6"/>
    <d v="2014-04-25T00:00:00"/>
    <s v="MM Sharma"/>
    <s v="Dubai International Cricket Stadium"/>
    <s v="Chennai Super Kings"/>
    <s v="Mumbai Indians"/>
    <s v="Mumbai Indians"/>
    <x v="1"/>
    <s v="Chennai Super Kings"/>
    <s v="wickets"/>
    <n v="7"/>
    <s v="N"/>
    <s v="Normal Match"/>
    <x v="4"/>
    <s v="M Erasmus"/>
    <x v="6"/>
    <x v="1"/>
    <x v="0"/>
    <x v="0"/>
  </r>
  <r>
    <x v="406"/>
    <s v="Abu Dhabi"/>
    <x v="6"/>
    <d v="2014-04-26T00:00:00"/>
    <s v="PV Tambe"/>
    <s v="Sheikh Zayed Stadium"/>
    <s v="Rajasthan Royals"/>
    <s v="Royal Challengers Bangalore"/>
    <s v="Rajasthan Royals"/>
    <x v="0"/>
    <s v="Rajasthan Royals"/>
    <s v="wickets"/>
    <n v="6"/>
    <s v="N"/>
    <s v="Normal Match"/>
    <x v="12"/>
    <s v="C Shamshuddin"/>
    <x v="6"/>
    <x v="1"/>
    <x v="1"/>
    <x v="1"/>
  </r>
  <r>
    <x v="407"/>
    <s v="Abu Dhabi"/>
    <x v="6"/>
    <d v="2014-04-26T00:00:00"/>
    <s v="Sandeep Sharma"/>
    <s v="Sheikh Zayed Stadium"/>
    <s v="Kolkata Knight Riders"/>
    <s v="Punjab Kings"/>
    <s v="Kolkata Knight Riders"/>
    <x v="0"/>
    <s v="Punjab Kings"/>
    <s v="runs"/>
    <n v="23"/>
    <s v="N"/>
    <s v="Normal Match"/>
    <x v="12"/>
    <s v="RK Illingworth"/>
    <x v="6"/>
    <x v="0"/>
    <x v="0"/>
    <x v="0"/>
  </r>
  <r>
    <x v="408"/>
    <s v="Unknown"/>
    <x v="6"/>
    <d v="2014-04-27T00:00:00"/>
    <s v="M Vijay"/>
    <s v="Sharjah Cricket Stadium"/>
    <s v="Delhi Capitals"/>
    <s v="Mumbai Indians"/>
    <s v="Mumbai Indians"/>
    <x v="1"/>
    <s v="Delhi Capitals"/>
    <s v="wickets"/>
    <n v="6"/>
    <s v="N"/>
    <s v="Normal Match"/>
    <x v="2"/>
    <s v="VA Kulkarni"/>
    <x v="6"/>
    <x v="1"/>
    <x v="0"/>
    <x v="0"/>
  </r>
  <r>
    <x v="409"/>
    <s v="Unknown"/>
    <x v="6"/>
    <d v="2014-04-27T00:00:00"/>
    <s v="DR Smith"/>
    <s v="Sharjah Cricket Stadium"/>
    <s v="Sunrisers Hyderabad"/>
    <s v="Chennai Super Kings"/>
    <s v="Sunrisers Hyderabad"/>
    <x v="1"/>
    <s v="Chennai Super Kings"/>
    <s v="wickets"/>
    <n v="5"/>
    <s v="N"/>
    <s v="Normal Match"/>
    <x v="25"/>
    <s v="VA Kulkarni"/>
    <x v="6"/>
    <x v="1"/>
    <x v="0"/>
    <x v="0"/>
  </r>
  <r>
    <x v="410"/>
    <s v="Unknown"/>
    <x v="6"/>
    <d v="2014-04-28T00:00:00"/>
    <s v="Sandeep Sharma"/>
    <s v="Dubai International Cricket Stadium"/>
    <s v="Punjab Kings"/>
    <s v="Royal Challengers Bangalore"/>
    <s v="Punjab Kings"/>
    <x v="0"/>
    <s v="Punjab Kings"/>
    <s v="wickets"/>
    <n v="5"/>
    <s v="N"/>
    <s v="Normal Match"/>
    <x v="4"/>
    <s v="S Ravi"/>
    <x v="6"/>
    <x v="1"/>
    <x v="1"/>
    <x v="1"/>
  </r>
  <r>
    <x v="411"/>
    <s v="Unknown"/>
    <x v="6"/>
    <d v="2014-04-30T00:00:00"/>
    <s v="B Kumar"/>
    <s v="Dubai International Cricket Stadium"/>
    <s v="Mumbai Indians"/>
    <s v="Sunrisers Hyderabad"/>
    <s v="Mumbai Indians"/>
    <x v="0"/>
    <s v="Sunrisers Hyderabad"/>
    <s v="runs"/>
    <n v="15"/>
    <s v="N"/>
    <s v="Normal Match"/>
    <x v="12"/>
    <s v="M Erasmus"/>
    <x v="6"/>
    <x v="0"/>
    <x v="0"/>
    <x v="0"/>
  </r>
  <r>
    <x v="412"/>
    <s v="Ranchi"/>
    <x v="6"/>
    <d v="2014-05-02T00:00:00"/>
    <s v="RA Jadeja"/>
    <s v="JSCA International Stadium Complex"/>
    <s v="Chennai Super Kings"/>
    <s v="Kolkata Knight Riders"/>
    <s v="Chennai Super Kings"/>
    <x v="1"/>
    <s v="Chennai Super Kings"/>
    <s v="runs"/>
    <n v="34"/>
    <s v="N"/>
    <s v="Normal Match"/>
    <x v="25"/>
    <s v="NJ Llong"/>
    <x v="6"/>
    <x v="0"/>
    <x v="1"/>
    <x v="1"/>
  </r>
  <r>
    <x v="413"/>
    <s v="Mumbai"/>
    <x v="6"/>
    <d v="2014-05-03T00:00:00"/>
    <s v="CJ Anderson"/>
    <s v="Wankhede Stadium"/>
    <s v="Mumbai Indians"/>
    <s v="Punjab Kings"/>
    <s v="Punjab Kings"/>
    <x v="1"/>
    <s v="Mumbai Indians"/>
    <s v="wickets"/>
    <n v="5"/>
    <s v="N"/>
    <s v="Normal Match"/>
    <x v="27"/>
    <s v="C Shamshuddin"/>
    <x v="6"/>
    <x v="1"/>
    <x v="0"/>
    <x v="0"/>
  </r>
  <r>
    <x v="414"/>
    <s v="Delhi"/>
    <x v="6"/>
    <d v="2014-05-03T00:00:00"/>
    <s v="KK Nair"/>
    <s v="Feroz Shah Kotla"/>
    <s v="Delhi Capitals"/>
    <s v="Rajasthan Royals"/>
    <s v="Rajasthan Royals"/>
    <x v="0"/>
    <s v="Rajasthan Royals"/>
    <s v="wickets"/>
    <n v="7"/>
    <s v="N"/>
    <s v="Normal Match"/>
    <x v="15"/>
    <s v="S Ravi"/>
    <x v="6"/>
    <x v="1"/>
    <x v="1"/>
    <x v="1"/>
  </r>
  <r>
    <x v="415"/>
    <s v="Bangalore"/>
    <x v="6"/>
    <d v="2014-05-04T00:00:00"/>
    <s v="AB de Villiers"/>
    <s v="M. Chinnaswamy Stadium"/>
    <s v="Royal Challengers Bangalore"/>
    <s v="Sunrisers Hyderabad"/>
    <s v="Royal Challengers Bangalore"/>
    <x v="0"/>
    <s v="Royal Challengers Bangalore"/>
    <s v="wickets"/>
    <n v="4"/>
    <s v="N"/>
    <s v="Normal Match"/>
    <x v="12"/>
    <s v="VA Kulkarni"/>
    <x v="6"/>
    <x v="1"/>
    <x v="1"/>
    <x v="1"/>
  </r>
  <r>
    <x v="416"/>
    <s v="Ahmedabad"/>
    <x v="6"/>
    <d v="2014-05-05T00:00:00"/>
    <s v="PV Tambe"/>
    <s v="Sardar Patel Stadium, Motera"/>
    <s v="Rajasthan Royals"/>
    <s v="Kolkata Knight Riders"/>
    <s v="Kolkata Knight Riders"/>
    <x v="0"/>
    <s v="Rajasthan Royals"/>
    <s v="runs"/>
    <n v="10"/>
    <s v="N"/>
    <s v="Normal Match"/>
    <x v="30"/>
    <s v="CK Nandan"/>
    <x v="6"/>
    <x v="0"/>
    <x v="0"/>
    <x v="0"/>
  </r>
  <r>
    <x v="417"/>
    <s v="Delhi"/>
    <x v="6"/>
    <d v="2014-05-05T00:00:00"/>
    <s v="DR Smith"/>
    <s v="Feroz Shah Kotla"/>
    <s v="Delhi Capitals"/>
    <s v="Chennai Super Kings"/>
    <s v="Chennai Super Kings"/>
    <x v="0"/>
    <s v="Chennai Super Kings"/>
    <s v="wickets"/>
    <n v="8"/>
    <s v="N"/>
    <s v="Normal Match"/>
    <x v="32"/>
    <s v="BNJ Oxenford"/>
    <x v="6"/>
    <x v="1"/>
    <x v="1"/>
    <x v="1"/>
  </r>
  <r>
    <x v="418"/>
    <s v="Mumbai"/>
    <x v="6"/>
    <d v="2014-05-06T00:00:00"/>
    <s v="RG Sharma"/>
    <s v="Wankhede Stadium"/>
    <s v="Mumbai Indians"/>
    <s v="Royal Challengers Bangalore"/>
    <s v="Royal Challengers Bangalore"/>
    <x v="0"/>
    <s v="Mumbai Indians"/>
    <s v="runs"/>
    <n v="19"/>
    <s v="N"/>
    <s v="Normal Match"/>
    <x v="19"/>
    <s v="K Srinath"/>
    <x v="6"/>
    <x v="0"/>
    <x v="0"/>
    <x v="0"/>
  </r>
  <r>
    <x v="419"/>
    <s v="Delhi"/>
    <x v="6"/>
    <d v="2014-05-07T00:00:00"/>
    <s v="G Gambhir"/>
    <s v="Feroz Shah Kotla"/>
    <s v="Delhi Capitals"/>
    <s v="Kolkata Knight Riders"/>
    <s v="Delhi Capitals"/>
    <x v="1"/>
    <s v="Kolkata Knight Riders"/>
    <s v="wickets"/>
    <n v="8"/>
    <s v="N"/>
    <s v="Normal Match"/>
    <x v="27"/>
    <s v="C Shamshuddin"/>
    <x v="6"/>
    <x v="1"/>
    <x v="0"/>
    <x v="0"/>
  </r>
  <r>
    <x v="420"/>
    <s v="Cuttack"/>
    <x v="6"/>
    <d v="2014-05-07T00:00:00"/>
    <s v="GJ Maxwell"/>
    <s v="Barabati Stadium"/>
    <s v="Punjab Kings"/>
    <s v="Chennai Super Kings"/>
    <s v="Chennai Super Kings"/>
    <x v="0"/>
    <s v="Punjab Kings"/>
    <s v="runs"/>
    <n v="44"/>
    <s v="N"/>
    <s v="Normal Match"/>
    <x v="12"/>
    <s v="PG Pathak"/>
    <x v="6"/>
    <x v="0"/>
    <x v="0"/>
    <x v="0"/>
  </r>
  <r>
    <x v="421"/>
    <s v="Ahmedabad"/>
    <x v="6"/>
    <d v="2014-05-08T00:00:00"/>
    <s v="B Kumar"/>
    <s v="Sardar Patel Stadium, Motera"/>
    <s v="Rajasthan Royals"/>
    <s v="Sunrisers Hyderabad"/>
    <s v="Rajasthan Royals"/>
    <x v="0"/>
    <s v="Sunrisers Hyderabad"/>
    <s v="runs"/>
    <n v="32"/>
    <s v="N"/>
    <s v="Normal Match"/>
    <x v="25"/>
    <s v="NJ Llong"/>
    <x v="6"/>
    <x v="0"/>
    <x v="0"/>
    <x v="0"/>
  </r>
  <r>
    <x v="422"/>
    <s v="Bangalore"/>
    <x v="6"/>
    <d v="2014-05-09T00:00:00"/>
    <s v="Sandeep Sharma"/>
    <s v="M. Chinnaswamy Stadium"/>
    <s v="Royal Challengers Bangalore"/>
    <s v="Punjab Kings"/>
    <s v="Royal Challengers Bangalore"/>
    <x v="0"/>
    <s v="Punjab Kings"/>
    <s v="runs"/>
    <n v="32"/>
    <s v="N"/>
    <s v="Normal Match"/>
    <x v="19"/>
    <s v="K Srinath"/>
    <x v="6"/>
    <x v="0"/>
    <x v="0"/>
    <x v="0"/>
  </r>
  <r>
    <x v="423"/>
    <s v="Delhi"/>
    <x v="6"/>
    <d v="2014-05-10T00:00:00"/>
    <s v="DW Steyn"/>
    <s v="Feroz Shah Kotla"/>
    <s v="Delhi Capitals"/>
    <s v="Sunrisers Hyderabad"/>
    <s v="Sunrisers Hyderabad"/>
    <x v="0"/>
    <s v="Sunrisers Hyderabad"/>
    <s v="wickets"/>
    <n v="8"/>
    <s v="N"/>
    <s v="D/L"/>
    <x v="32"/>
    <s v="BNJ Oxenford"/>
    <x v="6"/>
    <x v="1"/>
    <x v="1"/>
    <x v="1"/>
  </r>
  <r>
    <x v="424"/>
    <s v="Mumbai"/>
    <x v="6"/>
    <d v="2014-05-10T00:00:00"/>
    <s v="DR Smith"/>
    <s v="Wankhede Stadium"/>
    <s v="Mumbai Indians"/>
    <s v="Chennai Super Kings"/>
    <s v="Chennai Super Kings"/>
    <x v="0"/>
    <s v="Chennai Super Kings"/>
    <s v="wickets"/>
    <n v="4"/>
    <s v="N"/>
    <s v="Normal Match"/>
    <x v="12"/>
    <s v="VA Kulkarni"/>
    <x v="6"/>
    <x v="1"/>
    <x v="1"/>
    <x v="1"/>
  </r>
  <r>
    <x v="425"/>
    <s v="Cuttack"/>
    <x v="6"/>
    <d v="2014-05-11T00:00:00"/>
    <s v="G Gambhir"/>
    <s v="Barabati Stadium"/>
    <s v="Punjab Kings"/>
    <s v="Kolkata Knight Riders"/>
    <s v="Kolkata Knight Riders"/>
    <x v="0"/>
    <s v="Kolkata Knight Riders"/>
    <s v="wickets"/>
    <n v="9"/>
    <s v="N"/>
    <s v="Normal Match"/>
    <x v="30"/>
    <s v="CK Nandan"/>
    <x v="6"/>
    <x v="1"/>
    <x v="1"/>
    <x v="1"/>
  </r>
  <r>
    <x v="426"/>
    <s v="Bangalore"/>
    <x v="6"/>
    <d v="2014-05-11T00:00:00"/>
    <s v="JP Faulkner"/>
    <s v="M. Chinnaswamy Stadium"/>
    <s v="Royal Challengers Bangalore"/>
    <s v="Rajasthan Royals"/>
    <s v="Royal Challengers Bangalore"/>
    <x v="1"/>
    <s v="Rajasthan Royals"/>
    <s v="wickets"/>
    <n v="5"/>
    <s v="N"/>
    <s v="Normal Match"/>
    <x v="19"/>
    <s v="RJ Tucker"/>
    <x v="6"/>
    <x v="1"/>
    <x v="0"/>
    <x v="0"/>
  </r>
  <r>
    <x v="427"/>
    <s v="Hyderabad"/>
    <x v="6"/>
    <d v="2014-05-12T00:00:00"/>
    <s v="AT Rayudu"/>
    <s v="Rajiv Gandhi International Stadium, Uppal"/>
    <s v="Sunrisers Hyderabad"/>
    <s v="Mumbai Indians"/>
    <s v="Sunrisers Hyderabad"/>
    <x v="1"/>
    <s v="Mumbai Indians"/>
    <s v="wickets"/>
    <n v="7"/>
    <s v="N"/>
    <s v="Normal Match"/>
    <x v="12"/>
    <s v="VA Kulkarni"/>
    <x v="6"/>
    <x v="1"/>
    <x v="0"/>
    <x v="0"/>
  </r>
  <r>
    <x v="428"/>
    <s v="Ranchi"/>
    <x v="6"/>
    <d v="2014-05-13T00:00:00"/>
    <s v="RA Jadeja"/>
    <s v="JSCA International Stadium Complex"/>
    <s v="Chennai Super Kings"/>
    <s v="Rajasthan Royals"/>
    <s v="Rajasthan Royals"/>
    <x v="1"/>
    <s v="Chennai Super Kings"/>
    <s v="wickets"/>
    <n v="5"/>
    <s v="N"/>
    <s v="Normal Match"/>
    <x v="27"/>
    <s v="C Shamshuddin"/>
    <x v="6"/>
    <x v="1"/>
    <x v="0"/>
    <x v="0"/>
  </r>
  <r>
    <x v="429"/>
    <s v="Bangalore"/>
    <x v="6"/>
    <d v="2014-05-13T00:00:00"/>
    <s v="Yuvraj Singh"/>
    <s v="M. Chinnaswamy Stadium"/>
    <s v="Royal Challengers Bangalore"/>
    <s v="Delhi Capitals"/>
    <s v="Delhi Capitals"/>
    <x v="0"/>
    <s v="Royal Challengers Bangalore"/>
    <s v="runs"/>
    <n v="16"/>
    <s v="N"/>
    <s v="Normal Match"/>
    <x v="33"/>
    <s v="RJ Tucker"/>
    <x v="6"/>
    <x v="0"/>
    <x v="0"/>
    <x v="0"/>
  </r>
  <r>
    <x v="430"/>
    <s v="Hyderabad"/>
    <x v="6"/>
    <d v="2014-05-14T00:00:00"/>
    <s v="WP Saha"/>
    <s v="Rajiv Gandhi International Stadium, Uppal"/>
    <s v="Sunrisers Hyderabad"/>
    <s v="Punjab Kings"/>
    <s v="Punjab Kings"/>
    <x v="0"/>
    <s v="Punjab Kings"/>
    <s v="wickets"/>
    <n v="6"/>
    <s v="N"/>
    <s v="Normal Match"/>
    <x v="26"/>
    <s v="PG Pathak"/>
    <x v="6"/>
    <x v="1"/>
    <x v="1"/>
    <x v="1"/>
  </r>
  <r>
    <x v="431"/>
    <s v="Cuttack"/>
    <x v="6"/>
    <d v="2014-05-14T00:00:00"/>
    <s v="RV Uthappa"/>
    <s v="Barabati Stadium"/>
    <s v="Kolkata Knight Riders"/>
    <s v="Mumbai Indians"/>
    <s v="Kolkata Knight Riders"/>
    <x v="0"/>
    <s v="Kolkata Knight Riders"/>
    <s v="wickets"/>
    <n v="6"/>
    <s v="N"/>
    <s v="Normal Match"/>
    <x v="25"/>
    <s v="NJ Llong"/>
    <x v="6"/>
    <x v="1"/>
    <x v="1"/>
    <x v="1"/>
  </r>
  <r>
    <x v="432"/>
    <s v="Ahmedabad"/>
    <x v="6"/>
    <d v="2014-05-15T00:00:00"/>
    <s v="AM Rahane"/>
    <s v="Sardar Patel Stadium, Motera"/>
    <s v="Rajasthan Royals"/>
    <s v="Delhi Capitals"/>
    <s v="Delhi Capitals"/>
    <x v="0"/>
    <s v="Rajasthan Royals"/>
    <s v="runs"/>
    <n v="62"/>
    <s v="N"/>
    <s v="Normal Match"/>
    <x v="19"/>
    <s v="RJ Tucker"/>
    <x v="6"/>
    <x v="0"/>
    <x v="0"/>
    <x v="0"/>
  </r>
  <r>
    <x v="433"/>
    <s v="Ranchi"/>
    <x v="6"/>
    <d v="2014-05-18T00:00:00"/>
    <s v="AB de Villiers"/>
    <s v="JSCA International Stadium Complex"/>
    <s v="Chennai Super Kings"/>
    <s v="Royal Challengers Bangalore"/>
    <s v="Chennai Super Kings"/>
    <x v="1"/>
    <s v="Royal Challengers Bangalore"/>
    <s v="wickets"/>
    <n v="5"/>
    <s v="N"/>
    <s v="Normal Match"/>
    <x v="27"/>
    <s v="C Shamshuddin"/>
    <x v="6"/>
    <x v="1"/>
    <x v="0"/>
    <x v="0"/>
  </r>
  <r>
    <x v="434"/>
    <s v="Hyderabad"/>
    <x v="6"/>
    <d v="2014-05-18T00:00:00"/>
    <s v="UT Yadav"/>
    <s v="Rajiv Gandhi International Stadium, Uppal"/>
    <s v="Sunrisers Hyderabad"/>
    <s v="Kolkata Knight Riders"/>
    <s v="Sunrisers Hyderabad"/>
    <x v="1"/>
    <s v="Kolkata Knight Riders"/>
    <s v="wickets"/>
    <n v="7"/>
    <s v="N"/>
    <s v="Normal Match"/>
    <x v="30"/>
    <s v="CK Nandan"/>
    <x v="6"/>
    <x v="1"/>
    <x v="0"/>
    <x v="0"/>
  </r>
  <r>
    <x v="435"/>
    <s v="Ahmedabad"/>
    <x v="6"/>
    <d v="2014-05-19T00:00:00"/>
    <s v="MEK Hussey"/>
    <s v="Sardar Patel Stadium, Motera"/>
    <s v="Rajasthan Royals"/>
    <s v="Mumbai Indians"/>
    <s v="Mumbai Indians"/>
    <x v="1"/>
    <s v="Mumbai Indians"/>
    <s v="runs"/>
    <n v="25"/>
    <s v="N"/>
    <s v="Normal Match"/>
    <x v="19"/>
    <s v="RJ Tucker"/>
    <x v="6"/>
    <x v="0"/>
    <x v="1"/>
    <x v="1"/>
  </r>
  <r>
    <x v="436"/>
    <s v="Delhi"/>
    <x v="6"/>
    <d v="2014-05-19T00:00:00"/>
    <s v="AR Patel"/>
    <s v="Feroz Shah Kotla"/>
    <s v="Delhi Capitals"/>
    <s v="Punjab Kings"/>
    <s v="Punjab Kings"/>
    <x v="0"/>
    <s v="Punjab Kings"/>
    <s v="wickets"/>
    <n v="4"/>
    <s v="N"/>
    <s v="Normal Match"/>
    <x v="12"/>
    <s v="PG Pathak"/>
    <x v="6"/>
    <x v="1"/>
    <x v="1"/>
    <x v="1"/>
  </r>
  <r>
    <x v="437"/>
    <s v="Hyderabad"/>
    <x v="6"/>
    <d v="2014-05-20T00:00:00"/>
    <s v="DA Warner"/>
    <s v="Rajiv Gandhi International Stadium, Uppal"/>
    <s v="Sunrisers Hyderabad"/>
    <s v="Royal Challengers Bangalore"/>
    <s v="Royal Challengers Bangalore"/>
    <x v="1"/>
    <s v="Sunrisers Hyderabad"/>
    <s v="wickets"/>
    <n v="7"/>
    <s v="N"/>
    <s v="Normal Match"/>
    <x v="25"/>
    <s v="NJ Llong"/>
    <x v="6"/>
    <x v="1"/>
    <x v="0"/>
    <x v="0"/>
  </r>
  <r>
    <x v="438"/>
    <s v="Kolkata"/>
    <x v="6"/>
    <d v="2014-05-20T00:00:00"/>
    <s v="RV Uthappa"/>
    <s v="Eden Gardens"/>
    <s v="Kolkata Knight Riders"/>
    <s v="Chennai Super Kings"/>
    <s v="Kolkata Knight Riders"/>
    <x v="0"/>
    <s v="Kolkata Knight Riders"/>
    <s v="wickets"/>
    <n v="8"/>
    <s v="N"/>
    <s v="Normal Match"/>
    <x v="32"/>
    <s v="C Shamshuddin"/>
    <x v="6"/>
    <x v="1"/>
    <x v="1"/>
    <x v="1"/>
  </r>
  <r>
    <x v="439"/>
    <s v="Chandigarh"/>
    <x v="6"/>
    <d v="2014-05-21T00:00:00"/>
    <s v="LMP Simmons"/>
    <s v="Punjab Cricket Association Stadium, Mohali"/>
    <s v="Punjab Kings"/>
    <s v="Mumbai Indians"/>
    <s v="Mumbai Indians"/>
    <x v="0"/>
    <s v="Mumbai Indians"/>
    <s v="wickets"/>
    <n v="7"/>
    <s v="N"/>
    <s v="Normal Match"/>
    <x v="12"/>
    <s v="VA Kulkarni"/>
    <x v="6"/>
    <x v="1"/>
    <x v="1"/>
    <x v="1"/>
  </r>
  <r>
    <x v="440"/>
    <s v="Kolkata"/>
    <x v="6"/>
    <d v="2014-05-22T00:00:00"/>
    <s v="RV Uthappa"/>
    <s v="Eden Gardens"/>
    <s v="Kolkata Knight Riders"/>
    <s v="Royal Challengers Bangalore"/>
    <s v="Royal Challengers Bangalore"/>
    <x v="0"/>
    <s v="Kolkata Knight Riders"/>
    <s v="runs"/>
    <n v="30"/>
    <s v="N"/>
    <s v="Normal Match"/>
    <x v="25"/>
    <s v="CK Nandan"/>
    <x v="6"/>
    <x v="0"/>
    <x v="0"/>
    <x v="0"/>
  </r>
  <r>
    <x v="441"/>
    <s v="Ranchi"/>
    <x v="6"/>
    <d v="2014-05-22T00:00:00"/>
    <s v="DA Warner"/>
    <s v="JSCA International Stadium Complex"/>
    <s v="Chennai Super Kings"/>
    <s v="Sunrisers Hyderabad"/>
    <s v="Sunrisers Hyderabad"/>
    <x v="0"/>
    <s v="Sunrisers Hyderabad"/>
    <s v="wickets"/>
    <n v="6"/>
    <s v="N"/>
    <s v="Normal Match"/>
    <x v="27"/>
    <s v="C Shamshuddin"/>
    <x v="6"/>
    <x v="1"/>
    <x v="1"/>
    <x v="1"/>
  </r>
  <r>
    <x v="442"/>
    <s v="Mumbai"/>
    <x v="6"/>
    <d v="2014-05-23T00:00:00"/>
    <s v="MEK Hussey"/>
    <s v="Wankhede Stadium"/>
    <s v="Mumbai Indians"/>
    <s v="Delhi Capitals"/>
    <s v="Delhi Capitals"/>
    <x v="0"/>
    <s v="Mumbai Indians"/>
    <s v="runs"/>
    <n v="15"/>
    <s v="N"/>
    <s v="Normal Match"/>
    <x v="19"/>
    <s v="RJ Tucker"/>
    <x v="6"/>
    <x v="0"/>
    <x v="0"/>
    <x v="0"/>
  </r>
  <r>
    <x v="443"/>
    <s v="Chandigarh"/>
    <x v="6"/>
    <d v="2014-05-23T00:00:00"/>
    <s v="SE Marsh"/>
    <s v="Punjab Cricket Association Stadium, Mohali"/>
    <s v="Punjab Kings"/>
    <s v="Rajasthan Royals"/>
    <s v="Rajasthan Royals"/>
    <x v="0"/>
    <s v="Punjab Kings"/>
    <s v="runs"/>
    <n v="16"/>
    <s v="N"/>
    <s v="Normal Match"/>
    <x v="12"/>
    <s v="PG Pathak"/>
    <x v="6"/>
    <x v="0"/>
    <x v="0"/>
    <x v="0"/>
  </r>
  <r>
    <x v="444"/>
    <s v="Bangalore"/>
    <x v="6"/>
    <d v="2014-05-24T00:00:00"/>
    <s v="MS Dhoni"/>
    <s v="M. Chinnaswamy Stadium"/>
    <s v="Royal Challengers Bangalore"/>
    <s v="Chennai Super Kings"/>
    <s v="Chennai Super Kings"/>
    <x v="0"/>
    <s v="Chennai Super Kings"/>
    <s v="wickets"/>
    <n v="8"/>
    <s v="N"/>
    <s v="Normal Match"/>
    <x v="25"/>
    <s v="NJ Llong"/>
    <x v="6"/>
    <x v="1"/>
    <x v="1"/>
    <x v="1"/>
  </r>
  <r>
    <x v="445"/>
    <s v="Kolkata"/>
    <x v="6"/>
    <d v="2014-05-24T00:00:00"/>
    <s v="YK Pathan"/>
    <s v="Eden Gardens"/>
    <s v="Kolkata Knight Riders"/>
    <s v="Sunrisers Hyderabad"/>
    <s v="Kolkata Knight Riders"/>
    <x v="0"/>
    <s v="Kolkata Knight Riders"/>
    <s v="wickets"/>
    <n v="4"/>
    <s v="N"/>
    <s v="Normal Match"/>
    <x v="32"/>
    <s v="BNJ Oxenford"/>
    <x v="6"/>
    <x v="1"/>
    <x v="1"/>
    <x v="1"/>
  </r>
  <r>
    <x v="446"/>
    <s v="Chandigarh"/>
    <x v="6"/>
    <d v="2014-05-25T00:00:00"/>
    <s v="M Vohra"/>
    <s v="Punjab Cricket Association Stadium, Mohali"/>
    <s v="Punjab Kings"/>
    <s v="Delhi Capitals"/>
    <s v="Punjab Kings"/>
    <x v="0"/>
    <s v="Punjab Kings"/>
    <s v="wickets"/>
    <n v="7"/>
    <s v="N"/>
    <s v="Normal Match"/>
    <x v="12"/>
    <s v="VA Kulkarni"/>
    <x v="6"/>
    <x v="1"/>
    <x v="1"/>
    <x v="1"/>
  </r>
  <r>
    <x v="447"/>
    <s v="Mumbai"/>
    <x v="6"/>
    <d v="2014-05-25T00:00:00"/>
    <s v="CJ Anderson"/>
    <s v="Wankhede Stadium"/>
    <s v="Mumbai Indians"/>
    <s v="Rajasthan Royals"/>
    <s v="Mumbai Indians"/>
    <x v="0"/>
    <s v="Mumbai Indians"/>
    <s v="wickets"/>
    <n v="5"/>
    <s v="N"/>
    <s v="Normal Match"/>
    <x v="33"/>
    <s v="RJ Tucker"/>
    <x v="6"/>
    <x v="1"/>
    <x v="1"/>
    <x v="1"/>
  </r>
  <r>
    <x v="448"/>
    <s v="Kolkata"/>
    <x v="6"/>
    <d v="2014-05-27T00:00:00"/>
    <s v="UT Yadav"/>
    <s v="Eden Gardens"/>
    <s v="Punjab Kings"/>
    <s v="Kolkata Knight Riders"/>
    <s v="Punjab Kings"/>
    <x v="0"/>
    <s v="Kolkata Knight Riders"/>
    <s v="runs"/>
    <n v="28"/>
    <s v="N"/>
    <s v="Normal Match"/>
    <x v="30"/>
    <s v="S Ravi"/>
    <x v="6"/>
    <x v="0"/>
    <x v="0"/>
    <x v="0"/>
  </r>
  <r>
    <x v="449"/>
    <s v="Mumbai"/>
    <x v="6"/>
    <d v="2014-05-28T00:00:00"/>
    <s v="SK Raina"/>
    <s v="Brabourne Stadium"/>
    <s v="Chennai Super Kings"/>
    <s v="Mumbai Indians"/>
    <s v="Chennai Super Kings"/>
    <x v="0"/>
    <s v="Chennai Super Kings"/>
    <s v="wickets"/>
    <n v="7"/>
    <s v="N"/>
    <s v="Normal Match"/>
    <x v="26"/>
    <s v="BNJ Oxenford"/>
    <x v="6"/>
    <x v="1"/>
    <x v="1"/>
    <x v="1"/>
  </r>
  <r>
    <x v="450"/>
    <s v="Mumbai"/>
    <x v="6"/>
    <d v="2014-05-30T00:00:00"/>
    <s v="V Sehwag"/>
    <s v="Wankhede Stadium"/>
    <s v="Chennai Super Kings"/>
    <s v="Punjab Kings"/>
    <s v="Chennai Super Kings"/>
    <x v="0"/>
    <s v="Punjab Kings"/>
    <s v="runs"/>
    <n v="24"/>
    <s v="N"/>
    <s v="Normal Match"/>
    <x v="12"/>
    <s v="RJ Tucker"/>
    <x v="6"/>
    <x v="0"/>
    <x v="0"/>
    <x v="0"/>
  </r>
  <r>
    <x v="451"/>
    <s v="Bangalore"/>
    <x v="6"/>
    <d v="2014-06-01T00:00:00"/>
    <s v="MK Pandey"/>
    <s v="M. Chinnaswamy Stadium"/>
    <s v="Kolkata Knight Riders"/>
    <s v="Punjab Kings"/>
    <s v="Kolkata Knight Riders"/>
    <x v="0"/>
    <s v="Kolkata Knight Riders"/>
    <s v="wickets"/>
    <n v="3"/>
    <s v="N"/>
    <s v="Normal Match"/>
    <x v="12"/>
    <s v="BNJ Oxenford"/>
    <x v="6"/>
    <x v="1"/>
    <x v="1"/>
    <x v="1"/>
  </r>
  <r>
    <x v="452"/>
    <s v="Kolkata"/>
    <x v="7"/>
    <d v="2015-04-08T00:00:00"/>
    <s v="M Morkel"/>
    <s v="Eden Gardens"/>
    <s v="Kolkata Knight Riders"/>
    <s v="Mumbai Indians"/>
    <s v="Kolkata Knight Riders"/>
    <x v="0"/>
    <s v="Kolkata Knight Riders"/>
    <s v="wickets"/>
    <n v="7"/>
    <s v="N"/>
    <s v="Normal Match"/>
    <x v="19"/>
    <s v="C Shamshuddin"/>
    <x v="7"/>
    <x v="1"/>
    <x v="1"/>
    <x v="1"/>
  </r>
  <r>
    <x v="453"/>
    <s v="Chennai"/>
    <x v="7"/>
    <d v="2015-04-09T00:00:00"/>
    <s v="A Nehra"/>
    <s v="MA Chidambaram Stadium, Chepauk"/>
    <s v="Chennai Super Kings"/>
    <s v="Delhi Capitals"/>
    <s v="Delhi Capitals"/>
    <x v="0"/>
    <s v="Chennai Super Kings"/>
    <s v="runs"/>
    <n v="1"/>
    <s v="N"/>
    <s v="Normal Match"/>
    <x v="31"/>
    <s v="VA Kulkarni"/>
    <x v="7"/>
    <x v="0"/>
    <x v="0"/>
    <x v="0"/>
  </r>
  <r>
    <x v="454"/>
    <s v="Pune"/>
    <x v="7"/>
    <d v="2015-04-10T00:00:00"/>
    <s v="JP Faulkner"/>
    <s v="Maharashtra Cricket Association Stadium"/>
    <s v="Punjab Kings"/>
    <s v="Rajasthan Royals"/>
    <s v="Punjab Kings"/>
    <x v="0"/>
    <s v="Rajasthan Royals"/>
    <s v="runs"/>
    <n v="26"/>
    <s v="N"/>
    <s v="Normal Match"/>
    <x v="34"/>
    <s v="CB Gaffaney"/>
    <x v="7"/>
    <x v="0"/>
    <x v="0"/>
    <x v="0"/>
  </r>
  <r>
    <x v="455"/>
    <s v="Chennai"/>
    <x v="7"/>
    <d v="2015-04-11T00:00:00"/>
    <s v="BB McCullum"/>
    <s v="MA Chidambaram Stadium, Chepauk"/>
    <s v="Chennai Super Kings"/>
    <s v="Sunrisers Hyderabad"/>
    <s v="Chennai Super Kings"/>
    <x v="1"/>
    <s v="Chennai Super Kings"/>
    <s v="runs"/>
    <n v="45"/>
    <s v="N"/>
    <s v="Normal Match"/>
    <x v="31"/>
    <s v="VA Kulkarni"/>
    <x v="7"/>
    <x v="0"/>
    <x v="1"/>
    <x v="1"/>
  </r>
  <r>
    <x v="456"/>
    <s v="Kolkata"/>
    <x v="7"/>
    <d v="2015-04-11T00:00:00"/>
    <s v="CH Gayle"/>
    <s v="Eden Gardens"/>
    <s v="Kolkata Knight Riders"/>
    <s v="Royal Challengers Bangalore"/>
    <s v="Royal Challengers Bangalore"/>
    <x v="0"/>
    <s v="Royal Challengers Bangalore"/>
    <s v="wickets"/>
    <n v="3"/>
    <s v="N"/>
    <s v="Normal Match"/>
    <x v="19"/>
    <s v="C Shamshuddin"/>
    <x v="7"/>
    <x v="1"/>
    <x v="1"/>
    <x v="1"/>
  </r>
  <r>
    <x v="457"/>
    <s v="Delhi"/>
    <x v="7"/>
    <d v="2015-04-12T00:00:00"/>
    <s v="DJ Hooda"/>
    <s v="Feroz Shah Kotla"/>
    <s v="Delhi Capitals"/>
    <s v="Rajasthan Royals"/>
    <s v="Rajasthan Royals"/>
    <x v="0"/>
    <s v="Rajasthan Royals"/>
    <s v="wickets"/>
    <n v="3"/>
    <s v="N"/>
    <s v="Normal Match"/>
    <x v="34"/>
    <s v="CB Gaffaney"/>
    <x v="7"/>
    <x v="1"/>
    <x v="1"/>
    <x v="1"/>
  </r>
  <r>
    <x v="458"/>
    <s v="Mumbai"/>
    <x v="7"/>
    <d v="2015-04-12T00:00:00"/>
    <s v="GJ Bailey"/>
    <s v="Wankhede Stadium"/>
    <s v="Mumbai Indians"/>
    <s v="Punjab Kings"/>
    <s v="Mumbai Indians"/>
    <x v="0"/>
    <s v="Punjab Kings"/>
    <s v="runs"/>
    <n v="18"/>
    <s v="N"/>
    <s v="Normal Match"/>
    <x v="25"/>
    <s v="K Srinivasan"/>
    <x v="7"/>
    <x v="0"/>
    <x v="0"/>
    <x v="0"/>
  </r>
  <r>
    <x v="459"/>
    <s v="Bangalore"/>
    <x v="7"/>
    <d v="2015-04-13T00:00:00"/>
    <s v="DA Warner"/>
    <s v="M. Chinnaswamy Stadium"/>
    <s v="Royal Challengers Bangalore"/>
    <s v="Sunrisers Hyderabad"/>
    <s v="Sunrisers Hyderabad"/>
    <x v="0"/>
    <s v="Sunrisers Hyderabad"/>
    <s v="wickets"/>
    <n v="8"/>
    <s v="N"/>
    <s v="Normal Match"/>
    <x v="32"/>
    <s v="RK Illingworth"/>
    <x v="7"/>
    <x v="1"/>
    <x v="1"/>
    <x v="1"/>
  </r>
  <r>
    <x v="460"/>
    <s v="Ahmedabad"/>
    <x v="7"/>
    <d v="2015-04-14T00:00:00"/>
    <s v="SPD Smith"/>
    <s v="Sardar Patel Stadium, Motera"/>
    <s v="Rajasthan Royals"/>
    <s v="Mumbai Indians"/>
    <s v="Mumbai Indians"/>
    <x v="1"/>
    <s v="Rajasthan Royals"/>
    <s v="wickets"/>
    <n v="7"/>
    <s v="N"/>
    <s v="Normal Match"/>
    <x v="25"/>
    <s v="SD Fry"/>
    <x v="7"/>
    <x v="1"/>
    <x v="0"/>
    <x v="0"/>
  </r>
  <r>
    <x v="461"/>
    <s v="Kolkata"/>
    <x v="7"/>
    <d v="2015-04-30T00:00:00"/>
    <s v="AD Russell"/>
    <s v="Eden Gardens"/>
    <s v="Kolkata Knight Riders"/>
    <s v="Chennai Super Kings"/>
    <s v="Kolkata Knight Riders"/>
    <x v="0"/>
    <s v="Kolkata Knight Riders"/>
    <s v="wickets"/>
    <n v="7"/>
    <s v="N"/>
    <s v="Normal Match"/>
    <x v="25"/>
    <s v="M Erasmus"/>
    <x v="7"/>
    <x v="1"/>
    <x v="1"/>
    <x v="1"/>
  </r>
  <r>
    <x v="462"/>
    <s v="Pune"/>
    <x v="7"/>
    <d v="2015-04-15T00:00:00"/>
    <s v="MA Agarwal"/>
    <s v="Maharashtra Cricket Association Stadium"/>
    <s v="Punjab Kings"/>
    <s v="Delhi Capitals"/>
    <s v="Punjab Kings"/>
    <x v="1"/>
    <s v="Delhi Capitals"/>
    <s v="wickets"/>
    <n v="5"/>
    <s v="N"/>
    <s v="Normal Match"/>
    <x v="35"/>
    <s v="K Srinath"/>
    <x v="7"/>
    <x v="1"/>
    <x v="0"/>
    <x v="0"/>
  </r>
  <r>
    <x v="463"/>
    <s v="Visakhapatnam"/>
    <x v="7"/>
    <d v="2015-04-16T00:00:00"/>
    <s v="AM Rahane"/>
    <s v="Dr. Y.S. Rajasekhara Reddy ACA-VDCA Cricket Stadium"/>
    <s v="Sunrisers Hyderabad"/>
    <s v="Rajasthan Royals"/>
    <s v="Rajasthan Royals"/>
    <x v="0"/>
    <s v="Rajasthan Royals"/>
    <s v="wickets"/>
    <n v="6"/>
    <s v="N"/>
    <s v="Normal Match"/>
    <x v="36"/>
    <s v="S Ravi"/>
    <x v="7"/>
    <x v="1"/>
    <x v="1"/>
    <x v="1"/>
  </r>
  <r>
    <x v="464"/>
    <s v="Mumbai"/>
    <x v="7"/>
    <d v="2015-04-17T00:00:00"/>
    <s v="A Nehra"/>
    <s v="Wankhede Stadium"/>
    <s v="Mumbai Indians"/>
    <s v="Chennai Super Kings"/>
    <s v="Mumbai Indians"/>
    <x v="1"/>
    <s v="Chennai Super Kings"/>
    <s v="wickets"/>
    <n v="6"/>
    <s v="N"/>
    <s v="Normal Match"/>
    <x v="25"/>
    <s v="M Erasmus"/>
    <x v="7"/>
    <x v="1"/>
    <x v="0"/>
    <x v="0"/>
  </r>
  <r>
    <x v="465"/>
    <s v="Visakhapatnam"/>
    <x v="7"/>
    <d v="2015-04-18T00:00:00"/>
    <s v="JP Duminy"/>
    <s v="Dr. Y.S. Rajasekhara Reddy ACA-VDCA Cricket Stadium"/>
    <s v="Sunrisers Hyderabad"/>
    <s v="Delhi Capitals"/>
    <s v="Delhi Capitals"/>
    <x v="1"/>
    <s v="Delhi Capitals"/>
    <s v="runs"/>
    <n v="4"/>
    <s v="N"/>
    <s v="Normal Match"/>
    <x v="36"/>
    <s v="S Ravi"/>
    <x v="7"/>
    <x v="0"/>
    <x v="1"/>
    <x v="1"/>
  </r>
  <r>
    <x v="466"/>
    <s v="Pune"/>
    <x v="7"/>
    <d v="2015-04-18T00:00:00"/>
    <s v="AD Russell"/>
    <s v="Maharashtra Cricket Association Stadium"/>
    <s v="Punjab Kings"/>
    <s v="Kolkata Knight Riders"/>
    <s v="Kolkata Knight Riders"/>
    <x v="0"/>
    <s v="Kolkata Knight Riders"/>
    <s v="wickets"/>
    <n v="4"/>
    <s v="N"/>
    <s v="Normal Match"/>
    <x v="34"/>
    <s v="CK Nandan"/>
    <x v="7"/>
    <x v="1"/>
    <x v="1"/>
    <x v="1"/>
  </r>
  <r>
    <x v="467"/>
    <s v="Ahmedabad"/>
    <x v="7"/>
    <d v="2015-04-19T00:00:00"/>
    <s v="AM Rahane"/>
    <s v="Sardar Patel Stadium, Motera"/>
    <s v="Rajasthan Royals"/>
    <s v="Chennai Super Kings"/>
    <s v="Chennai Super Kings"/>
    <x v="1"/>
    <s v="Rajasthan Royals"/>
    <s v="wickets"/>
    <n v="8"/>
    <s v="N"/>
    <s v="Normal Match"/>
    <x v="25"/>
    <s v="M Erasmus"/>
    <x v="7"/>
    <x v="1"/>
    <x v="0"/>
    <x v="0"/>
  </r>
  <r>
    <x v="468"/>
    <s v="Bangalore"/>
    <x v="7"/>
    <d v="2015-04-19T00:00:00"/>
    <s v="Harbhajan Singh"/>
    <s v="M. Chinnaswamy Stadium"/>
    <s v="Royal Challengers Bangalore"/>
    <s v="Mumbai Indians"/>
    <s v="Royal Challengers Bangalore"/>
    <x v="0"/>
    <s v="Mumbai Indians"/>
    <s v="runs"/>
    <n v="18"/>
    <s v="N"/>
    <s v="Normal Match"/>
    <x v="31"/>
    <s v="VA Kulkarni"/>
    <x v="7"/>
    <x v="0"/>
    <x v="0"/>
    <x v="0"/>
  </r>
  <r>
    <x v="469"/>
    <s v="Delhi"/>
    <x v="7"/>
    <d v="2015-04-20T00:00:00"/>
    <s v="UT Yadav"/>
    <s v="Feroz Shah Kotla"/>
    <s v="Delhi Capitals"/>
    <s v="Kolkata Knight Riders"/>
    <s v="Kolkata Knight Riders"/>
    <x v="0"/>
    <s v="Kolkata Knight Riders"/>
    <s v="wickets"/>
    <n v="6"/>
    <s v="N"/>
    <s v="Normal Match"/>
    <x v="34"/>
    <s v="CB Gaffaney"/>
    <x v="7"/>
    <x v="1"/>
    <x v="1"/>
    <x v="1"/>
  </r>
  <r>
    <x v="470"/>
    <s v="Visakhapatnam"/>
    <x v="7"/>
    <d v="2015-04-22T00:00:00"/>
    <s v="DA Warner"/>
    <s v="Dr. Y.S. Rajasekhara Reddy ACA-VDCA Cricket Stadium"/>
    <s v="Sunrisers Hyderabad"/>
    <s v="Kolkata Knight Riders"/>
    <s v="Kolkata Knight Riders"/>
    <x v="0"/>
    <s v="Sunrisers Hyderabad"/>
    <s v="runs"/>
    <n v="16"/>
    <s v="N"/>
    <s v="D/L"/>
    <x v="31"/>
    <s v="VA Kulkarni"/>
    <x v="7"/>
    <x v="0"/>
    <x v="0"/>
    <x v="0"/>
  </r>
  <r>
    <x v="471"/>
    <s v="Bangalore"/>
    <x v="7"/>
    <d v="2015-04-22T00:00:00"/>
    <s v="SK Raina"/>
    <s v="M. Chinnaswamy Stadium"/>
    <s v="Royal Challengers Bangalore"/>
    <s v="Chennai Super Kings"/>
    <s v="Royal Challengers Bangalore"/>
    <x v="0"/>
    <s v="Chennai Super Kings"/>
    <s v="runs"/>
    <n v="27"/>
    <s v="N"/>
    <s v="Normal Match"/>
    <x v="24"/>
    <s v="C Shamshuddin"/>
    <x v="7"/>
    <x v="0"/>
    <x v="0"/>
    <x v="0"/>
  </r>
  <r>
    <x v="472"/>
    <s v="Delhi"/>
    <x v="7"/>
    <d v="2015-04-23T00:00:00"/>
    <s v="SS Iyer"/>
    <s v="Feroz Shah Kotla"/>
    <s v="Delhi Capitals"/>
    <s v="Mumbai Indians"/>
    <s v="Mumbai Indians"/>
    <x v="0"/>
    <s v="Delhi Capitals"/>
    <s v="runs"/>
    <n v="37"/>
    <s v="N"/>
    <s v="Normal Match"/>
    <x v="34"/>
    <s v="CK Nandan"/>
    <x v="7"/>
    <x v="0"/>
    <x v="0"/>
    <x v="0"/>
  </r>
  <r>
    <x v="473"/>
    <s v="Ahmedabad"/>
    <x v="7"/>
    <d v="2015-04-24T00:00:00"/>
    <s v="MA Starc"/>
    <s v="Sardar Patel Stadium, Motera"/>
    <s v="Rajasthan Royals"/>
    <s v="Royal Challengers Bangalore"/>
    <s v="Royal Challengers Bangalore"/>
    <x v="0"/>
    <s v="Royal Challengers Bangalore"/>
    <s v="wickets"/>
    <n v="9"/>
    <s v="N"/>
    <s v="Normal Match"/>
    <x v="11"/>
    <s v="S Ravi"/>
    <x v="7"/>
    <x v="1"/>
    <x v="1"/>
    <x v="1"/>
  </r>
  <r>
    <x v="474"/>
    <s v="Mumbai"/>
    <x v="7"/>
    <d v="2015-04-25T00:00:00"/>
    <s v="SL Malinga"/>
    <s v="Wankhede Stadium"/>
    <s v="Mumbai Indians"/>
    <s v="Sunrisers Hyderabad"/>
    <s v="Mumbai Indians"/>
    <x v="1"/>
    <s v="Mumbai Indians"/>
    <s v="runs"/>
    <n v="20"/>
    <s v="N"/>
    <s v="Normal Match"/>
    <x v="12"/>
    <s v="CB Gaffaney"/>
    <x v="7"/>
    <x v="0"/>
    <x v="1"/>
    <x v="1"/>
  </r>
  <r>
    <x v="475"/>
    <s v="Chennai"/>
    <x v="7"/>
    <d v="2015-04-25T00:00:00"/>
    <s v="BB McCullum"/>
    <s v="MA Chidambaram Stadium, Chepauk"/>
    <s v="Chennai Super Kings"/>
    <s v="Punjab Kings"/>
    <s v="Chennai Super Kings"/>
    <x v="1"/>
    <s v="Chennai Super Kings"/>
    <s v="runs"/>
    <n v="97"/>
    <s v="N"/>
    <s v="Normal Match"/>
    <x v="24"/>
    <s v="C Shamshuddin"/>
    <x v="7"/>
    <x v="0"/>
    <x v="1"/>
    <x v="1"/>
  </r>
  <r>
    <x v="476"/>
    <s v="Delhi"/>
    <x v="7"/>
    <d v="2015-04-26T00:00:00"/>
    <s v="VR Aaron"/>
    <s v="Feroz Shah Kotla"/>
    <s v="Delhi Capitals"/>
    <s v="Royal Challengers Bangalore"/>
    <s v="Royal Challengers Bangalore"/>
    <x v="0"/>
    <s v="Royal Challengers Bangalore"/>
    <s v="wickets"/>
    <n v="10"/>
    <s v="N"/>
    <s v="Normal Match"/>
    <x v="11"/>
    <s v="S Ravi"/>
    <x v="7"/>
    <x v="1"/>
    <x v="1"/>
    <x v="1"/>
  </r>
  <r>
    <x v="477"/>
    <s v="Chandigarh"/>
    <x v="7"/>
    <d v="2015-04-27T00:00:00"/>
    <s v="TA Boult"/>
    <s v="Punjab Cricket Association Stadium, Mohali"/>
    <s v="Punjab Kings"/>
    <s v="Sunrisers Hyderabad"/>
    <s v="Punjab Kings"/>
    <x v="0"/>
    <s v="Sunrisers Hyderabad"/>
    <s v="runs"/>
    <n v="20"/>
    <s v="N"/>
    <s v="Normal Match"/>
    <x v="12"/>
    <s v="CB Gaffaney"/>
    <x v="7"/>
    <x v="0"/>
    <x v="0"/>
    <x v="0"/>
  </r>
  <r>
    <x v="478"/>
    <s v="Kolkata"/>
    <x v="7"/>
    <d v="2015-05-07T00:00:00"/>
    <s v="PP Chawla"/>
    <s v="Eden Gardens"/>
    <s v="Kolkata Knight Riders"/>
    <s v="Delhi Capitals"/>
    <s v="Kolkata Knight Riders"/>
    <x v="1"/>
    <s v="Kolkata Knight Riders"/>
    <s v="runs"/>
    <n v="13"/>
    <s v="N"/>
    <s v="Normal Match"/>
    <x v="25"/>
    <s v="M Erasmus"/>
    <x v="7"/>
    <x v="0"/>
    <x v="1"/>
    <x v="1"/>
  </r>
  <r>
    <x v="479"/>
    <s v="Chennai"/>
    <x v="7"/>
    <d v="2015-04-28T00:00:00"/>
    <s v="DJ Bravo"/>
    <s v="MA Chidambaram Stadium, Chepauk"/>
    <s v="Chennai Super Kings"/>
    <s v="Kolkata Knight Riders"/>
    <s v="Kolkata Knight Riders"/>
    <x v="0"/>
    <s v="Chennai Super Kings"/>
    <s v="runs"/>
    <n v="2"/>
    <s v="N"/>
    <s v="Normal Match"/>
    <x v="32"/>
    <s v="VA Kulkarni"/>
    <x v="7"/>
    <x v="0"/>
    <x v="0"/>
    <x v="0"/>
  </r>
  <r>
    <x v="480"/>
    <s v="Delhi"/>
    <x v="7"/>
    <d v="2015-05-01T00:00:00"/>
    <s v="NM Coulter-Nile"/>
    <s v="Feroz Shah Kotla"/>
    <s v="Delhi Capitals"/>
    <s v="Punjab Kings"/>
    <s v="Delhi Capitals"/>
    <x v="0"/>
    <s v="Delhi Capitals"/>
    <s v="wickets"/>
    <n v="9"/>
    <s v="N"/>
    <s v="Normal Match"/>
    <x v="31"/>
    <s v="S Ravi"/>
    <x v="7"/>
    <x v="1"/>
    <x v="1"/>
    <x v="1"/>
  </r>
  <r>
    <x v="481"/>
    <s v="Mumbai"/>
    <x v="7"/>
    <d v="2015-05-01T00:00:00"/>
    <s v="AT Rayudu"/>
    <s v="Wankhede Stadium"/>
    <s v="Mumbai Indians"/>
    <s v="Rajasthan Royals"/>
    <s v="Rajasthan Royals"/>
    <x v="0"/>
    <s v="Mumbai Indians"/>
    <s v="runs"/>
    <n v="8"/>
    <s v="N"/>
    <s v="Normal Match"/>
    <x v="12"/>
    <s v="CK Nandan"/>
    <x v="7"/>
    <x v="0"/>
    <x v="0"/>
    <x v="0"/>
  </r>
  <r>
    <x v="482"/>
    <s v="Bangalore"/>
    <x v="7"/>
    <d v="2015-05-02T00:00:00"/>
    <s v="Mandeep Singh"/>
    <s v="M. Chinnaswamy Stadium"/>
    <s v="Royal Challengers Bangalore"/>
    <s v="Kolkata Knight Riders"/>
    <s v="Royal Challengers Bangalore"/>
    <x v="0"/>
    <s v="Royal Challengers Bangalore"/>
    <s v="wickets"/>
    <n v="7"/>
    <s v="N"/>
    <s v="Normal Match"/>
    <x v="24"/>
    <s v="PG Pathak"/>
    <x v="7"/>
    <x v="1"/>
    <x v="1"/>
    <x v="1"/>
  </r>
  <r>
    <x v="483"/>
    <s v="Hyderabad"/>
    <x v="7"/>
    <d v="2015-05-02T00:00:00"/>
    <s v="DA Warner"/>
    <s v="Rajiv Gandhi International Stadium, Uppal"/>
    <s v="Sunrisers Hyderabad"/>
    <s v="Chennai Super Kings"/>
    <s v="Chennai Super Kings"/>
    <x v="0"/>
    <s v="Sunrisers Hyderabad"/>
    <s v="runs"/>
    <n v="22"/>
    <s v="N"/>
    <s v="Normal Match"/>
    <x v="25"/>
    <s v="K Srinivasan"/>
    <x v="7"/>
    <x v="0"/>
    <x v="0"/>
    <x v="0"/>
  </r>
  <r>
    <x v="484"/>
    <s v="Chandigarh"/>
    <x v="7"/>
    <d v="2015-05-03T00:00:00"/>
    <s v="LMP Simmons"/>
    <s v="Punjab Cricket Association Stadium, Mohali"/>
    <s v="Punjab Kings"/>
    <s v="Mumbai Indians"/>
    <s v="Mumbai Indians"/>
    <x v="1"/>
    <s v="Mumbai Indians"/>
    <s v="runs"/>
    <n v="23"/>
    <s v="N"/>
    <s v="Normal Match"/>
    <x v="31"/>
    <s v="VA Kulkarni"/>
    <x v="7"/>
    <x v="0"/>
    <x v="1"/>
    <x v="1"/>
  </r>
  <r>
    <x v="485"/>
    <s v="Mumbai"/>
    <x v="7"/>
    <d v="2015-05-03T00:00:00"/>
    <s v="AM Rahane"/>
    <s v="Brabourne Stadium"/>
    <s v="Rajasthan Royals"/>
    <s v="Delhi Capitals"/>
    <s v="Delhi Capitals"/>
    <x v="0"/>
    <s v="Rajasthan Royals"/>
    <s v="runs"/>
    <n v="14"/>
    <s v="N"/>
    <s v="Normal Match"/>
    <x v="12"/>
    <s v="CB Gaffaney"/>
    <x v="7"/>
    <x v="0"/>
    <x v="0"/>
    <x v="0"/>
  </r>
  <r>
    <x v="486"/>
    <s v="Chennai"/>
    <x v="7"/>
    <d v="2015-05-04T00:00:00"/>
    <s v="SK Raina"/>
    <s v="MA Chidambaram Stadium, Chepauk"/>
    <s v="Chennai Super Kings"/>
    <s v="Royal Challengers Bangalore"/>
    <s v="Chennai Super Kings"/>
    <x v="1"/>
    <s v="Chennai Super Kings"/>
    <s v="runs"/>
    <n v="24"/>
    <s v="N"/>
    <s v="Normal Match"/>
    <x v="29"/>
    <s v="K Srinath"/>
    <x v="7"/>
    <x v="0"/>
    <x v="1"/>
    <x v="1"/>
  </r>
  <r>
    <x v="487"/>
    <s v="Kolkata"/>
    <x v="7"/>
    <d v="2015-05-04T00:00:00"/>
    <s v="UT Yadav"/>
    <s v="Eden Gardens"/>
    <s v="Kolkata Knight Riders"/>
    <s v="Sunrisers Hyderabad"/>
    <s v="Sunrisers Hyderabad"/>
    <x v="0"/>
    <s v="Kolkata Knight Riders"/>
    <s v="runs"/>
    <n v="35"/>
    <s v="N"/>
    <s v="Normal Match"/>
    <x v="25"/>
    <s v="M Erasmus"/>
    <x v="7"/>
    <x v="0"/>
    <x v="0"/>
    <x v="0"/>
  </r>
  <r>
    <x v="488"/>
    <s v="Mumbai"/>
    <x v="7"/>
    <d v="2015-05-05T00:00:00"/>
    <s v="Harbhajan Singh"/>
    <s v="Wankhede Stadium"/>
    <s v="Mumbai Indians"/>
    <s v="Delhi Capitals"/>
    <s v="Delhi Capitals"/>
    <x v="1"/>
    <s v="Mumbai Indians"/>
    <s v="wickets"/>
    <n v="5"/>
    <s v="N"/>
    <s v="Normal Match"/>
    <x v="12"/>
    <s v="CB Gaffaney"/>
    <x v="7"/>
    <x v="1"/>
    <x v="0"/>
    <x v="0"/>
  </r>
  <r>
    <x v="489"/>
    <s v="Bangalore"/>
    <x v="7"/>
    <d v="2015-05-06T00:00:00"/>
    <s v="CH Gayle"/>
    <s v="M. Chinnaswamy Stadium"/>
    <s v="Royal Challengers Bangalore"/>
    <s v="Punjab Kings"/>
    <s v="Punjab Kings"/>
    <x v="0"/>
    <s v="Royal Challengers Bangalore"/>
    <s v="runs"/>
    <n v="138"/>
    <s v="N"/>
    <s v="Normal Match"/>
    <x v="31"/>
    <s v="VA Kulkarni"/>
    <x v="7"/>
    <x v="0"/>
    <x v="0"/>
    <x v="0"/>
  </r>
  <r>
    <x v="490"/>
    <s v="Mumbai"/>
    <x v="7"/>
    <d v="2015-05-07T00:00:00"/>
    <s v="EJG Morgan"/>
    <s v="Brabourne Stadium"/>
    <s v="Rajasthan Royals"/>
    <s v="Sunrisers Hyderabad"/>
    <s v="Rajasthan Royals"/>
    <x v="0"/>
    <s v="Sunrisers Hyderabad"/>
    <s v="runs"/>
    <n v="7"/>
    <s v="N"/>
    <s v="Normal Match"/>
    <x v="24"/>
    <s v="C Shamshuddin"/>
    <x v="7"/>
    <x v="0"/>
    <x v="0"/>
    <x v="0"/>
  </r>
  <r>
    <x v="491"/>
    <s v="Chennai"/>
    <x v="7"/>
    <d v="2015-05-08T00:00:00"/>
    <s v="HH Pandya"/>
    <s v="MA Chidambaram Stadium, Chepauk"/>
    <s v="Chennai Super Kings"/>
    <s v="Mumbai Indians"/>
    <s v="Chennai Super Kings"/>
    <x v="1"/>
    <s v="Mumbai Indians"/>
    <s v="wickets"/>
    <n v="6"/>
    <s v="N"/>
    <s v="Normal Match"/>
    <x v="35"/>
    <s v="CK Nandan"/>
    <x v="7"/>
    <x v="1"/>
    <x v="0"/>
    <x v="0"/>
  </r>
  <r>
    <x v="492"/>
    <s v="Kolkata"/>
    <x v="7"/>
    <d v="2015-05-09T00:00:00"/>
    <s v="AD Russell"/>
    <s v="Eden Gardens"/>
    <s v="Kolkata Knight Riders"/>
    <s v="Punjab Kings"/>
    <s v="Punjab Kings"/>
    <x v="1"/>
    <s v="Kolkata Knight Riders"/>
    <s v="wickets"/>
    <n v="1"/>
    <s v="N"/>
    <s v="Normal Match"/>
    <x v="25"/>
    <s v="HDPK Dharmasena"/>
    <x v="7"/>
    <x v="1"/>
    <x v="0"/>
    <x v="0"/>
  </r>
  <r>
    <x v="493"/>
    <s v="Raipur"/>
    <x v="7"/>
    <d v="2015-05-09T00:00:00"/>
    <s v="MC Henriques"/>
    <s v="Shaheed Veer Narayan Singh International Stadium"/>
    <s v="Delhi Capitals"/>
    <s v="Sunrisers Hyderabad"/>
    <s v="Sunrisers Hyderabad"/>
    <x v="1"/>
    <s v="Sunrisers Hyderabad"/>
    <s v="runs"/>
    <n v="6"/>
    <s v="N"/>
    <s v="Normal Match"/>
    <x v="26"/>
    <s v="S Ravi"/>
    <x v="7"/>
    <x v="0"/>
    <x v="1"/>
    <x v="1"/>
  </r>
  <r>
    <x v="494"/>
    <s v="Mumbai"/>
    <x v="7"/>
    <d v="2015-05-10T00:00:00"/>
    <s v="AB de Villiers"/>
    <s v="Wankhede Stadium"/>
    <s v="Mumbai Indians"/>
    <s v="Royal Challengers Bangalore"/>
    <s v="Royal Challengers Bangalore"/>
    <x v="1"/>
    <s v="Royal Challengers Bangalore"/>
    <s v="runs"/>
    <n v="39"/>
    <s v="N"/>
    <s v="Normal Match"/>
    <x v="24"/>
    <s v="C Shamshuddin"/>
    <x v="7"/>
    <x v="0"/>
    <x v="1"/>
    <x v="1"/>
  </r>
  <r>
    <x v="495"/>
    <s v="Chennai"/>
    <x v="7"/>
    <d v="2015-05-10T00:00:00"/>
    <s v="RA Jadeja"/>
    <s v="MA Chidambaram Stadium, Chepauk"/>
    <s v="Chennai Super Kings"/>
    <s v="Rajasthan Royals"/>
    <s v="Chennai Super Kings"/>
    <x v="1"/>
    <s v="Chennai Super Kings"/>
    <s v="runs"/>
    <n v="12"/>
    <s v="N"/>
    <s v="Normal Match"/>
    <x v="11"/>
    <s v="CK Nandan"/>
    <x v="7"/>
    <x v="0"/>
    <x v="1"/>
    <x v="1"/>
  </r>
  <r>
    <x v="496"/>
    <s v="Hyderabad"/>
    <x v="7"/>
    <d v="2015-05-11T00:00:00"/>
    <s v="DA Warner"/>
    <s v="Rajiv Gandhi International Stadium, Uppal"/>
    <s v="Sunrisers Hyderabad"/>
    <s v="Punjab Kings"/>
    <s v="Sunrisers Hyderabad"/>
    <x v="1"/>
    <s v="Sunrisers Hyderabad"/>
    <s v="runs"/>
    <n v="5"/>
    <s v="N"/>
    <s v="Normal Match"/>
    <x v="25"/>
    <s v="HDPK Dharmasena"/>
    <x v="7"/>
    <x v="0"/>
    <x v="1"/>
    <x v="1"/>
  </r>
  <r>
    <x v="497"/>
    <s v="Raipur"/>
    <x v="7"/>
    <d v="2015-05-12T00:00:00"/>
    <s v="Z Khan"/>
    <s v="Shaheed Veer Narayan Singh International Stadium"/>
    <s v="Delhi Capitals"/>
    <s v="Chennai Super Kings"/>
    <s v="Chennai Super Kings"/>
    <x v="1"/>
    <s v="Delhi Capitals"/>
    <s v="wickets"/>
    <n v="6"/>
    <s v="N"/>
    <s v="Normal Match"/>
    <x v="31"/>
    <s v="VA Kulkarni"/>
    <x v="7"/>
    <x v="1"/>
    <x v="0"/>
    <x v="0"/>
  </r>
  <r>
    <x v="498"/>
    <s v="Chandigarh"/>
    <x v="7"/>
    <d v="2015-05-13T00:00:00"/>
    <s v="AR Patel"/>
    <s v="Punjab Cricket Association Stadium, Mohali"/>
    <s v="Punjab Kings"/>
    <s v="Royal Challengers Bangalore"/>
    <s v="Royal Challengers Bangalore"/>
    <x v="0"/>
    <s v="Punjab Kings"/>
    <s v="runs"/>
    <n v="22"/>
    <s v="N"/>
    <s v="Normal Match"/>
    <x v="24"/>
    <s v="C Shamshuddin"/>
    <x v="7"/>
    <x v="0"/>
    <x v="0"/>
    <x v="0"/>
  </r>
  <r>
    <x v="499"/>
    <s v="Mumbai"/>
    <x v="7"/>
    <d v="2015-05-14T00:00:00"/>
    <s v="HH Pandya"/>
    <s v="Wankhede Stadium"/>
    <s v="Mumbai Indians"/>
    <s v="Kolkata Knight Riders"/>
    <s v="Kolkata Knight Riders"/>
    <x v="0"/>
    <s v="Mumbai Indians"/>
    <s v="runs"/>
    <n v="5"/>
    <s v="N"/>
    <s v="Normal Match"/>
    <x v="31"/>
    <s v="VA Kulkarni"/>
    <x v="7"/>
    <x v="0"/>
    <x v="0"/>
    <x v="0"/>
  </r>
  <r>
    <x v="500"/>
    <s v="Hyderabad"/>
    <x v="7"/>
    <d v="2015-05-15T00:00:00"/>
    <s v="V Kohli"/>
    <s v="Rajiv Gandhi International Stadium, Uppal"/>
    <s v="Sunrisers Hyderabad"/>
    <s v="Royal Challengers Bangalore"/>
    <s v="Sunrisers Hyderabad"/>
    <x v="1"/>
    <s v="Royal Challengers Bangalore"/>
    <s v="wickets"/>
    <n v="6"/>
    <s v="N"/>
    <s v="D/L"/>
    <x v="25"/>
    <s v="HDPK Dharmasena"/>
    <x v="7"/>
    <x v="1"/>
    <x v="0"/>
    <x v="0"/>
  </r>
  <r>
    <x v="501"/>
    <s v="Chandigarh"/>
    <x v="7"/>
    <d v="2015-05-16T00:00:00"/>
    <s v="P Negi"/>
    <s v="Punjab Cricket Association Stadium, Mohali"/>
    <s v="Punjab Kings"/>
    <s v="Chennai Super Kings"/>
    <s v="Punjab Kings"/>
    <x v="1"/>
    <s v="Chennai Super Kings"/>
    <s v="wickets"/>
    <n v="7"/>
    <s v="N"/>
    <s v="Normal Match"/>
    <x v="28"/>
    <s v="C Shamshuddin"/>
    <x v="7"/>
    <x v="1"/>
    <x v="0"/>
    <x v="0"/>
  </r>
  <r>
    <x v="502"/>
    <s v="Mumbai"/>
    <x v="7"/>
    <d v="2015-05-16T00:00:00"/>
    <s v="SR Watson"/>
    <s v="Brabourne Stadium"/>
    <s v="Rajasthan Royals"/>
    <s v="Kolkata Knight Riders"/>
    <s v="Rajasthan Royals"/>
    <x v="1"/>
    <s v="Rajasthan Royals"/>
    <s v="runs"/>
    <n v="9"/>
    <s v="N"/>
    <s v="Normal Match"/>
    <x v="32"/>
    <s v="RK Illingworth"/>
    <x v="7"/>
    <x v="0"/>
    <x v="1"/>
    <x v="1"/>
  </r>
  <r>
    <x v="503"/>
    <s v="Hyderabad"/>
    <x v="7"/>
    <d v="2015-05-17T00:00:00"/>
    <s v="MJ McClenaghan"/>
    <s v="Rajiv Gandhi International Stadium, Uppal"/>
    <s v="Sunrisers Hyderabad"/>
    <s v="Mumbai Indians"/>
    <s v="Sunrisers Hyderabad"/>
    <x v="1"/>
    <s v="Mumbai Indians"/>
    <s v="wickets"/>
    <n v="9"/>
    <s v="N"/>
    <s v="Normal Match"/>
    <x v="35"/>
    <s v="K Srinath"/>
    <x v="7"/>
    <x v="1"/>
    <x v="0"/>
    <x v="0"/>
  </r>
  <r>
    <x v="504"/>
    <s v="Mumbai"/>
    <x v="7"/>
    <d v="2015-05-19T00:00:00"/>
    <s v="KA Pollard"/>
    <s v="Wankhede Stadium"/>
    <s v="Chennai Super Kings"/>
    <s v="Mumbai Indians"/>
    <s v="Mumbai Indians"/>
    <x v="1"/>
    <s v="Mumbai Indians"/>
    <s v="runs"/>
    <n v="25"/>
    <s v="N"/>
    <s v="Normal Match"/>
    <x v="12"/>
    <s v="RK Illingworth"/>
    <x v="7"/>
    <x v="0"/>
    <x v="1"/>
    <x v="1"/>
  </r>
  <r>
    <x v="505"/>
    <s v="Pune"/>
    <x v="7"/>
    <d v="2015-05-20T00:00:00"/>
    <s v="AB de Villiers"/>
    <s v="Maharashtra Cricket Association Stadium"/>
    <s v="Royal Challengers Bangalore"/>
    <s v="Rajasthan Royals"/>
    <s v="Royal Challengers Bangalore"/>
    <x v="1"/>
    <s v="Royal Challengers Bangalore"/>
    <s v="runs"/>
    <n v="71"/>
    <s v="N"/>
    <s v="Normal Match"/>
    <x v="25"/>
    <s v="C Shamshuddin"/>
    <x v="7"/>
    <x v="0"/>
    <x v="1"/>
    <x v="1"/>
  </r>
  <r>
    <x v="506"/>
    <s v="Ranchi"/>
    <x v="7"/>
    <d v="2015-05-22T00:00:00"/>
    <s v="A Nehra"/>
    <s v="JSCA International Stadium Complex"/>
    <s v="Chennai Super Kings"/>
    <s v="Royal Challengers Bangalore"/>
    <s v="Chennai Super Kings"/>
    <x v="0"/>
    <s v="Chennai Super Kings"/>
    <s v="wickets"/>
    <n v="3"/>
    <s v="N"/>
    <s v="Normal Match"/>
    <x v="25"/>
    <s v="CB Gaffaney"/>
    <x v="7"/>
    <x v="1"/>
    <x v="1"/>
    <x v="1"/>
  </r>
  <r>
    <x v="507"/>
    <s v="Kolkata"/>
    <x v="7"/>
    <d v="2015-05-24T00:00:00"/>
    <s v="RG Sharma"/>
    <s v="Eden Gardens"/>
    <s v="Mumbai Indians"/>
    <s v="Chennai Super Kings"/>
    <s v="Chennai Super Kings"/>
    <x v="0"/>
    <s v="Mumbai Indians"/>
    <s v="runs"/>
    <n v="41"/>
    <s v="N"/>
    <s v="Normal Match"/>
    <x v="12"/>
    <s v="RK Illingworth"/>
    <x v="7"/>
    <x v="0"/>
    <x v="0"/>
    <x v="0"/>
  </r>
  <r>
    <x v="508"/>
    <s v="Mumbai"/>
    <x v="8"/>
    <d v="2016-04-09T00:00:00"/>
    <s v="AM Rahane"/>
    <s v="Wankhede Stadium"/>
    <s v="Mumbai Indians"/>
    <s v="Rising Pune Supergiant"/>
    <s v="Mumbai Indians"/>
    <x v="1"/>
    <s v="Rising Pune Supergiant"/>
    <s v="wickets"/>
    <n v="9"/>
    <s v="N"/>
    <s v="Normal Match"/>
    <x v="12"/>
    <s v="CK Nandan"/>
    <x v="8"/>
    <x v="1"/>
    <x v="0"/>
    <x v="0"/>
  </r>
  <r>
    <x v="509"/>
    <s v="Kolkata"/>
    <x v="8"/>
    <d v="2016-04-10T00:00:00"/>
    <s v="AD Russell"/>
    <s v="Eden Gardens"/>
    <s v="Kolkata Knight Riders"/>
    <s v="Delhi Capitals"/>
    <s v="Kolkata Knight Riders"/>
    <x v="0"/>
    <s v="Kolkata Knight Riders"/>
    <s v="wickets"/>
    <n v="9"/>
    <s v="N"/>
    <s v="Normal Match"/>
    <x v="19"/>
    <s v="C Shamshuddin"/>
    <x v="8"/>
    <x v="1"/>
    <x v="1"/>
    <x v="1"/>
  </r>
  <r>
    <x v="510"/>
    <s v="Chandigarh"/>
    <x v="8"/>
    <d v="2016-04-11T00:00:00"/>
    <s v="AJ Finch"/>
    <s v="Punjab Cricket Association Stadium, Mohali"/>
    <s v="Punjab Kings"/>
    <s v="Gujarat Lions"/>
    <s v="Gujarat Lions"/>
    <x v="0"/>
    <s v="Gujarat Lions"/>
    <s v="wickets"/>
    <n v="5"/>
    <s v="N"/>
    <s v="Normal Match"/>
    <x v="25"/>
    <s v="VA Kulkarni"/>
    <x v="8"/>
    <x v="1"/>
    <x v="1"/>
    <x v="1"/>
  </r>
  <r>
    <x v="511"/>
    <s v="Bangalore"/>
    <x v="8"/>
    <d v="2016-04-12T00:00:00"/>
    <s v="AB de Villiers"/>
    <s v="M. Chinnaswamy Stadium"/>
    <s v="Royal Challengers Bangalore"/>
    <s v="Sunrisers Hyderabad"/>
    <s v="Sunrisers Hyderabad"/>
    <x v="0"/>
    <s v="Royal Challengers Bangalore"/>
    <s v="runs"/>
    <n v="45"/>
    <s v="N"/>
    <s v="Normal Match"/>
    <x v="12"/>
    <s v="VK Sharma"/>
    <x v="8"/>
    <x v="0"/>
    <x v="0"/>
    <x v="0"/>
  </r>
  <r>
    <x v="512"/>
    <s v="Kolkata"/>
    <x v="8"/>
    <d v="2016-04-13T00:00:00"/>
    <s v="RG Sharma"/>
    <s v="Eden Gardens"/>
    <s v="Kolkata Knight Riders"/>
    <s v="Mumbai Indians"/>
    <s v="Mumbai Indians"/>
    <x v="0"/>
    <s v="Mumbai Indians"/>
    <s v="wickets"/>
    <n v="6"/>
    <s v="N"/>
    <s v="Normal Match"/>
    <x v="37"/>
    <s v="S Ravi"/>
    <x v="8"/>
    <x v="1"/>
    <x v="1"/>
    <x v="1"/>
  </r>
  <r>
    <x v="513"/>
    <s v="Rajkot"/>
    <x v="8"/>
    <d v="2016-04-14T00:00:00"/>
    <s v="AJ Finch"/>
    <s v="Saurashtra Cricket Association Stadium"/>
    <s v="Gujarat Lions"/>
    <s v="Rising Pune Supergiant"/>
    <s v="Rising Pune Supergiant"/>
    <x v="1"/>
    <s v="Gujarat Lions"/>
    <s v="wickets"/>
    <n v="7"/>
    <s v="N"/>
    <s v="Normal Match"/>
    <x v="26"/>
    <s v="CK Nandan"/>
    <x v="8"/>
    <x v="1"/>
    <x v="0"/>
    <x v="0"/>
  </r>
  <r>
    <x v="514"/>
    <s v="Delhi"/>
    <x v="8"/>
    <d v="2016-04-15T00:00:00"/>
    <s v="A Mishra"/>
    <s v="Feroz Shah Kotla"/>
    <s v="Delhi Capitals"/>
    <s v="Punjab Kings"/>
    <s v="Delhi Capitals"/>
    <x v="0"/>
    <s v="Delhi Capitals"/>
    <s v="wickets"/>
    <n v="8"/>
    <s v="N"/>
    <s v="Normal Match"/>
    <x v="19"/>
    <s v="C Shamshuddin"/>
    <x v="8"/>
    <x v="1"/>
    <x v="1"/>
    <x v="1"/>
  </r>
  <r>
    <x v="515"/>
    <s v="Hyderabad"/>
    <x v="8"/>
    <d v="2016-04-16T00:00:00"/>
    <s v="G Gambhir"/>
    <s v="Rajiv Gandhi International Stadium, Uppal"/>
    <s v="Sunrisers Hyderabad"/>
    <s v="Kolkata Knight Riders"/>
    <s v="Sunrisers Hyderabad"/>
    <x v="1"/>
    <s v="Kolkata Knight Riders"/>
    <s v="wickets"/>
    <n v="8"/>
    <s v="N"/>
    <s v="Normal Match"/>
    <x v="25"/>
    <s v="CK Nandan"/>
    <x v="8"/>
    <x v="1"/>
    <x v="0"/>
    <x v="0"/>
  </r>
  <r>
    <x v="516"/>
    <s v="Mumbai"/>
    <x v="8"/>
    <d v="2016-04-16T00:00:00"/>
    <s v="AJ Finch"/>
    <s v="Wankhede Stadium"/>
    <s v="Mumbai Indians"/>
    <s v="Gujarat Lions"/>
    <s v="Gujarat Lions"/>
    <x v="0"/>
    <s v="Gujarat Lions"/>
    <s v="wickets"/>
    <n v="3"/>
    <s v="N"/>
    <s v="Normal Match"/>
    <x v="12"/>
    <s v="VK Sharma"/>
    <x v="8"/>
    <x v="1"/>
    <x v="1"/>
    <x v="1"/>
  </r>
  <r>
    <x v="517"/>
    <s v="Chandigarh"/>
    <x v="8"/>
    <d v="2016-04-17T00:00:00"/>
    <s v="M Vohra"/>
    <s v="Punjab Cricket Association Stadium, Mohali"/>
    <s v="Punjab Kings"/>
    <s v="Rising Pune Supergiant"/>
    <s v="Rising Pune Supergiant"/>
    <x v="1"/>
    <s v="Punjab Kings"/>
    <s v="wickets"/>
    <n v="6"/>
    <s v="N"/>
    <s v="Normal Match"/>
    <x v="19"/>
    <s v="C Shamshuddin"/>
    <x v="8"/>
    <x v="1"/>
    <x v="0"/>
    <x v="0"/>
  </r>
  <r>
    <x v="518"/>
    <s v="Bangalore"/>
    <x v="8"/>
    <d v="2016-04-17T00:00:00"/>
    <s v="Q de Kock"/>
    <s v="M. Chinnaswamy Stadium"/>
    <s v="Royal Challengers Bangalore"/>
    <s v="Delhi Capitals"/>
    <s v="Delhi Capitals"/>
    <x v="0"/>
    <s v="Delhi Capitals"/>
    <s v="wickets"/>
    <n v="7"/>
    <s v="N"/>
    <s v="Normal Match"/>
    <x v="26"/>
    <s v="A Nand Kishore"/>
    <x v="8"/>
    <x v="1"/>
    <x v="1"/>
    <x v="1"/>
  </r>
  <r>
    <x v="519"/>
    <s v="Hyderabad"/>
    <x v="8"/>
    <d v="2016-04-18T00:00:00"/>
    <s v="DA Warner"/>
    <s v="Rajiv Gandhi International Stadium, Uppal"/>
    <s v="Sunrisers Hyderabad"/>
    <s v="Mumbai Indians"/>
    <s v="Sunrisers Hyderabad"/>
    <x v="0"/>
    <s v="Sunrisers Hyderabad"/>
    <s v="wickets"/>
    <n v="7"/>
    <s v="N"/>
    <s v="Normal Match"/>
    <x v="12"/>
    <s v="VK Sharma"/>
    <x v="8"/>
    <x v="1"/>
    <x v="1"/>
    <x v="1"/>
  </r>
  <r>
    <x v="520"/>
    <s v="Chandigarh"/>
    <x v="8"/>
    <d v="2016-04-19T00:00:00"/>
    <s v="RV Uthappa"/>
    <s v="Punjab Cricket Association Stadium, Mohali"/>
    <s v="Punjab Kings"/>
    <s v="Kolkata Knight Riders"/>
    <s v="Kolkata Knight Riders"/>
    <x v="0"/>
    <s v="Kolkata Knight Riders"/>
    <s v="wickets"/>
    <n v="6"/>
    <s v="N"/>
    <s v="Normal Match"/>
    <x v="19"/>
    <s v="C Shamshuddin"/>
    <x v="8"/>
    <x v="1"/>
    <x v="1"/>
    <x v="1"/>
  </r>
  <r>
    <x v="521"/>
    <s v="Mumbai"/>
    <x v="8"/>
    <d v="2016-04-20T00:00:00"/>
    <s v="RG Sharma"/>
    <s v="Wankhede Stadium"/>
    <s v="Mumbai Indians"/>
    <s v="Royal Challengers Bangalore"/>
    <s v="Mumbai Indians"/>
    <x v="0"/>
    <s v="Mumbai Indians"/>
    <s v="wickets"/>
    <n v="6"/>
    <s v="N"/>
    <s v="Normal Match"/>
    <x v="25"/>
    <s v="CK Nandan"/>
    <x v="8"/>
    <x v="1"/>
    <x v="1"/>
    <x v="1"/>
  </r>
  <r>
    <x v="522"/>
    <s v="Rajkot"/>
    <x v="8"/>
    <d v="2016-04-21T00:00:00"/>
    <s v="B Kumar"/>
    <s v="Saurashtra Cricket Association Stadium"/>
    <s v="Gujarat Lions"/>
    <s v="Sunrisers Hyderabad"/>
    <s v="Sunrisers Hyderabad"/>
    <x v="0"/>
    <s v="Sunrisers Hyderabad"/>
    <s v="wickets"/>
    <n v="10"/>
    <s v="N"/>
    <s v="Normal Match"/>
    <x v="38"/>
    <s v="HDPK Dharmasena"/>
    <x v="8"/>
    <x v="1"/>
    <x v="1"/>
    <x v="1"/>
  </r>
  <r>
    <x v="523"/>
    <s v="Pune"/>
    <x v="8"/>
    <d v="2016-04-22T00:00:00"/>
    <s v="AB de Villiers"/>
    <s v="Maharashtra Cricket Association Stadium"/>
    <s v="Rising Pune Supergiant"/>
    <s v="Royal Challengers Bangalore"/>
    <s v="Rising Pune Supergiant"/>
    <x v="0"/>
    <s v="Royal Challengers Bangalore"/>
    <s v="runs"/>
    <n v="13"/>
    <s v="N"/>
    <s v="Normal Match"/>
    <x v="35"/>
    <s v="VK Sharma"/>
    <x v="8"/>
    <x v="0"/>
    <x v="0"/>
    <x v="0"/>
  </r>
  <r>
    <x v="524"/>
    <s v="Delhi"/>
    <x v="8"/>
    <d v="2016-04-23T00:00:00"/>
    <s v="SV Samson"/>
    <s v="Feroz Shah Kotla"/>
    <s v="Delhi Capitals"/>
    <s v="Mumbai Indians"/>
    <s v="Mumbai Indians"/>
    <x v="0"/>
    <s v="Delhi Capitals"/>
    <s v="runs"/>
    <n v="10"/>
    <s v="N"/>
    <s v="Normal Match"/>
    <x v="19"/>
    <s v="C Shamshuddin"/>
    <x v="8"/>
    <x v="0"/>
    <x v="0"/>
    <x v="0"/>
  </r>
  <r>
    <x v="525"/>
    <s v="Hyderabad"/>
    <x v="8"/>
    <d v="2016-04-23T00:00:00"/>
    <s v="Mustafizur Rahman"/>
    <s v="Rajiv Gandhi International Stadium, Uppal"/>
    <s v="Sunrisers Hyderabad"/>
    <s v="Punjab Kings"/>
    <s v="Sunrisers Hyderabad"/>
    <x v="0"/>
    <s v="Sunrisers Hyderabad"/>
    <s v="wickets"/>
    <n v="5"/>
    <s v="N"/>
    <s v="Normal Match"/>
    <x v="25"/>
    <s v="CK Nandan"/>
    <x v="8"/>
    <x v="1"/>
    <x v="1"/>
    <x v="1"/>
  </r>
  <r>
    <x v="526"/>
    <s v="Rajkot"/>
    <x v="8"/>
    <d v="2016-04-24T00:00:00"/>
    <s v="V Kohli"/>
    <s v="Saurashtra Cricket Association Stadium"/>
    <s v="Gujarat Lions"/>
    <s v="Royal Challengers Bangalore"/>
    <s v="Royal Challengers Bangalore"/>
    <x v="1"/>
    <s v="Gujarat Lions"/>
    <s v="wickets"/>
    <n v="6"/>
    <s v="N"/>
    <s v="Normal Match"/>
    <x v="38"/>
    <s v="BNJ Oxenford"/>
    <x v="8"/>
    <x v="1"/>
    <x v="0"/>
    <x v="0"/>
  </r>
  <r>
    <x v="527"/>
    <s v="Pune"/>
    <x v="8"/>
    <d v="2016-04-24T00:00:00"/>
    <s v="SA Yadav"/>
    <s v="Maharashtra Cricket Association Stadium"/>
    <s v="Rising Pune Supergiant"/>
    <s v="Kolkata Knight Riders"/>
    <s v="Kolkata Knight Riders"/>
    <x v="0"/>
    <s v="Kolkata Knight Riders"/>
    <s v="wickets"/>
    <n v="2"/>
    <s v="N"/>
    <s v="Normal Match"/>
    <x v="35"/>
    <s v="A Nand Kishore"/>
    <x v="8"/>
    <x v="1"/>
    <x v="1"/>
    <x v="1"/>
  </r>
  <r>
    <x v="528"/>
    <s v="Chandigarh"/>
    <x v="8"/>
    <d v="2016-04-25T00:00:00"/>
    <s v="PA Patel"/>
    <s v="Punjab Cricket Association Stadium, Mohali"/>
    <s v="Punjab Kings"/>
    <s v="Mumbai Indians"/>
    <s v="Punjab Kings"/>
    <x v="0"/>
    <s v="Mumbai Indians"/>
    <s v="runs"/>
    <n v="25"/>
    <s v="N"/>
    <s v="Normal Match"/>
    <x v="37"/>
    <s v="RJ Tucker"/>
    <x v="8"/>
    <x v="0"/>
    <x v="0"/>
    <x v="0"/>
  </r>
  <r>
    <x v="529"/>
    <s v="Hyderabad"/>
    <x v="8"/>
    <d v="2016-04-26T00:00:00"/>
    <s v="AB Dinda"/>
    <s v="Rajiv Gandhi International Stadium, Uppal"/>
    <s v="Sunrisers Hyderabad"/>
    <s v="Rising Pune Supergiant"/>
    <s v="Rising Pune Supergiant"/>
    <x v="0"/>
    <s v="Rising Pune Supergiant"/>
    <s v="runs"/>
    <n v="34"/>
    <s v="N"/>
    <s v="D/L"/>
    <x v="39"/>
    <s v="CK Nandan"/>
    <x v="8"/>
    <x v="0"/>
    <x v="1"/>
    <x v="1"/>
  </r>
  <r>
    <x v="530"/>
    <s v="Delhi"/>
    <x v="8"/>
    <d v="2016-04-27T00:00:00"/>
    <s v="CH Morris"/>
    <s v="Feroz Shah Kotla"/>
    <s v="Delhi Capitals"/>
    <s v="Gujarat Lions"/>
    <s v="Delhi Capitals"/>
    <x v="0"/>
    <s v="Gujarat Lions"/>
    <s v="runs"/>
    <n v="1"/>
    <s v="N"/>
    <s v="Normal Match"/>
    <x v="11"/>
    <s v="S Ravi"/>
    <x v="8"/>
    <x v="0"/>
    <x v="0"/>
    <x v="0"/>
  </r>
  <r>
    <x v="531"/>
    <s v="Mumbai"/>
    <x v="8"/>
    <d v="2016-04-28T00:00:00"/>
    <s v="RG Sharma"/>
    <s v="Wankhede Stadium"/>
    <s v="Mumbai Indians"/>
    <s v="Kolkata Knight Riders"/>
    <s v="Mumbai Indians"/>
    <x v="0"/>
    <s v="Mumbai Indians"/>
    <s v="wickets"/>
    <n v="6"/>
    <s v="N"/>
    <s v="Normal Match"/>
    <x v="37"/>
    <s v="RJ Tucker"/>
    <x v="8"/>
    <x v="1"/>
    <x v="1"/>
    <x v="1"/>
  </r>
  <r>
    <x v="532"/>
    <s v="Pune"/>
    <x v="8"/>
    <d v="2016-04-29T00:00:00"/>
    <s v="DR Smith"/>
    <s v="Maharashtra Cricket Association Stadium"/>
    <s v="Rising Pune Supergiant"/>
    <s v="Gujarat Lions"/>
    <s v="Gujarat Lions"/>
    <x v="0"/>
    <s v="Gujarat Lions"/>
    <s v="wickets"/>
    <n v="3"/>
    <s v="N"/>
    <s v="Normal Match"/>
    <x v="35"/>
    <s v="BNJ Oxenford"/>
    <x v="8"/>
    <x v="1"/>
    <x v="1"/>
    <x v="1"/>
  </r>
  <r>
    <x v="533"/>
    <s v="Delhi"/>
    <x v="8"/>
    <d v="2016-04-30T00:00:00"/>
    <s v="CR Brathwaite"/>
    <s v="Feroz Shah Kotla"/>
    <s v="Delhi Capitals"/>
    <s v="Kolkata Knight Riders"/>
    <s v="Kolkata Knight Riders"/>
    <x v="0"/>
    <s v="Delhi Capitals"/>
    <s v="runs"/>
    <n v="27"/>
    <s v="N"/>
    <s v="Normal Match"/>
    <x v="40"/>
    <s v="M Erasmus"/>
    <x v="8"/>
    <x v="0"/>
    <x v="0"/>
    <x v="0"/>
  </r>
  <r>
    <x v="534"/>
    <s v="Hyderabad"/>
    <x v="8"/>
    <d v="2016-04-30T00:00:00"/>
    <s v="DA Warner"/>
    <s v="Rajiv Gandhi International Stadium, Uppal"/>
    <s v="Sunrisers Hyderabad"/>
    <s v="Royal Challengers Bangalore"/>
    <s v="Royal Challengers Bangalore"/>
    <x v="0"/>
    <s v="Sunrisers Hyderabad"/>
    <s v="runs"/>
    <n v="15"/>
    <s v="N"/>
    <s v="Normal Match"/>
    <x v="25"/>
    <s v="HDPK Dharmasena"/>
    <x v="8"/>
    <x v="0"/>
    <x v="0"/>
    <x v="0"/>
  </r>
  <r>
    <x v="535"/>
    <s v="Rajkot"/>
    <x v="8"/>
    <d v="2016-05-01T00:00:00"/>
    <s v="AR Patel"/>
    <s v="Saurashtra Cricket Association Stadium"/>
    <s v="Gujarat Lions"/>
    <s v="Punjab Kings"/>
    <s v="Gujarat Lions"/>
    <x v="0"/>
    <s v="Punjab Kings"/>
    <s v="runs"/>
    <n v="23"/>
    <s v="N"/>
    <s v="Normal Match"/>
    <x v="27"/>
    <s v="VK Sharma"/>
    <x v="8"/>
    <x v="0"/>
    <x v="0"/>
    <x v="0"/>
  </r>
  <r>
    <x v="536"/>
    <s v="Pune"/>
    <x v="8"/>
    <d v="2016-05-01T00:00:00"/>
    <s v="RG Sharma"/>
    <s v="Maharashtra Cricket Association Stadium"/>
    <s v="Rising Pune Supergiant"/>
    <s v="Mumbai Indians"/>
    <s v="Mumbai Indians"/>
    <x v="0"/>
    <s v="Mumbai Indians"/>
    <s v="wickets"/>
    <n v="8"/>
    <s v="N"/>
    <s v="Normal Match"/>
    <x v="39"/>
    <s v="RJ Tucker"/>
    <x v="8"/>
    <x v="1"/>
    <x v="1"/>
    <x v="1"/>
  </r>
  <r>
    <x v="537"/>
    <s v="Bangalore"/>
    <x v="8"/>
    <d v="2016-05-02T00:00:00"/>
    <s v="AD Russell"/>
    <s v="M. Chinnaswamy Stadium"/>
    <s v="Royal Challengers Bangalore"/>
    <s v="Kolkata Knight Riders"/>
    <s v="Kolkata Knight Riders"/>
    <x v="0"/>
    <s v="Kolkata Knight Riders"/>
    <s v="wickets"/>
    <n v="5"/>
    <s v="N"/>
    <s v="Normal Match"/>
    <x v="11"/>
    <s v="S Ravi"/>
    <x v="8"/>
    <x v="1"/>
    <x v="1"/>
    <x v="1"/>
  </r>
  <r>
    <x v="538"/>
    <s v="Rajkot"/>
    <x v="8"/>
    <d v="2016-05-03T00:00:00"/>
    <s v="RR Pant"/>
    <s v="Saurashtra Cricket Association Stadium"/>
    <s v="Gujarat Lions"/>
    <s v="Delhi Capitals"/>
    <s v="Delhi Capitals"/>
    <x v="0"/>
    <s v="Delhi Capitals"/>
    <s v="wickets"/>
    <n v="8"/>
    <s v="N"/>
    <s v="Normal Match"/>
    <x v="35"/>
    <s v="BNJ Oxenford"/>
    <x v="8"/>
    <x v="1"/>
    <x v="1"/>
    <x v="1"/>
  </r>
  <r>
    <x v="539"/>
    <s v="Kolkata"/>
    <x v="8"/>
    <d v="2016-05-04T00:00:00"/>
    <s v="AD Russell"/>
    <s v="Eden Gardens"/>
    <s v="Kolkata Knight Riders"/>
    <s v="Punjab Kings"/>
    <s v="Punjab Kings"/>
    <x v="0"/>
    <s v="Kolkata Knight Riders"/>
    <s v="runs"/>
    <n v="7"/>
    <s v="N"/>
    <s v="Normal Match"/>
    <x v="25"/>
    <s v="HDPK Dharmasena"/>
    <x v="8"/>
    <x v="0"/>
    <x v="0"/>
    <x v="0"/>
  </r>
  <r>
    <x v="540"/>
    <s v="Delhi"/>
    <x v="8"/>
    <d v="2016-05-05T00:00:00"/>
    <s v="AM Rahane"/>
    <s v="Feroz Shah Kotla"/>
    <s v="Delhi Capitals"/>
    <s v="Rising Pune Supergiant"/>
    <s v="Rising Pune Supergiant"/>
    <x v="0"/>
    <s v="Rising Pune Supergiant"/>
    <s v="wickets"/>
    <n v="7"/>
    <s v="N"/>
    <s v="Normal Match"/>
    <x v="29"/>
    <s v="RJ Tucker"/>
    <x v="8"/>
    <x v="1"/>
    <x v="1"/>
    <x v="1"/>
  </r>
  <r>
    <x v="541"/>
    <s v="Hyderabad"/>
    <x v="8"/>
    <d v="2016-05-06T00:00:00"/>
    <s v="B Kumar"/>
    <s v="Rajiv Gandhi International Stadium, Uppal"/>
    <s v="Sunrisers Hyderabad"/>
    <s v="Gujarat Lions"/>
    <s v="Sunrisers Hyderabad"/>
    <x v="0"/>
    <s v="Sunrisers Hyderabad"/>
    <s v="wickets"/>
    <n v="5"/>
    <s v="N"/>
    <s v="Normal Match"/>
    <x v="11"/>
    <s v="S Ravi"/>
    <x v="8"/>
    <x v="1"/>
    <x v="1"/>
    <x v="1"/>
  </r>
  <r>
    <x v="542"/>
    <s v="Bangalore"/>
    <x v="8"/>
    <d v="2016-05-07T00:00:00"/>
    <s v="V Kohli"/>
    <s v="M. Chinnaswamy Stadium"/>
    <s v="Royal Challengers Bangalore"/>
    <s v="Rising Pune Supergiant"/>
    <s v="Royal Challengers Bangalore"/>
    <x v="0"/>
    <s v="Royal Challengers Bangalore"/>
    <s v="wickets"/>
    <n v="7"/>
    <s v="N"/>
    <s v="Normal Match"/>
    <x v="35"/>
    <s v="BNJ Oxenford"/>
    <x v="8"/>
    <x v="1"/>
    <x v="1"/>
    <x v="1"/>
  </r>
  <r>
    <x v="543"/>
    <s v="Chandigarh"/>
    <x v="8"/>
    <d v="2016-05-07T00:00:00"/>
    <s v="MP Stoinis"/>
    <s v="Punjab Cricket Association Stadium, Mohali"/>
    <s v="Punjab Kings"/>
    <s v="Delhi Capitals"/>
    <s v="Delhi Capitals"/>
    <x v="0"/>
    <s v="Punjab Kings"/>
    <s v="runs"/>
    <n v="9"/>
    <s v="N"/>
    <s v="Normal Match"/>
    <x v="12"/>
    <s v="CK Nandan"/>
    <x v="8"/>
    <x v="0"/>
    <x v="0"/>
    <x v="0"/>
  </r>
  <r>
    <x v="544"/>
    <s v="Visakhapatnam"/>
    <x v="8"/>
    <d v="2016-05-08T00:00:00"/>
    <s v="A Nehra"/>
    <s v="Dr. Y.S. Rajasekhara Reddy ACA-VDCA Cricket Stadium"/>
    <s v="Mumbai Indians"/>
    <s v="Sunrisers Hyderabad"/>
    <s v="Mumbai Indians"/>
    <x v="0"/>
    <s v="Sunrisers Hyderabad"/>
    <s v="runs"/>
    <n v="85"/>
    <s v="N"/>
    <s v="Normal Match"/>
    <x v="19"/>
    <s v="C Shamshuddin"/>
    <x v="8"/>
    <x v="0"/>
    <x v="0"/>
    <x v="0"/>
  </r>
  <r>
    <x v="545"/>
    <s v="Kolkata"/>
    <x v="8"/>
    <d v="2016-05-08T00:00:00"/>
    <s v="P Kumar"/>
    <s v="Eden Gardens"/>
    <s v="Kolkata Knight Riders"/>
    <s v="Gujarat Lions"/>
    <s v="Gujarat Lions"/>
    <x v="0"/>
    <s v="Gujarat Lions"/>
    <s v="wickets"/>
    <n v="5"/>
    <s v="N"/>
    <s v="Normal Match"/>
    <x v="11"/>
    <s v="RJ Tucker"/>
    <x v="8"/>
    <x v="1"/>
    <x v="1"/>
    <x v="1"/>
  </r>
  <r>
    <x v="546"/>
    <s v="Chandigarh"/>
    <x v="8"/>
    <d v="2016-05-09T00:00:00"/>
    <s v="SR Watson"/>
    <s v="Punjab Cricket Association Stadium, Mohali"/>
    <s v="Punjab Kings"/>
    <s v="Royal Challengers Bangalore"/>
    <s v="Punjab Kings"/>
    <x v="0"/>
    <s v="Royal Challengers Bangalore"/>
    <s v="runs"/>
    <n v="1"/>
    <s v="N"/>
    <s v="Normal Match"/>
    <x v="25"/>
    <s v="HDPK Dharmasena"/>
    <x v="8"/>
    <x v="0"/>
    <x v="0"/>
    <x v="0"/>
  </r>
  <r>
    <x v="547"/>
    <s v="Visakhapatnam"/>
    <x v="8"/>
    <d v="2016-05-10T00:00:00"/>
    <s v="A Zampa"/>
    <s v="Dr. Y.S. Rajasekhara Reddy ACA-VDCA Cricket Stadium"/>
    <s v="Rising Pune Supergiant"/>
    <s v="Sunrisers Hyderabad"/>
    <s v="Sunrisers Hyderabad"/>
    <x v="1"/>
    <s v="Sunrisers Hyderabad"/>
    <s v="runs"/>
    <n v="4"/>
    <s v="N"/>
    <s v="Normal Match"/>
    <x v="35"/>
    <s v="VK Sharma"/>
    <x v="8"/>
    <x v="0"/>
    <x v="1"/>
    <x v="1"/>
  </r>
  <r>
    <x v="548"/>
    <s v="Bangalore"/>
    <x v="8"/>
    <d v="2016-05-11T00:00:00"/>
    <s v="KH Pandya"/>
    <s v="M. Chinnaswamy Stadium"/>
    <s v="Royal Challengers Bangalore"/>
    <s v="Mumbai Indians"/>
    <s v="Mumbai Indians"/>
    <x v="0"/>
    <s v="Mumbai Indians"/>
    <s v="wickets"/>
    <n v="6"/>
    <s v="N"/>
    <s v="Normal Match"/>
    <x v="39"/>
    <s v="C Shamshuddin"/>
    <x v="8"/>
    <x v="1"/>
    <x v="1"/>
    <x v="1"/>
  </r>
  <r>
    <x v="549"/>
    <s v="Hyderabad"/>
    <x v="8"/>
    <d v="2016-05-12T00:00:00"/>
    <s v="CH Morris"/>
    <s v="Rajiv Gandhi International Stadium, Uppal"/>
    <s v="Sunrisers Hyderabad"/>
    <s v="Delhi Capitals"/>
    <s v="Delhi Capitals"/>
    <x v="0"/>
    <s v="Delhi Capitals"/>
    <s v="wickets"/>
    <n v="7"/>
    <s v="N"/>
    <s v="Normal Match"/>
    <x v="38"/>
    <s v="M Erasmus"/>
    <x v="8"/>
    <x v="1"/>
    <x v="1"/>
    <x v="1"/>
  </r>
  <r>
    <x v="550"/>
    <s v="Visakhapatnam"/>
    <x v="8"/>
    <d v="2016-05-13T00:00:00"/>
    <s v="MP Stoinis"/>
    <s v="Dr. Y.S. Rajasekhara Reddy ACA-VDCA Cricket Stadium"/>
    <s v="Mumbai Indians"/>
    <s v="Punjab Kings"/>
    <s v="Mumbai Indians"/>
    <x v="1"/>
    <s v="Punjab Kings"/>
    <s v="wickets"/>
    <n v="7"/>
    <s v="N"/>
    <s v="Normal Match"/>
    <x v="12"/>
    <s v="CK Nandan"/>
    <x v="8"/>
    <x v="1"/>
    <x v="0"/>
    <x v="0"/>
  </r>
  <r>
    <x v="551"/>
    <s v="Bangalore"/>
    <x v="8"/>
    <d v="2016-05-14T00:00:00"/>
    <s v="AB de Villiers"/>
    <s v="M. Chinnaswamy Stadium"/>
    <s v="Royal Challengers Bangalore"/>
    <s v="Gujarat Lions"/>
    <s v="Gujarat Lions"/>
    <x v="0"/>
    <s v="Royal Challengers Bangalore"/>
    <s v="runs"/>
    <n v="144"/>
    <s v="N"/>
    <s v="Normal Match"/>
    <x v="39"/>
    <s v="VK Sharma"/>
    <x v="8"/>
    <x v="0"/>
    <x v="0"/>
    <x v="0"/>
  </r>
  <r>
    <x v="552"/>
    <s v="Kolkata"/>
    <x v="8"/>
    <d v="2016-05-14T00:00:00"/>
    <s v="YK Pathan"/>
    <s v="Eden Gardens"/>
    <s v="Kolkata Knight Riders"/>
    <s v="Rising Pune Supergiant"/>
    <s v="Rising Pune Supergiant"/>
    <x v="1"/>
    <s v="Kolkata Knight Riders"/>
    <s v="wickets"/>
    <n v="8"/>
    <s v="N"/>
    <s v="D/L"/>
    <x v="41"/>
    <s v="BNJ Oxenford"/>
    <x v="8"/>
    <x v="1"/>
    <x v="0"/>
    <x v="0"/>
  </r>
  <r>
    <x v="553"/>
    <s v="Chandigarh"/>
    <x v="8"/>
    <d v="2016-05-15T00:00:00"/>
    <s v="HM Amla"/>
    <s v="Punjab Cricket Association Stadium, Mohali"/>
    <s v="Punjab Kings"/>
    <s v="Sunrisers Hyderabad"/>
    <s v="Punjab Kings"/>
    <x v="1"/>
    <s v="Sunrisers Hyderabad"/>
    <s v="wickets"/>
    <n v="7"/>
    <s v="N"/>
    <s v="Normal Match"/>
    <x v="40"/>
    <s v="M Erasmus"/>
    <x v="8"/>
    <x v="1"/>
    <x v="0"/>
    <x v="0"/>
  </r>
  <r>
    <x v="554"/>
    <s v="Visakhapatnam"/>
    <x v="8"/>
    <d v="2016-05-15T00:00:00"/>
    <s v="KH Pandya"/>
    <s v="Dr. Y.S. Rajasekhara Reddy ACA-VDCA Cricket Stadium"/>
    <s v="Mumbai Indians"/>
    <s v="Delhi Capitals"/>
    <s v="Delhi Capitals"/>
    <x v="0"/>
    <s v="Mumbai Indians"/>
    <s v="runs"/>
    <n v="80"/>
    <s v="N"/>
    <s v="Normal Match"/>
    <x v="37"/>
    <s v="CK Nandan"/>
    <x v="8"/>
    <x v="0"/>
    <x v="0"/>
    <x v="0"/>
  </r>
  <r>
    <x v="555"/>
    <s v="Kolkata"/>
    <x v="8"/>
    <d v="2016-05-16T00:00:00"/>
    <s v="V Kohli"/>
    <s v="Eden Gardens"/>
    <s v="Kolkata Knight Riders"/>
    <s v="Royal Challengers Bangalore"/>
    <s v="Royal Challengers Bangalore"/>
    <x v="0"/>
    <s v="Royal Challengers Bangalore"/>
    <s v="wickets"/>
    <n v="9"/>
    <s v="N"/>
    <s v="Normal Match"/>
    <x v="35"/>
    <s v="A Nand Kishore"/>
    <x v="8"/>
    <x v="1"/>
    <x v="1"/>
    <x v="1"/>
  </r>
  <r>
    <x v="556"/>
    <s v="Visakhapatnam"/>
    <x v="8"/>
    <d v="2016-05-17T00:00:00"/>
    <s v="AB Dinda"/>
    <s v="Dr. Y.S. Rajasekhara Reddy ACA-VDCA Cricket Stadium"/>
    <s v="Rising Pune Supergiant"/>
    <s v="Delhi Capitals"/>
    <s v="Rising Pune Supergiant"/>
    <x v="0"/>
    <s v="Rising Pune Supergiant"/>
    <s v="runs"/>
    <n v="19"/>
    <s v="N"/>
    <s v="D/L"/>
    <x v="37"/>
    <s v="C Shamshuddin"/>
    <x v="8"/>
    <x v="0"/>
    <x v="1"/>
    <x v="1"/>
  </r>
  <r>
    <x v="557"/>
    <s v="Bangalore"/>
    <x v="8"/>
    <d v="2016-05-18T00:00:00"/>
    <s v="V Kohli"/>
    <s v="M. Chinnaswamy Stadium"/>
    <s v="Royal Challengers Bangalore"/>
    <s v="Punjab Kings"/>
    <s v="Punjab Kings"/>
    <x v="0"/>
    <s v="Royal Challengers Bangalore"/>
    <s v="runs"/>
    <n v="82"/>
    <s v="N"/>
    <s v="D/L"/>
    <x v="40"/>
    <s v="M Erasmus"/>
    <x v="8"/>
    <x v="0"/>
    <x v="0"/>
    <x v="0"/>
  </r>
  <r>
    <x v="558"/>
    <s v="Kanpur"/>
    <x v="8"/>
    <d v="2016-05-19T00:00:00"/>
    <s v="DR Smith"/>
    <s v="Green Park"/>
    <s v="Gujarat Lions"/>
    <s v="Kolkata Knight Riders"/>
    <s v="Gujarat Lions"/>
    <x v="0"/>
    <s v="Gujarat Lions"/>
    <s v="wickets"/>
    <n v="6"/>
    <s v="N"/>
    <s v="Normal Match"/>
    <x v="25"/>
    <s v="CK Nandan"/>
    <x v="8"/>
    <x v="1"/>
    <x v="1"/>
    <x v="1"/>
  </r>
  <r>
    <x v="559"/>
    <s v="Raipur"/>
    <x v="8"/>
    <d v="2016-05-20T00:00:00"/>
    <s v="KK Nair"/>
    <s v="Shaheed Veer Narayan Singh International Stadium"/>
    <s v="Delhi Capitals"/>
    <s v="Sunrisers Hyderabad"/>
    <s v="Delhi Capitals"/>
    <x v="0"/>
    <s v="Delhi Capitals"/>
    <s v="wickets"/>
    <n v="6"/>
    <s v="N"/>
    <s v="Normal Match"/>
    <x v="41"/>
    <s v="BNJ Oxenford"/>
    <x v="8"/>
    <x v="1"/>
    <x v="1"/>
    <x v="1"/>
  </r>
  <r>
    <x v="560"/>
    <s v="Visakhapatnam"/>
    <x v="8"/>
    <d v="2016-05-21T00:00:00"/>
    <s v="MS Dhoni"/>
    <s v="Dr. Y.S. Rajasekhara Reddy ACA-VDCA Cricket Stadium"/>
    <s v="Rising Pune Supergiant"/>
    <s v="Punjab Kings"/>
    <s v="Punjab Kings"/>
    <x v="1"/>
    <s v="Rising Pune Supergiant"/>
    <s v="wickets"/>
    <n v="4"/>
    <s v="N"/>
    <s v="Normal Match"/>
    <x v="12"/>
    <s v="Nitin Menon"/>
    <x v="8"/>
    <x v="1"/>
    <x v="0"/>
    <x v="0"/>
  </r>
  <r>
    <x v="561"/>
    <s v="Kanpur"/>
    <x v="8"/>
    <d v="2016-05-21T00:00:00"/>
    <s v="SK Raina"/>
    <s v="Green Park"/>
    <s v="Gujarat Lions"/>
    <s v="Mumbai Indians"/>
    <s v="Gujarat Lions"/>
    <x v="0"/>
    <s v="Gujarat Lions"/>
    <s v="wickets"/>
    <n v="6"/>
    <s v="N"/>
    <s v="Normal Match"/>
    <x v="25"/>
    <s v="CK Nandan"/>
    <x v="8"/>
    <x v="1"/>
    <x v="1"/>
    <x v="1"/>
  </r>
  <r>
    <x v="562"/>
    <s v="Kolkata"/>
    <x v="8"/>
    <d v="2016-05-22T00:00:00"/>
    <s v="YK Pathan"/>
    <s v="Eden Gardens"/>
    <s v="Kolkata Knight Riders"/>
    <s v="Sunrisers Hyderabad"/>
    <s v="Sunrisers Hyderabad"/>
    <x v="0"/>
    <s v="Kolkata Knight Riders"/>
    <s v="runs"/>
    <n v="22"/>
    <s v="N"/>
    <s v="Normal Match"/>
    <x v="40"/>
    <s v="M Erasmus"/>
    <x v="8"/>
    <x v="0"/>
    <x v="0"/>
    <x v="0"/>
  </r>
  <r>
    <x v="563"/>
    <s v="Raipur"/>
    <x v="8"/>
    <d v="2016-05-22T00:00:00"/>
    <s v="V Kohli"/>
    <s v="Shaheed Veer Narayan Singh International Stadium"/>
    <s v="Delhi Capitals"/>
    <s v="Royal Challengers Bangalore"/>
    <s v="Royal Challengers Bangalore"/>
    <x v="0"/>
    <s v="Royal Challengers Bangalore"/>
    <s v="wickets"/>
    <n v="6"/>
    <s v="N"/>
    <s v="Normal Match"/>
    <x v="41"/>
    <s v="BNJ Oxenford"/>
    <x v="8"/>
    <x v="1"/>
    <x v="1"/>
    <x v="1"/>
  </r>
  <r>
    <x v="564"/>
    <s v="Bangalore"/>
    <x v="8"/>
    <d v="2016-05-24T00:00:00"/>
    <s v="AB de Villiers"/>
    <s v="M. Chinnaswamy Stadium"/>
    <s v="Gujarat Lions"/>
    <s v="Royal Challengers Bangalore"/>
    <s v="Royal Challengers Bangalore"/>
    <x v="0"/>
    <s v="Royal Challengers Bangalore"/>
    <s v="wickets"/>
    <n v="4"/>
    <s v="N"/>
    <s v="Normal Match"/>
    <x v="25"/>
    <s v="HDPK Dharmasena"/>
    <x v="8"/>
    <x v="1"/>
    <x v="1"/>
    <x v="1"/>
  </r>
  <r>
    <x v="565"/>
    <s v="Delhi"/>
    <x v="8"/>
    <d v="2016-05-25T00:00:00"/>
    <s v="MC Henriques"/>
    <s v="Feroz Shah Kotla"/>
    <s v="Sunrisers Hyderabad"/>
    <s v="Kolkata Knight Riders"/>
    <s v="Kolkata Knight Riders"/>
    <x v="0"/>
    <s v="Sunrisers Hyderabad"/>
    <s v="runs"/>
    <n v="22"/>
    <s v="N"/>
    <s v="Normal Match"/>
    <x v="11"/>
    <s v="C Shamshuddin"/>
    <x v="8"/>
    <x v="0"/>
    <x v="0"/>
    <x v="0"/>
  </r>
  <r>
    <x v="566"/>
    <s v="Delhi"/>
    <x v="8"/>
    <d v="2016-05-27T00:00:00"/>
    <s v="DA Warner"/>
    <s v="Feroz Shah Kotla"/>
    <s v="Gujarat Lions"/>
    <s v="Sunrisers Hyderabad"/>
    <s v="Sunrisers Hyderabad"/>
    <x v="0"/>
    <s v="Sunrisers Hyderabad"/>
    <s v="wickets"/>
    <n v="4"/>
    <s v="N"/>
    <s v="Normal Match"/>
    <x v="11"/>
    <s v="CK Nandan"/>
    <x v="8"/>
    <x v="1"/>
    <x v="1"/>
    <x v="1"/>
  </r>
  <r>
    <x v="567"/>
    <s v="Bangalore"/>
    <x v="8"/>
    <d v="2016-05-29T00:00:00"/>
    <s v="BCJ Cutting"/>
    <s v="M. Chinnaswamy Stadium"/>
    <s v="Royal Challengers Bangalore"/>
    <s v="Sunrisers Hyderabad"/>
    <s v="Sunrisers Hyderabad"/>
    <x v="1"/>
    <s v="Sunrisers Hyderabad"/>
    <s v="runs"/>
    <n v="8"/>
    <s v="N"/>
    <s v="Normal Match"/>
    <x v="12"/>
    <s v="BNJ Oxenford"/>
    <x v="8"/>
    <x v="0"/>
    <x v="1"/>
    <x v="1"/>
  </r>
  <r>
    <x v="568"/>
    <s v="Hyderabad"/>
    <x v="9"/>
    <d v="2017-04-05T00:00:00"/>
    <s v="Yuvraj Singh"/>
    <s v="Rajiv Gandhi International Stadium, Uppal"/>
    <s v="Sunrisers Hyderabad"/>
    <s v="Royal Challengers Bangalore"/>
    <s v="Royal Challengers Bangalore"/>
    <x v="0"/>
    <s v="Sunrisers Hyderabad"/>
    <s v="runs"/>
    <n v="35"/>
    <s v="N"/>
    <s v="Normal Match"/>
    <x v="39"/>
    <s v="NJ Llong"/>
    <x v="9"/>
    <x v="0"/>
    <x v="0"/>
    <x v="0"/>
  </r>
  <r>
    <x v="569"/>
    <s v="Pune"/>
    <x v="9"/>
    <d v="2017-04-06T00:00:00"/>
    <s v="SPD Smith"/>
    <s v="Maharashtra Cricket Association Stadium"/>
    <s v="Rising Pune Supergiant"/>
    <s v="Mumbai Indians"/>
    <s v="Rising Pune Supergiant"/>
    <x v="0"/>
    <s v="Rising Pune Supergiant"/>
    <s v="wickets"/>
    <n v="7"/>
    <s v="N"/>
    <s v="Normal Match"/>
    <x v="41"/>
    <s v="S Ravi"/>
    <x v="9"/>
    <x v="1"/>
    <x v="1"/>
    <x v="1"/>
  </r>
  <r>
    <x v="570"/>
    <s v="Rajkot"/>
    <x v="9"/>
    <d v="2017-04-07T00:00:00"/>
    <s v="CA Lynn"/>
    <s v="Saurashtra Cricket Association Stadium"/>
    <s v="Gujarat Lions"/>
    <s v="Kolkata Knight Riders"/>
    <s v="Kolkata Knight Riders"/>
    <x v="0"/>
    <s v="Kolkata Knight Riders"/>
    <s v="wickets"/>
    <n v="10"/>
    <s v="N"/>
    <s v="Normal Match"/>
    <x v="37"/>
    <s v="CK Nandan"/>
    <x v="9"/>
    <x v="1"/>
    <x v="1"/>
    <x v="1"/>
  </r>
  <r>
    <x v="571"/>
    <s v="Indore"/>
    <x v="9"/>
    <d v="2017-04-08T00:00:00"/>
    <s v="GJ Maxwell"/>
    <s v="Holkar Cricket Stadium"/>
    <s v="Punjab Kings"/>
    <s v="Rising Pune Supergiant"/>
    <s v="Punjab Kings"/>
    <x v="0"/>
    <s v="Punjab Kings"/>
    <s v="wickets"/>
    <n v="6"/>
    <s v="N"/>
    <s v="Normal Match"/>
    <x v="25"/>
    <s v="C Shamshuddin"/>
    <x v="9"/>
    <x v="1"/>
    <x v="1"/>
    <x v="1"/>
  </r>
  <r>
    <x v="572"/>
    <s v="Bengaluru"/>
    <x v="9"/>
    <d v="2017-04-08T00:00:00"/>
    <s v="KM Jadhav"/>
    <s v="M. Chinnaswamy Stadium"/>
    <s v="Royal Challengers Bangalore"/>
    <s v="Delhi Capitals"/>
    <s v="Royal Challengers Bangalore"/>
    <x v="1"/>
    <s v="Royal Challengers Bangalore"/>
    <s v="runs"/>
    <n v="15"/>
    <s v="N"/>
    <s v="Normal Match"/>
    <x v="19"/>
    <s v="VK Sharma"/>
    <x v="9"/>
    <x v="0"/>
    <x v="1"/>
    <x v="1"/>
  </r>
  <r>
    <x v="573"/>
    <s v="Hyderabad"/>
    <x v="9"/>
    <d v="2017-04-09T00:00:00"/>
    <s v="Rashid Khan"/>
    <s v="Rajiv Gandhi International Stadium, Uppal"/>
    <s v="Sunrisers Hyderabad"/>
    <s v="Gujarat Lions"/>
    <s v="Sunrisers Hyderabad"/>
    <x v="0"/>
    <s v="Sunrisers Hyderabad"/>
    <s v="wickets"/>
    <n v="9"/>
    <s v="N"/>
    <s v="Normal Match"/>
    <x v="42"/>
    <s v="NJ Llong"/>
    <x v="9"/>
    <x v="1"/>
    <x v="1"/>
    <x v="1"/>
  </r>
  <r>
    <x v="574"/>
    <s v="Mumbai"/>
    <x v="9"/>
    <d v="2017-04-09T00:00:00"/>
    <s v="N Rana"/>
    <s v="Wankhede Stadium"/>
    <s v="Mumbai Indians"/>
    <s v="Kolkata Knight Riders"/>
    <s v="Mumbai Indians"/>
    <x v="0"/>
    <s v="Mumbai Indians"/>
    <s v="wickets"/>
    <n v="4"/>
    <s v="N"/>
    <s v="Normal Match"/>
    <x v="37"/>
    <s v="CK Nandan"/>
    <x v="9"/>
    <x v="1"/>
    <x v="1"/>
    <x v="1"/>
  </r>
  <r>
    <x v="575"/>
    <s v="Indore"/>
    <x v="9"/>
    <d v="2017-04-10T00:00:00"/>
    <s v="AR Patel"/>
    <s v="Holkar Cricket Stadium"/>
    <s v="Punjab Kings"/>
    <s v="Royal Challengers Bangalore"/>
    <s v="Royal Challengers Bangalore"/>
    <x v="1"/>
    <s v="Punjab Kings"/>
    <s v="wickets"/>
    <n v="8"/>
    <s v="N"/>
    <s v="Normal Match"/>
    <x v="25"/>
    <s v="C Shamshuddin"/>
    <x v="9"/>
    <x v="1"/>
    <x v="0"/>
    <x v="0"/>
  </r>
  <r>
    <x v="576"/>
    <s v="Pune"/>
    <x v="9"/>
    <d v="2017-04-11T00:00:00"/>
    <s v="SV Samson"/>
    <s v="Maharashtra Cricket Association Stadium"/>
    <s v="Rising Pune Supergiant"/>
    <s v="Delhi Capitals"/>
    <s v="Rising Pune Supergiant"/>
    <x v="0"/>
    <s v="Delhi Capitals"/>
    <s v="runs"/>
    <n v="97"/>
    <s v="N"/>
    <s v="Normal Match"/>
    <x v="39"/>
    <s v="S Ravi"/>
    <x v="9"/>
    <x v="0"/>
    <x v="0"/>
    <x v="0"/>
  </r>
  <r>
    <x v="577"/>
    <s v="Mumbai"/>
    <x v="9"/>
    <d v="2017-04-12T00:00:00"/>
    <s v="JJ Bumrah"/>
    <s v="Wankhede Stadium"/>
    <s v="Mumbai Indians"/>
    <s v="Sunrisers Hyderabad"/>
    <s v="Mumbai Indians"/>
    <x v="0"/>
    <s v="Mumbai Indians"/>
    <s v="wickets"/>
    <n v="4"/>
    <s v="N"/>
    <s v="Normal Match"/>
    <x v="37"/>
    <s v="CK Nandan"/>
    <x v="9"/>
    <x v="1"/>
    <x v="1"/>
    <x v="1"/>
  </r>
  <r>
    <x v="578"/>
    <s v="Kolkata"/>
    <x v="9"/>
    <d v="2017-04-13T00:00:00"/>
    <s v="SP Narine"/>
    <s v="Eden Gardens"/>
    <s v="Kolkata Knight Riders"/>
    <s v="Punjab Kings"/>
    <s v="Kolkata Knight Riders"/>
    <x v="0"/>
    <s v="Kolkata Knight Riders"/>
    <s v="wickets"/>
    <n v="8"/>
    <s v="N"/>
    <s v="Normal Match"/>
    <x v="42"/>
    <s v="NJ Llong"/>
    <x v="9"/>
    <x v="1"/>
    <x v="1"/>
    <x v="1"/>
  </r>
  <r>
    <x v="579"/>
    <s v="Bangalore"/>
    <x v="9"/>
    <d v="2017-04-14T00:00:00"/>
    <s v="KA Pollard"/>
    <s v="M. Chinnaswamy Stadium"/>
    <s v="Royal Challengers Bangalore"/>
    <s v="Mumbai Indians"/>
    <s v="Mumbai Indians"/>
    <x v="0"/>
    <s v="Mumbai Indians"/>
    <s v="wickets"/>
    <n v="4"/>
    <s v="N"/>
    <s v="Normal Match"/>
    <x v="40"/>
    <s v="AK Chaudhary"/>
    <x v="9"/>
    <x v="1"/>
    <x v="1"/>
    <x v="1"/>
  </r>
  <r>
    <x v="580"/>
    <s v="Rajkot"/>
    <x v="9"/>
    <d v="2017-04-14T00:00:00"/>
    <s v="AJ Tye"/>
    <s v="Saurashtra Cricket Association Stadium"/>
    <s v="Gujarat Lions"/>
    <s v="Rising Pune Supergiant"/>
    <s v="Gujarat Lions"/>
    <x v="0"/>
    <s v="Gujarat Lions"/>
    <s v="wickets"/>
    <n v="7"/>
    <s v="N"/>
    <s v="Normal Match"/>
    <x v="41"/>
    <s v="S Ravi"/>
    <x v="9"/>
    <x v="1"/>
    <x v="1"/>
    <x v="1"/>
  </r>
  <r>
    <x v="581"/>
    <s v="Kolkata"/>
    <x v="9"/>
    <d v="2017-04-15T00:00:00"/>
    <s v="RV Uthappa"/>
    <s v="Eden Gardens"/>
    <s v="Kolkata Knight Riders"/>
    <s v="Sunrisers Hyderabad"/>
    <s v="Sunrisers Hyderabad"/>
    <x v="0"/>
    <s v="Kolkata Knight Riders"/>
    <s v="runs"/>
    <n v="17"/>
    <s v="N"/>
    <s v="Normal Match"/>
    <x v="39"/>
    <s v="NJ Llong"/>
    <x v="9"/>
    <x v="0"/>
    <x v="0"/>
    <x v="0"/>
  </r>
  <r>
    <x v="582"/>
    <s v="Delhi"/>
    <x v="9"/>
    <d v="2017-04-15T00:00:00"/>
    <s v="CJ Anderson"/>
    <s v="Feroz Shah Kotla"/>
    <s v="Delhi Capitals"/>
    <s v="Punjab Kings"/>
    <s v="Delhi Capitals"/>
    <x v="1"/>
    <s v="Delhi Capitals"/>
    <s v="runs"/>
    <n v="51"/>
    <s v="N"/>
    <s v="Normal Match"/>
    <x v="43"/>
    <s v="Nitin Menon"/>
    <x v="9"/>
    <x v="0"/>
    <x v="1"/>
    <x v="1"/>
  </r>
  <r>
    <x v="583"/>
    <s v="Mumbai"/>
    <x v="9"/>
    <d v="2017-04-16T00:00:00"/>
    <s v="N Rana"/>
    <s v="Wankhede Stadium"/>
    <s v="Mumbai Indians"/>
    <s v="Gujarat Lions"/>
    <s v="Mumbai Indians"/>
    <x v="0"/>
    <s v="Mumbai Indians"/>
    <s v="wickets"/>
    <n v="6"/>
    <s v="N"/>
    <s v="Normal Match"/>
    <x v="41"/>
    <s v="S Ravi"/>
    <x v="9"/>
    <x v="1"/>
    <x v="1"/>
    <x v="1"/>
  </r>
  <r>
    <x v="584"/>
    <s v="Bangalore"/>
    <x v="9"/>
    <d v="2017-04-16T00:00:00"/>
    <s v="BA Stokes"/>
    <s v="M. Chinnaswamy Stadium"/>
    <s v="Royal Challengers Bangalore"/>
    <s v="Rising Pune Supergiant"/>
    <s v="Royal Challengers Bangalore"/>
    <x v="0"/>
    <s v="Rising Pune Supergiant"/>
    <s v="runs"/>
    <n v="27"/>
    <s v="N"/>
    <s v="Normal Match"/>
    <x v="40"/>
    <s v="C Shamshuddin"/>
    <x v="9"/>
    <x v="0"/>
    <x v="0"/>
    <x v="0"/>
  </r>
  <r>
    <x v="585"/>
    <s v="Delhi"/>
    <x v="9"/>
    <d v="2017-04-17T00:00:00"/>
    <s v="NM Coulter-Nile"/>
    <s v="Feroz Shah Kotla"/>
    <s v="Delhi Capitals"/>
    <s v="Kolkata Knight Riders"/>
    <s v="Delhi Capitals"/>
    <x v="1"/>
    <s v="Kolkata Knight Riders"/>
    <s v="wickets"/>
    <n v="4"/>
    <s v="N"/>
    <s v="Normal Match"/>
    <x v="37"/>
    <s v="CK Nandan"/>
    <x v="9"/>
    <x v="1"/>
    <x v="0"/>
    <x v="0"/>
  </r>
  <r>
    <x v="586"/>
    <s v="Hyderabad"/>
    <x v="9"/>
    <d v="2017-04-17T00:00:00"/>
    <s v="B Kumar"/>
    <s v="Rajiv Gandhi International Stadium, Uppal"/>
    <s v="Sunrisers Hyderabad"/>
    <s v="Punjab Kings"/>
    <s v="Punjab Kings"/>
    <x v="0"/>
    <s v="Sunrisers Hyderabad"/>
    <s v="runs"/>
    <n v="5"/>
    <s v="N"/>
    <s v="Normal Match"/>
    <x v="39"/>
    <s v="A Deshmukh"/>
    <x v="9"/>
    <x v="0"/>
    <x v="0"/>
    <x v="0"/>
  </r>
  <r>
    <x v="587"/>
    <s v="Rajkot"/>
    <x v="9"/>
    <d v="2017-04-18T00:00:00"/>
    <s v="CH Gayle"/>
    <s v="Saurashtra Cricket Association Stadium"/>
    <s v="Gujarat Lions"/>
    <s v="Royal Challengers Bangalore"/>
    <s v="Gujarat Lions"/>
    <x v="0"/>
    <s v="Royal Challengers Bangalore"/>
    <s v="runs"/>
    <n v="21"/>
    <s v="N"/>
    <s v="Normal Match"/>
    <x v="19"/>
    <s v="VK Sharma"/>
    <x v="9"/>
    <x v="0"/>
    <x v="0"/>
    <x v="0"/>
  </r>
  <r>
    <x v="588"/>
    <s v="Hyderabad"/>
    <x v="9"/>
    <d v="2017-04-19T00:00:00"/>
    <s v="KS Williamson"/>
    <s v="Rajiv Gandhi International Stadium, Uppal"/>
    <s v="Sunrisers Hyderabad"/>
    <s v="Delhi Capitals"/>
    <s v="Sunrisers Hyderabad"/>
    <x v="1"/>
    <s v="Sunrisers Hyderabad"/>
    <s v="runs"/>
    <n v="15"/>
    <s v="N"/>
    <s v="Normal Match"/>
    <x v="35"/>
    <s v="NJ Llong"/>
    <x v="9"/>
    <x v="0"/>
    <x v="1"/>
    <x v="1"/>
  </r>
  <r>
    <x v="589"/>
    <s v="Indore"/>
    <x v="9"/>
    <d v="2017-04-20T00:00:00"/>
    <s v="JC Buttler"/>
    <s v="Holkar Cricket Stadium"/>
    <s v="Punjab Kings"/>
    <s v="Mumbai Indians"/>
    <s v="Mumbai Indians"/>
    <x v="0"/>
    <s v="Mumbai Indians"/>
    <s v="wickets"/>
    <n v="8"/>
    <s v="N"/>
    <s v="Normal Match"/>
    <x v="11"/>
    <s v="C Shamshuddin"/>
    <x v="9"/>
    <x v="1"/>
    <x v="1"/>
    <x v="1"/>
  </r>
  <r>
    <x v="590"/>
    <s v="Kolkata"/>
    <x v="9"/>
    <d v="2017-04-21T00:00:00"/>
    <s v="SK Raina"/>
    <s v="Eden Gardens"/>
    <s v="Kolkata Knight Riders"/>
    <s v="Gujarat Lions"/>
    <s v="Gujarat Lions"/>
    <x v="0"/>
    <s v="Gujarat Lions"/>
    <s v="wickets"/>
    <n v="4"/>
    <s v="N"/>
    <s v="Normal Match"/>
    <x v="35"/>
    <s v="Nitin Menon"/>
    <x v="9"/>
    <x v="1"/>
    <x v="1"/>
    <x v="1"/>
  </r>
  <r>
    <x v="591"/>
    <s v="Mumbai"/>
    <x v="9"/>
    <d v="2017-04-22T00:00:00"/>
    <s v="MJ McClenaghan"/>
    <s v="Wankhede Stadium"/>
    <s v="Mumbai Indians"/>
    <s v="Delhi Capitals"/>
    <s v="Delhi Capitals"/>
    <x v="0"/>
    <s v="Mumbai Indians"/>
    <s v="runs"/>
    <n v="14"/>
    <s v="N"/>
    <s v="Normal Match"/>
    <x v="41"/>
    <s v="S Ravi"/>
    <x v="9"/>
    <x v="0"/>
    <x v="0"/>
    <x v="0"/>
  </r>
  <r>
    <x v="592"/>
    <s v="Pune"/>
    <x v="9"/>
    <d v="2017-04-22T00:00:00"/>
    <s v="MS Dhoni"/>
    <s v="Maharashtra Cricket Association Stadium"/>
    <s v="Rising Pune Supergiant"/>
    <s v="Sunrisers Hyderabad"/>
    <s v="Rising Pune Supergiant"/>
    <x v="0"/>
    <s v="Rising Pune Supergiant"/>
    <s v="wickets"/>
    <n v="6"/>
    <s v="N"/>
    <s v="Normal Match"/>
    <x v="39"/>
    <s v="A Deshmukh"/>
    <x v="9"/>
    <x v="1"/>
    <x v="1"/>
    <x v="1"/>
  </r>
  <r>
    <x v="593"/>
    <s v="Rajkot"/>
    <x v="9"/>
    <d v="2017-04-23T00:00:00"/>
    <s v="HM Amla"/>
    <s v="Saurashtra Cricket Association Stadium"/>
    <s v="Gujarat Lions"/>
    <s v="Punjab Kings"/>
    <s v="Gujarat Lions"/>
    <x v="0"/>
    <s v="Punjab Kings"/>
    <s v="runs"/>
    <n v="26"/>
    <s v="N"/>
    <s v="Normal Match"/>
    <x v="25"/>
    <s v="M Erasmus"/>
    <x v="9"/>
    <x v="0"/>
    <x v="0"/>
    <x v="0"/>
  </r>
  <r>
    <x v="594"/>
    <s v="Kolkata"/>
    <x v="9"/>
    <d v="2017-04-23T00:00:00"/>
    <s v="NM Coulter-Nile"/>
    <s v="Eden Gardens"/>
    <s v="Kolkata Knight Riders"/>
    <s v="Royal Challengers Bangalore"/>
    <s v="Royal Challengers Bangalore"/>
    <x v="0"/>
    <s v="Kolkata Knight Riders"/>
    <s v="runs"/>
    <n v="82"/>
    <s v="N"/>
    <s v="Normal Match"/>
    <x v="35"/>
    <s v="CK Nandan"/>
    <x v="9"/>
    <x v="0"/>
    <x v="0"/>
    <x v="0"/>
  </r>
  <r>
    <x v="595"/>
    <s v="Mumbai"/>
    <x v="9"/>
    <d v="2017-04-24T00:00:00"/>
    <s v="BA Stokes"/>
    <s v="Wankhede Stadium"/>
    <s v="Mumbai Indians"/>
    <s v="Rising Pune Supergiant"/>
    <s v="Mumbai Indians"/>
    <x v="0"/>
    <s v="Rising Pune Supergiant"/>
    <s v="runs"/>
    <n v="3"/>
    <s v="N"/>
    <s v="Normal Match"/>
    <x v="41"/>
    <s v="S Ravi"/>
    <x v="9"/>
    <x v="0"/>
    <x v="0"/>
    <x v="0"/>
  </r>
  <r>
    <x v="596"/>
    <s v="Pune"/>
    <x v="9"/>
    <d v="2017-04-26T00:00:00"/>
    <s v="RV Uthappa"/>
    <s v="Maharashtra Cricket Association Stadium"/>
    <s v="Rising Pune Supergiant"/>
    <s v="Kolkata Knight Riders"/>
    <s v="Kolkata Knight Riders"/>
    <x v="0"/>
    <s v="Kolkata Knight Riders"/>
    <s v="wickets"/>
    <n v="7"/>
    <s v="N"/>
    <s v="Normal Match"/>
    <x v="39"/>
    <s v="NJ Llong"/>
    <x v="9"/>
    <x v="1"/>
    <x v="1"/>
    <x v="1"/>
  </r>
  <r>
    <x v="597"/>
    <s v="Bangalore"/>
    <x v="9"/>
    <d v="2017-04-27T00:00:00"/>
    <s v="AJ Tye"/>
    <s v="M. Chinnaswamy Stadium"/>
    <s v="Royal Challengers Bangalore"/>
    <s v="Gujarat Lions"/>
    <s v="Gujarat Lions"/>
    <x v="0"/>
    <s v="Gujarat Lions"/>
    <s v="wickets"/>
    <n v="7"/>
    <s v="N"/>
    <s v="Normal Match"/>
    <x v="25"/>
    <s v="C Shamshuddin"/>
    <x v="9"/>
    <x v="1"/>
    <x v="1"/>
    <x v="1"/>
  </r>
  <r>
    <x v="598"/>
    <s v="Kolkata"/>
    <x v="9"/>
    <d v="2017-04-28T00:00:00"/>
    <s v="G Gambhir"/>
    <s v="Eden Gardens"/>
    <s v="Kolkata Knight Riders"/>
    <s v="Delhi Capitals"/>
    <s v="Kolkata Knight Riders"/>
    <x v="0"/>
    <s v="Kolkata Knight Riders"/>
    <s v="wickets"/>
    <n v="7"/>
    <s v="N"/>
    <s v="Normal Match"/>
    <x v="30"/>
    <s v="S Ravi"/>
    <x v="9"/>
    <x v="1"/>
    <x v="1"/>
    <x v="1"/>
  </r>
  <r>
    <x v="599"/>
    <s v="Chandigarh"/>
    <x v="9"/>
    <d v="2017-04-28T00:00:00"/>
    <s v="Rashid Khan"/>
    <s v="Punjab Cricket Association Stadium, Mohali"/>
    <s v="Punjab Kings"/>
    <s v="Sunrisers Hyderabad"/>
    <s v="Punjab Kings"/>
    <x v="0"/>
    <s v="Sunrisers Hyderabad"/>
    <s v="runs"/>
    <n v="26"/>
    <s v="N"/>
    <s v="Normal Match"/>
    <x v="37"/>
    <s v="CK Nandan"/>
    <x v="9"/>
    <x v="0"/>
    <x v="0"/>
    <x v="0"/>
  </r>
  <r>
    <x v="600"/>
    <s v="Pune"/>
    <x v="9"/>
    <d v="2017-04-29T00:00:00"/>
    <s v="LH Ferguson"/>
    <s v="Maharashtra Cricket Association Stadium"/>
    <s v="Rising Pune Supergiant"/>
    <s v="Royal Challengers Bangalore"/>
    <s v="Royal Challengers Bangalore"/>
    <x v="0"/>
    <s v="Rising Pune Supergiant"/>
    <s v="runs"/>
    <n v="61"/>
    <s v="N"/>
    <s v="Normal Match"/>
    <x v="40"/>
    <s v="M Erasmus"/>
    <x v="9"/>
    <x v="0"/>
    <x v="0"/>
    <x v="0"/>
  </r>
  <r>
    <x v="601"/>
    <s v="Chandigarh"/>
    <x v="9"/>
    <d v="2017-04-30T00:00:00"/>
    <s v="Sandeep Sharma"/>
    <s v="Punjab Cricket Association Stadium, Mohali"/>
    <s v="Punjab Kings"/>
    <s v="Delhi Capitals"/>
    <s v="Punjab Kings"/>
    <x v="0"/>
    <s v="Punjab Kings"/>
    <s v="wickets"/>
    <n v="10"/>
    <s v="N"/>
    <s v="Normal Match"/>
    <x v="43"/>
    <s v="CK Nandan"/>
    <x v="9"/>
    <x v="1"/>
    <x v="1"/>
    <x v="1"/>
  </r>
  <r>
    <x v="602"/>
    <s v="Hyderabad"/>
    <x v="9"/>
    <d v="2017-04-30T00:00:00"/>
    <s v="DA Warner"/>
    <s v="Rajiv Gandhi International Stadium, Uppal"/>
    <s v="Sunrisers Hyderabad"/>
    <s v="Kolkata Knight Riders"/>
    <s v="Kolkata Knight Riders"/>
    <x v="0"/>
    <s v="Sunrisers Hyderabad"/>
    <s v="runs"/>
    <n v="48"/>
    <s v="N"/>
    <s v="Normal Match"/>
    <x v="39"/>
    <s v="S Ravi"/>
    <x v="9"/>
    <x v="0"/>
    <x v="0"/>
    <x v="0"/>
  </r>
  <r>
    <x v="603"/>
    <s v="Mumbai"/>
    <x v="9"/>
    <d v="2017-05-01T00:00:00"/>
    <s v="RG Sharma"/>
    <s v="Wankhede Stadium"/>
    <s v="Mumbai Indians"/>
    <s v="Royal Challengers Bangalore"/>
    <s v="Royal Challengers Bangalore"/>
    <x v="1"/>
    <s v="Mumbai Indians"/>
    <s v="wickets"/>
    <n v="5"/>
    <s v="N"/>
    <s v="Normal Match"/>
    <x v="25"/>
    <s v="CB Gaffaney"/>
    <x v="9"/>
    <x v="1"/>
    <x v="0"/>
    <x v="0"/>
  </r>
  <r>
    <x v="604"/>
    <s v="Pune"/>
    <x v="9"/>
    <d v="2017-05-01T00:00:00"/>
    <s v="BA Stokes"/>
    <s v="Maharashtra Cricket Association Stadium"/>
    <s v="Rising Pune Supergiant"/>
    <s v="Gujarat Lions"/>
    <s v="Rising Pune Supergiant"/>
    <x v="0"/>
    <s v="Rising Pune Supergiant"/>
    <s v="wickets"/>
    <n v="5"/>
    <s v="N"/>
    <s v="Normal Match"/>
    <x v="11"/>
    <s v="C Shamshuddin"/>
    <x v="9"/>
    <x v="1"/>
    <x v="1"/>
    <x v="1"/>
  </r>
  <r>
    <x v="605"/>
    <s v="Delhi"/>
    <x v="9"/>
    <d v="2017-05-02T00:00:00"/>
    <s v="Mohammed Shami"/>
    <s v="Feroz Shah Kotla"/>
    <s v="Delhi Capitals"/>
    <s v="Sunrisers Hyderabad"/>
    <s v="Delhi Capitals"/>
    <x v="0"/>
    <s v="Delhi Capitals"/>
    <s v="wickets"/>
    <n v="6"/>
    <s v="N"/>
    <s v="Normal Match"/>
    <x v="43"/>
    <s v="Nitin Menon"/>
    <x v="9"/>
    <x v="1"/>
    <x v="1"/>
    <x v="1"/>
  </r>
  <r>
    <x v="606"/>
    <s v="Kolkata"/>
    <x v="9"/>
    <d v="2017-05-03T00:00:00"/>
    <s v="RA Tripathi"/>
    <s v="Eden Gardens"/>
    <s v="Kolkata Knight Riders"/>
    <s v="Rising Pune Supergiant"/>
    <s v="Rising Pune Supergiant"/>
    <x v="0"/>
    <s v="Rising Pune Supergiant"/>
    <s v="wickets"/>
    <n v="4"/>
    <s v="N"/>
    <s v="Normal Match"/>
    <x v="40"/>
    <s v="A Nand Kishore"/>
    <x v="9"/>
    <x v="1"/>
    <x v="1"/>
    <x v="1"/>
  </r>
  <r>
    <x v="607"/>
    <s v="Delhi"/>
    <x v="9"/>
    <d v="2017-05-04T00:00:00"/>
    <s v="RR Pant"/>
    <s v="Feroz Shah Kotla"/>
    <s v="Delhi Capitals"/>
    <s v="Gujarat Lions"/>
    <s v="Delhi Capitals"/>
    <x v="0"/>
    <s v="Delhi Capitals"/>
    <s v="wickets"/>
    <n v="7"/>
    <s v="N"/>
    <s v="Normal Match"/>
    <x v="11"/>
    <s v="Nitin Menon"/>
    <x v="9"/>
    <x v="1"/>
    <x v="1"/>
    <x v="1"/>
  </r>
  <r>
    <x v="608"/>
    <s v="Bangalore"/>
    <x v="9"/>
    <d v="2017-05-05T00:00:00"/>
    <s v="Sandeep Sharma"/>
    <s v="M. Chinnaswamy Stadium"/>
    <s v="Royal Challengers Bangalore"/>
    <s v="Punjab Kings"/>
    <s v="Royal Challengers Bangalore"/>
    <x v="0"/>
    <s v="Punjab Kings"/>
    <s v="runs"/>
    <n v="19"/>
    <s v="N"/>
    <s v="Normal Match"/>
    <x v="35"/>
    <s v="C Shamshuddin"/>
    <x v="9"/>
    <x v="0"/>
    <x v="0"/>
    <x v="0"/>
  </r>
  <r>
    <x v="609"/>
    <s v="Hyderabad"/>
    <x v="9"/>
    <d v="2017-05-06T00:00:00"/>
    <s v="JD Unadkat"/>
    <s v="Rajiv Gandhi International Stadium, Uppal"/>
    <s v="Sunrisers Hyderabad"/>
    <s v="Rising Pune Supergiant"/>
    <s v="Sunrisers Hyderabad"/>
    <x v="0"/>
    <s v="Rising Pune Supergiant"/>
    <s v="runs"/>
    <n v="12"/>
    <s v="N"/>
    <s v="Normal Match"/>
    <x v="40"/>
    <s v="AK Chaudhary"/>
    <x v="9"/>
    <x v="0"/>
    <x v="0"/>
    <x v="0"/>
  </r>
  <r>
    <x v="610"/>
    <s v="Delhi"/>
    <x v="9"/>
    <d v="2017-05-06T00:00:00"/>
    <s v="LMP Simmons"/>
    <s v="Feroz Shah Kotla"/>
    <s v="Delhi Capitals"/>
    <s v="Mumbai Indians"/>
    <s v="Delhi Capitals"/>
    <x v="0"/>
    <s v="Mumbai Indians"/>
    <s v="runs"/>
    <n v="146"/>
    <s v="N"/>
    <s v="Normal Match"/>
    <x v="37"/>
    <s v="CK Nandan"/>
    <x v="9"/>
    <x v="0"/>
    <x v="0"/>
    <x v="0"/>
  </r>
  <r>
    <x v="611"/>
    <s v="Bangalore"/>
    <x v="9"/>
    <d v="2017-05-07T00:00:00"/>
    <s v="SP Narine"/>
    <s v="M. Chinnaswamy Stadium"/>
    <s v="Royal Challengers Bangalore"/>
    <s v="Kolkata Knight Riders"/>
    <s v="Kolkata Knight Riders"/>
    <x v="0"/>
    <s v="Kolkata Knight Riders"/>
    <s v="wickets"/>
    <n v="6"/>
    <s v="N"/>
    <s v="Normal Match"/>
    <x v="39"/>
    <s v="C Shamshuddin"/>
    <x v="9"/>
    <x v="1"/>
    <x v="1"/>
    <x v="1"/>
  </r>
  <r>
    <x v="612"/>
    <s v="Chandigarh"/>
    <x v="9"/>
    <d v="2017-05-07T00:00:00"/>
    <s v="DR Smith"/>
    <s v="Punjab Cricket Association Stadium, Mohali"/>
    <s v="Punjab Kings"/>
    <s v="Gujarat Lions"/>
    <s v="Gujarat Lions"/>
    <x v="0"/>
    <s v="Gujarat Lions"/>
    <s v="wickets"/>
    <n v="6"/>
    <s v="N"/>
    <s v="Normal Match"/>
    <x v="41"/>
    <s v="VK Sharma"/>
    <x v="9"/>
    <x v="1"/>
    <x v="1"/>
    <x v="1"/>
  </r>
  <r>
    <x v="613"/>
    <s v="Hyderabad"/>
    <x v="9"/>
    <d v="2017-05-08T00:00:00"/>
    <s v="S Dhawan"/>
    <s v="Rajiv Gandhi International Stadium, Uppal"/>
    <s v="Sunrisers Hyderabad"/>
    <s v="Mumbai Indians"/>
    <s v="Mumbai Indians"/>
    <x v="1"/>
    <s v="Sunrisers Hyderabad"/>
    <s v="wickets"/>
    <n v="7"/>
    <s v="N"/>
    <s v="Normal Match"/>
    <x v="40"/>
    <s v="M Erasmus"/>
    <x v="9"/>
    <x v="1"/>
    <x v="0"/>
    <x v="0"/>
  </r>
  <r>
    <x v="614"/>
    <s v="Chandigarh"/>
    <x v="9"/>
    <d v="2017-05-09T00:00:00"/>
    <s v="MM Sharma"/>
    <s v="Punjab Cricket Association Stadium, Mohali"/>
    <s v="Punjab Kings"/>
    <s v="Kolkata Knight Riders"/>
    <s v="Kolkata Knight Riders"/>
    <x v="0"/>
    <s v="Punjab Kings"/>
    <s v="runs"/>
    <n v="14"/>
    <s v="N"/>
    <s v="Normal Match"/>
    <x v="41"/>
    <s v="S Ravi"/>
    <x v="9"/>
    <x v="0"/>
    <x v="0"/>
    <x v="0"/>
  </r>
  <r>
    <x v="615"/>
    <s v="Kanpur"/>
    <x v="9"/>
    <d v="2017-05-10T00:00:00"/>
    <s v="SS Iyer"/>
    <s v="Green Park"/>
    <s v="Gujarat Lions"/>
    <s v="Delhi Capitals"/>
    <s v="Delhi Capitals"/>
    <x v="0"/>
    <s v="Delhi Capitals"/>
    <s v="wickets"/>
    <n v="2"/>
    <s v="N"/>
    <s v="Normal Match"/>
    <x v="43"/>
    <s v="AK Chaudhary"/>
    <x v="9"/>
    <x v="1"/>
    <x v="1"/>
    <x v="1"/>
  </r>
  <r>
    <x v="616"/>
    <s v="Mumbai"/>
    <x v="9"/>
    <d v="2017-05-11T00:00:00"/>
    <s v="WP Saha"/>
    <s v="Wankhede Stadium"/>
    <s v="Mumbai Indians"/>
    <s v="Punjab Kings"/>
    <s v="Mumbai Indians"/>
    <x v="0"/>
    <s v="Punjab Kings"/>
    <s v="runs"/>
    <n v="7"/>
    <s v="N"/>
    <s v="Normal Match"/>
    <x v="42"/>
    <s v="A Nand Kishore"/>
    <x v="9"/>
    <x v="0"/>
    <x v="0"/>
    <x v="0"/>
  </r>
  <r>
    <x v="617"/>
    <s v="Delhi"/>
    <x v="9"/>
    <d v="2017-05-12T00:00:00"/>
    <s v="KK Nair"/>
    <s v="Feroz Shah Kotla"/>
    <s v="Delhi Capitals"/>
    <s v="Rising Pune Supergiant"/>
    <s v="Delhi Capitals"/>
    <x v="1"/>
    <s v="Delhi Capitals"/>
    <s v="runs"/>
    <n v="7"/>
    <s v="N"/>
    <s v="Normal Match"/>
    <x v="40"/>
    <s v="CK Nandan"/>
    <x v="9"/>
    <x v="0"/>
    <x v="1"/>
    <x v="1"/>
  </r>
  <r>
    <x v="618"/>
    <s v="Kanpur"/>
    <x v="9"/>
    <d v="2017-05-13T00:00:00"/>
    <s v="Mohammed Siraj"/>
    <s v="Green Park"/>
    <s v="Gujarat Lions"/>
    <s v="Sunrisers Hyderabad"/>
    <s v="Sunrisers Hyderabad"/>
    <x v="0"/>
    <s v="Sunrisers Hyderabad"/>
    <s v="wickets"/>
    <n v="8"/>
    <s v="N"/>
    <s v="Normal Match"/>
    <x v="25"/>
    <s v="Nitin Menon"/>
    <x v="9"/>
    <x v="1"/>
    <x v="1"/>
    <x v="1"/>
  </r>
  <r>
    <x v="619"/>
    <s v="Kolkata"/>
    <x v="9"/>
    <d v="2017-05-13T00:00:00"/>
    <s v="AT Rayudu"/>
    <s v="Eden Gardens"/>
    <s v="Kolkata Knight Riders"/>
    <s v="Mumbai Indians"/>
    <s v="Kolkata Knight Riders"/>
    <x v="0"/>
    <s v="Mumbai Indians"/>
    <s v="runs"/>
    <n v="9"/>
    <s v="N"/>
    <s v="Normal Match"/>
    <x v="41"/>
    <s v="S Ravi"/>
    <x v="9"/>
    <x v="0"/>
    <x v="0"/>
    <x v="0"/>
  </r>
  <r>
    <x v="620"/>
    <s v="Pune"/>
    <x v="9"/>
    <d v="2017-05-14T00:00:00"/>
    <s v="JD Unadkat"/>
    <s v="Maharashtra Cricket Association Stadium"/>
    <s v="Rising Pune Supergiant"/>
    <s v="Punjab Kings"/>
    <s v="Rising Pune Supergiant"/>
    <x v="0"/>
    <s v="Rising Pune Supergiant"/>
    <s v="wickets"/>
    <n v="9"/>
    <s v="N"/>
    <s v="Normal Match"/>
    <x v="39"/>
    <s v="A Deshmukh"/>
    <x v="9"/>
    <x v="1"/>
    <x v="1"/>
    <x v="1"/>
  </r>
  <r>
    <x v="621"/>
    <s v="Delhi"/>
    <x v="9"/>
    <d v="2017-05-14T00:00:00"/>
    <s v="HV Patel"/>
    <s v="Feroz Shah Kotla"/>
    <s v="Delhi Capitals"/>
    <s v="Royal Challengers Bangalore"/>
    <s v="Royal Challengers Bangalore"/>
    <x v="1"/>
    <s v="Royal Challengers Bangalore"/>
    <s v="runs"/>
    <n v="10"/>
    <s v="N"/>
    <s v="Normal Match"/>
    <x v="28"/>
    <s v="C Shamshuddin"/>
    <x v="9"/>
    <x v="0"/>
    <x v="1"/>
    <x v="1"/>
  </r>
  <r>
    <x v="622"/>
    <s v="Mumbai"/>
    <x v="9"/>
    <d v="2017-05-16T00:00:00"/>
    <s v="Washington Sundar"/>
    <s v="Wankhede Stadium"/>
    <s v="Mumbai Indians"/>
    <s v="Rising Pune Supergiant"/>
    <s v="Mumbai Indians"/>
    <x v="0"/>
    <s v="Rising Pune Supergiant"/>
    <s v="runs"/>
    <n v="20"/>
    <s v="N"/>
    <s v="Normal Match"/>
    <x v="19"/>
    <s v="C Shamshuddin"/>
    <x v="9"/>
    <x v="0"/>
    <x v="0"/>
    <x v="0"/>
  </r>
  <r>
    <x v="623"/>
    <s v="Bangalore"/>
    <x v="9"/>
    <d v="2017-05-17T00:00:00"/>
    <s v="NM Coulter-Nile"/>
    <s v="M. Chinnaswamy Stadium"/>
    <s v="Sunrisers Hyderabad"/>
    <s v="Kolkata Knight Riders"/>
    <s v="Kolkata Knight Riders"/>
    <x v="0"/>
    <s v="Kolkata Knight Riders"/>
    <s v="wickets"/>
    <n v="7"/>
    <s v="N"/>
    <s v="D/L"/>
    <x v="25"/>
    <s v="Nitin Menon"/>
    <x v="9"/>
    <x v="1"/>
    <x v="1"/>
    <x v="1"/>
  </r>
  <r>
    <x v="624"/>
    <s v="Bangalore"/>
    <x v="9"/>
    <d v="2017-05-19T00:00:00"/>
    <s v="KV Sharma"/>
    <s v="M. Chinnaswamy Stadium"/>
    <s v="Mumbai Indians"/>
    <s v="Kolkata Knight Riders"/>
    <s v="Mumbai Indians"/>
    <x v="0"/>
    <s v="Mumbai Indians"/>
    <s v="wickets"/>
    <n v="6"/>
    <s v="N"/>
    <s v="Normal Match"/>
    <x v="30"/>
    <s v="Nitin Menon"/>
    <x v="9"/>
    <x v="1"/>
    <x v="1"/>
    <x v="1"/>
  </r>
  <r>
    <x v="625"/>
    <s v="Hyderabad"/>
    <x v="9"/>
    <d v="2017-05-21T00:00:00"/>
    <s v="KH Pandya"/>
    <s v="Rajiv Gandhi International Stadium, Uppal"/>
    <s v="Mumbai Indians"/>
    <s v="Rising Pune Supergiant"/>
    <s v="Mumbai Indians"/>
    <x v="1"/>
    <s v="Mumbai Indians"/>
    <s v="runs"/>
    <n v="1"/>
    <s v="N"/>
    <s v="Normal Match"/>
    <x v="30"/>
    <s v="S Ravi"/>
    <x v="9"/>
    <x v="0"/>
    <x v="1"/>
    <x v="1"/>
  </r>
  <r>
    <x v="626"/>
    <s v="Mumbai"/>
    <x v="10"/>
    <d v="2018-04-07T00:00:00"/>
    <s v="DJ Bravo"/>
    <s v="Wankhede Stadium"/>
    <s v="Mumbai Indians"/>
    <s v="Chennai Super Kings"/>
    <s v="Chennai Super Kings"/>
    <x v="0"/>
    <s v="Chennai Super Kings"/>
    <s v="wickets"/>
    <n v="1"/>
    <s v="N"/>
    <s v="Normal Match"/>
    <x v="35"/>
    <s v="A Nand Kishore"/>
    <x v="10"/>
    <x v="1"/>
    <x v="1"/>
    <x v="1"/>
  </r>
  <r>
    <x v="627"/>
    <s v="Chandigarh"/>
    <x v="10"/>
    <d v="2018-04-08T00:00:00"/>
    <s v="KL Rahul"/>
    <s v="Punjab Cricket Association Stadium, Mohali"/>
    <s v="Punjab Kings"/>
    <s v="Delhi Capitals"/>
    <s v="Punjab Kings"/>
    <x v="0"/>
    <s v="Punjab Kings"/>
    <s v="wickets"/>
    <n v="6"/>
    <s v="N"/>
    <s v="Normal Match"/>
    <x v="40"/>
    <s v="RJ Tucker"/>
    <x v="10"/>
    <x v="1"/>
    <x v="1"/>
    <x v="1"/>
  </r>
  <r>
    <x v="628"/>
    <s v="Kolkata"/>
    <x v="10"/>
    <d v="2018-04-08T00:00:00"/>
    <s v="SP Narine"/>
    <s v="Eden Gardens"/>
    <s v="Kolkata Knight Riders"/>
    <s v="Royal Challengers Bangalore"/>
    <s v="Kolkata Knight Riders"/>
    <x v="0"/>
    <s v="Kolkata Knight Riders"/>
    <s v="wickets"/>
    <n v="4"/>
    <s v="N"/>
    <s v="Normal Match"/>
    <x v="29"/>
    <s v="A Deshmukh"/>
    <x v="10"/>
    <x v="1"/>
    <x v="1"/>
    <x v="1"/>
  </r>
  <r>
    <x v="629"/>
    <s v="Hyderabad"/>
    <x v="10"/>
    <d v="2018-04-09T00:00:00"/>
    <s v="S Dhawan"/>
    <s v="Rajiv Gandhi International Stadium, Uppal"/>
    <s v="Sunrisers Hyderabad"/>
    <s v="Rajasthan Royals"/>
    <s v="Sunrisers Hyderabad"/>
    <x v="0"/>
    <s v="Sunrisers Hyderabad"/>
    <s v="wickets"/>
    <n v="9"/>
    <s v="N"/>
    <s v="Normal Match"/>
    <x v="26"/>
    <s v="NJ Llong"/>
    <x v="10"/>
    <x v="1"/>
    <x v="1"/>
    <x v="1"/>
  </r>
  <r>
    <x v="630"/>
    <s v="Chennai"/>
    <x v="10"/>
    <d v="2018-04-10T00:00:00"/>
    <s v="SW Billings"/>
    <s v="MA Chidambaram Stadium, Chepauk"/>
    <s v="Chennai Super Kings"/>
    <s v="Kolkata Knight Riders"/>
    <s v="Chennai Super Kings"/>
    <x v="0"/>
    <s v="Chennai Super Kings"/>
    <s v="wickets"/>
    <n v="5"/>
    <s v="N"/>
    <s v="Normal Match"/>
    <x v="35"/>
    <s v="AK Chaudhary"/>
    <x v="10"/>
    <x v="1"/>
    <x v="1"/>
    <x v="1"/>
  </r>
  <r>
    <x v="631"/>
    <s v="Jaipur"/>
    <x v="10"/>
    <d v="2018-04-11T00:00:00"/>
    <s v="SV Samson"/>
    <s v="Sawai Mansingh Stadium"/>
    <s v="Rajasthan Royals"/>
    <s v="Delhi Capitals"/>
    <s v="Delhi Capitals"/>
    <x v="0"/>
    <s v="Rajasthan Royals"/>
    <s v="runs"/>
    <n v="10"/>
    <s v="N"/>
    <s v="D/L"/>
    <x v="40"/>
    <s v="Nitin Menon"/>
    <x v="10"/>
    <x v="0"/>
    <x v="0"/>
    <x v="0"/>
  </r>
  <r>
    <x v="632"/>
    <s v="Hyderabad"/>
    <x v="10"/>
    <d v="2018-04-12T00:00:00"/>
    <s v="Rashid Khan"/>
    <s v="Rajiv Gandhi International Stadium, Uppal"/>
    <s v="Sunrisers Hyderabad"/>
    <s v="Mumbai Indians"/>
    <s v="Sunrisers Hyderabad"/>
    <x v="0"/>
    <s v="Sunrisers Hyderabad"/>
    <s v="wickets"/>
    <n v="1"/>
    <s v="N"/>
    <s v="Normal Match"/>
    <x v="30"/>
    <s v="CK Nandan"/>
    <x v="10"/>
    <x v="1"/>
    <x v="1"/>
    <x v="1"/>
  </r>
  <r>
    <x v="633"/>
    <s v="Bengaluru"/>
    <x v="10"/>
    <d v="2018-04-13T00:00:00"/>
    <s v="UT Yadav"/>
    <s v="M. Chinnaswamy Stadium"/>
    <s v="Royal Challengers Bangalore"/>
    <s v="Punjab Kings"/>
    <s v="Royal Challengers Bangalore"/>
    <x v="0"/>
    <s v="Royal Challengers Bangalore"/>
    <s v="wickets"/>
    <n v="4"/>
    <s v="N"/>
    <s v="Normal Match"/>
    <x v="42"/>
    <s v="S Ravi"/>
    <x v="10"/>
    <x v="1"/>
    <x v="1"/>
    <x v="1"/>
  </r>
  <r>
    <x v="634"/>
    <s v="Mumbai"/>
    <x v="10"/>
    <d v="2018-04-14T00:00:00"/>
    <s v="JJ Roy"/>
    <s v="Wankhede Stadium"/>
    <s v="Mumbai Indians"/>
    <s v="Delhi Capitals"/>
    <s v="Delhi Capitals"/>
    <x v="0"/>
    <s v="Delhi Capitals"/>
    <s v="wickets"/>
    <n v="7"/>
    <s v="N"/>
    <s v="Normal Match"/>
    <x v="40"/>
    <s v="Nitin Menon"/>
    <x v="10"/>
    <x v="1"/>
    <x v="1"/>
    <x v="1"/>
  </r>
  <r>
    <x v="635"/>
    <s v="Kolkata"/>
    <x v="10"/>
    <d v="2018-04-14T00:00:00"/>
    <s v="B Stanlake"/>
    <s v="Eden Gardens"/>
    <s v="Kolkata Knight Riders"/>
    <s v="Sunrisers Hyderabad"/>
    <s v="Sunrisers Hyderabad"/>
    <x v="0"/>
    <s v="Sunrisers Hyderabad"/>
    <s v="wickets"/>
    <n v="5"/>
    <s v="N"/>
    <s v="Normal Match"/>
    <x v="25"/>
    <s v="A Nand Kishore"/>
    <x v="10"/>
    <x v="1"/>
    <x v="1"/>
    <x v="1"/>
  </r>
  <r>
    <x v="636"/>
    <s v="Bengaluru"/>
    <x v="10"/>
    <d v="2018-04-15T00:00:00"/>
    <s v="SV Samson"/>
    <s v="M. Chinnaswamy Stadium"/>
    <s v="Royal Challengers Bangalore"/>
    <s v="Rajasthan Royals"/>
    <s v="Royal Challengers Bangalore"/>
    <x v="0"/>
    <s v="Rajasthan Royals"/>
    <s v="runs"/>
    <n v="19"/>
    <s v="N"/>
    <s v="Normal Match"/>
    <x v="29"/>
    <s v="S Ravi"/>
    <x v="10"/>
    <x v="0"/>
    <x v="0"/>
    <x v="0"/>
  </r>
  <r>
    <x v="637"/>
    <s v="Chandigarh"/>
    <x v="10"/>
    <d v="2018-04-15T00:00:00"/>
    <s v="CH Gayle"/>
    <s v="Punjab Cricket Association Stadium, Mohali"/>
    <s v="Punjab Kings"/>
    <s v="Chennai Super Kings"/>
    <s v="Chennai Super Kings"/>
    <x v="0"/>
    <s v="Punjab Kings"/>
    <s v="runs"/>
    <n v="4"/>
    <s v="N"/>
    <s v="Normal Match"/>
    <x v="26"/>
    <s v="CK Nandan"/>
    <x v="10"/>
    <x v="0"/>
    <x v="0"/>
    <x v="0"/>
  </r>
  <r>
    <x v="638"/>
    <s v="Kolkata"/>
    <x v="10"/>
    <d v="2018-04-16T00:00:00"/>
    <s v="N Rana"/>
    <s v="Eden Gardens"/>
    <s v="Kolkata Knight Riders"/>
    <s v="Delhi Capitals"/>
    <s v="Delhi Capitals"/>
    <x v="0"/>
    <s v="Kolkata Knight Riders"/>
    <s v="runs"/>
    <n v="71"/>
    <s v="N"/>
    <s v="Normal Match"/>
    <x v="25"/>
    <s v="A Nand Kishore"/>
    <x v="10"/>
    <x v="0"/>
    <x v="0"/>
    <x v="0"/>
  </r>
  <r>
    <x v="639"/>
    <s v="Mumbai"/>
    <x v="10"/>
    <d v="2018-04-17T00:00:00"/>
    <s v="RG Sharma"/>
    <s v="Wankhede Stadium"/>
    <s v="Mumbai Indians"/>
    <s v="Royal Challengers Bangalore"/>
    <s v="Royal Challengers Bangalore"/>
    <x v="0"/>
    <s v="Mumbai Indians"/>
    <s v="runs"/>
    <n v="46"/>
    <s v="N"/>
    <s v="Normal Match"/>
    <x v="44"/>
    <s v="Nitin Menon"/>
    <x v="10"/>
    <x v="0"/>
    <x v="0"/>
    <x v="0"/>
  </r>
  <r>
    <x v="640"/>
    <s v="Jaipur"/>
    <x v="10"/>
    <d v="2018-04-18T00:00:00"/>
    <s v="N Rana"/>
    <s v="Sawai Mansingh Stadium"/>
    <s v="Rajasthan Royals"/>
    <s v="Kolkata Knight Riders"/>
    <s v="Kolkata Knight Riders"/>
    <x v="0"/>
    <s v="Kolkata Knight Riders"/>
    <s v="wickets"/>
    <n v="7"/>
    <s v="N"/>
    <s v="Normal Match"/>
    <x v="42"/>
    <s v="S Ravi"/>
    <x v="10"/>
    <x v="1"/>
    <x v="1"/>
    <x v="1"/>
  </r>
  <r>
    <x v="641"/>
    <s v="Chandigarh"/>
    <x v="10"/>
    <d v="2018-04-19T00:00:00"/>
    <s v="CH Gayle"/>
    <s v="Punjab Cricket Association Stadium, Mohali"/>
    <s v="Punjab Kings"/>
    <s v="Sunrisers Hyderabad"/>
    <s v="Punjab Kings"/>
    <x v="1"/>
    <s v="Punjab Kings"/>
    <s v="runs"/>
    <n v="15"/>
    <s v="N"/>
    <s v="Normal Match"/>
    <x v="30"/>
    <s v="AK Chaudhary"/>
    <x v="10"/>
    <x v="0"/>
    <x v="1"/>
    <x v="1"/>
  </r>
  <r>
    <x v="642"/>
    <s v="Pune"/>
    <x v="10"/>
    <d v="2018-04-20T00:00:00"/>
    <s v="SR Watson"/>
    <s v="Maharashtra Cricket Association Stadium"/>
    <s v="Chennai Super Kings"/>
    <s v="Rajasthan Royals"/>
    <s v="Rajasthan Royals"/>
    <x v="0"/>
    <s v="Chennai Super Kings"/>
    <s v="runs"/>
    <n v="64"/>
    <s v="N"/>
    <s v="Normal Match"/>
    <x v="40"/>
    <s v="Nitin Menon"/>
    <x v="10"/>
    <x v="0"/>
    <x v="0"/>
    <x v="0"/>
  </r>
  <r>
    <x v="643"/>
    <s v="Kolkata"/>
    <x v="10"/>
    <d v="2018-04-21T00:00:00"/>
    <s v="KL Rahul"/>
    <s v="Eden Gardens"/>
    <s v="Kolkata Knight Riders"/>
    <s v="Punjab Kings"/>
    <s v="Punjab Kings"/>
    <x v="0"/>
    <s v="Punjab Kings"/>
    <s v="wickets"/>
    <n v="9"/>
    <s v="N"/>
    <s v="D/L"/>
    <x v="29"/>
    <s v="A Deshmukh"/>
    <x v="10"/>
    <x v="1"/>
    <x v="1"/>
    <x v="1"/>
  </r>
  <r>
    <x v="644"/>
    <s v="Bengaluru"/>
    <x v="10"/>
    <d v="2018-04-21T00:00:00"/>
    <s v="AB de Villiers"/>
    <s v="M. Chinnaswamy Stadium"/>
    <s v="Royal Challengers Bangalore"/>
    <s v="Delhi Capitals"/>
    <s v="Royal Challengers Bangalore"/>
    <x v="0"/>
    <s v="Royal Challengers Bangalore"/>
    <s v="wickets"/>
    <n v="6"/>
    <s v="N"/>
    <s v="Normal Match"/>
    <x v="35"/>
    <s v="CK Nandan"/>
    <x v="10"/>
    <x v="1"/>
    <x v="1"/>
    <x v="1"/>
  </r>
  <r>
    <x v="645"/>
    <s v="Hyderabad"/>
    <x v="10"/>
    <d v="2018-04-22T00:00:00"/>
    <s v="AT Rayudu"/>
    <s v="Rajiv Gandhi International Stadium, Uppal"/>
    <s v="Sunrisers Hyderabad"/>
    <s v="Chennai Super Kings"/>
    <s v="Sunrisers Hyderabad"/>
    <x v="0"/>
    <s v="Chennai Super Kings"/>
    <s v="runs"/>
    <n v="4"/>
    <s v="N"/>
    <s v="Normal Match"/>
    <x v="26"/>
    <s v="AK Chaudhary"/>
    <x v="10"/>
    <x v="0"/>
    <x v="0"/>
    <x v="0"/>
  </r>
  <r>
    <x v="646"/>
    <s v="Jaipur"/>
    <x v="10"/>
    <d v="2018-04-22T00:00:00"/>
    <s v="JC Archer"/>
    <s v="Sawai Mansingh Stadium"/>
    <s v="Rajasthan Royals"/>
    <s v="Mumbai Indians"/>
    <s v="Mumbai Indians"/>
    <x v="1"/>
    <s v="Rajasthan Royals"/>
    <s v="wickets"/>
    <n v="3"/>
    <s v="N"/>
    <s v="Normal Match"/>
    <x v="40"/>
    <s v="RJ Tucker"/>
    <x v="10"/>
    <x v="1"/>
    <x v="0"/>
    <x v="0"/>
  </r>
  <r>
    <x v="647"/>
    <s v="Delhi"/>
    <x v="10"/>
    <d v="2018-04-23T00:00:00"/>
    <s v="AS Rajpoot"/>
    <s v="Feroz Shah Kotla"/>
    <s v="Delhi Capitals"/>
    <s v="Punjab Kings"/>
    <s v="Delhi Capitals"/>
    <x v="0"/>
    <s v="Punjab Kings"/>
    <s v="runs"/>
    <n v="4"/>
    <s v="N"/>
    <s v="Normal Match"/>
    <x v="41"/>
    <s v="CK Nandan"/>
    <x v="10"/>
    <x v="0"/>
    <x v="0"/>
    <x v="0"/>
  </r>
  <r>
    <x v="648"/>
    <s v="Mumbai"/>
    <x v="10"/>
    <d v="2018-04-24T00:00:00"/>
    <s v="Rashid Khan"/>
    <s v="Wankhede Stadium"/>
    <s v="Mumbai Indians"/>
    <s v="Sunrisers Hyderabad"/>
    <s v="Mumbai Indians"/>
    <x v="0"/>
    <s v="Sunrisers Hyderabad"/>
    <s v="runs"/>
    <n v="31"/>
    <s v="N"/>
    <s v="Normal Match"/>
    <x v="29"/>
    <s v="S Ravi"/>
    <x v="10"/>
    <x v="0"/>
    <x v="0"/>
    <x v="0"/>
  </r>
  <r>
    <x v="649"/>
    <s v="Bengaluru"/>
    <x v="10"/>
    <d v="2018-04-25T00:00:00"/>
    <s v="MS Dhoni"/>
    <s v="M. Chinnaswamy Stadium"/>
    <s v="Royal Challengers Bangalore"/>
    <s v="Chennai Super Kings"/>
    <s v="Chennai Super Kings"/>
    <x v="0"/>
    <s v="Chennai Super Kings"/>
    <s v="wickets"/>
    <n v="5"/>
    <s v="N"/>
    <s v="Normal Match"/>
    <x v="30"/>
    <s v="VK Sharma"/>
    <x v="10"/>
    <x v="1"/>
    <x v="1"/>
    <x v="1"/>
  </r>
  <r>
    <x v="650"/>
    <s v="Hyderabad"/>
    <x v="10"/>
    <d v="2018-04-26T00:00:00"/>
    <s v="AS Rajpoot"/>
    <s v="Rajiv Gandhi International Stadium, Uppal"/>
    <s v="Sunrisers Hyderabad"/>
    <s v="Punjab Kings"/>
    <s v="Punjab Kings"/>
    <x v="0"/>
    <s v="Sunrisers Hyderabad"/>
    <s v="runs"/>
    <n v="13"/>
    <s v="N"/>
    <s v="Normal Match"/>
    <x v="43"/>
    <s v="CK Nandan"/>
    <x v="10"/>
    <x v="0"/>
    <x v="0"/>
    <x v="0"/>
  </r>
  <r>
    <x v="651"/>
    <s v="Delhi"/>
    <x v="10"/>
    <d v="2018-04-27T00:00:00"/>
    <s v="SS Iyer"/>
    <s v="Feroz Shah Kotla"/>
    <s v="Delhi Capitals"/>
    <s v="Kolkata Knight Riders"/>
    <s v="Kolkata Knight Riders"/>
    <x v="0"/>
    <s v="Delhi Capitals"/>
    <s v="runs"/>
    <n v="55"/>
    <s v="N"/>
    <s v="Normal Match"/>
    <x v="29"/>
    <s v="S Ravi"/>
    <x v="10"/>
    <x v="0"/>
    <x v="0"/>
    <x v="0"/>
  </r>
  <r>
    <x v="652"/>
    <s v="Pune"/>
    <x v="10"/>
    <d v="2018-04-28T00:00:00"/>
    <s v="RG Sharma"/>
    <s v="Maharashtra Cricket Association Stadium"/>
    <s v="Chennai Super Kings"/>
    <s v="Mumbai Indians"/>
    <s v="Mumbai Indians"/>
    <x v="0"/>
    <s v="Mumbai Indians"/>
    <s v="wickets"/>
    <n v="8"/>
    <s v="N"/>
    <s v="Normal Match"/>
    <x v="35"/>
    <s v="Nitin Menon"/>
    <x v="10"/>
    <x v="1"/>
    <x v="1"/>
    <x v="1"/>
  </r>
  <r>
    <x v="653"/>
    <s v="Jaipur"/>
    <x v="10"/>
    <d v="2018-04-29T00:00:00"/>
    <s v="KS Williamson"/>
    <s v="Sawai Mansingh Stadium"/>
    <s v="Rajasthan Royals"/>
    <s v="Sunrisers Hyderabad"/>
    <s v="Sunrisers Hyderabad"/>
    <x v="1"/>
    <s v="Sunrisers Hyderabad"/>
    <s v="runs"/>
    <n v="11"/>
    <s v="N"/>
    <s v="Normal Match"/>
    <x v="27"/>
    <s v="A Nand Kishore"/>
    <x v="10"/>
    <x v="0"/>
    <x v="1"/>
    <x v="1"/>
  </r>
  <r>
    <x v="654"/>
    <s v="Bengaluru"/>
    <x v="10"/>
    <d v="2018-04-29T00:00:00"/>
    <s v="CA Lynn"/>
    <s v="M. Chinnaswamy Stadium"/>
    <s v="Royal Challengers Bangalore"/>
    <s v="Kolkata Knight Riders"/>
    <s v="Kolkata Knight Riders"/>
    <x v="0"/>
    <s v="Kolkata Knight Riders"/>
    <s v="wickets"/>
    <n v="6"/>
    <s v="N"/>
    <s v="Normal Match"/>
    <x v="30"/>
    <s v="AK Chaudhary"/>
    <x v="10"/>
    <x v="1"/>
    <x v="1"/>
    <x v="1"/>
  </r>
  <r>
    <x v="655"/>
    <s v="Pune"/>
    <x v="10"/>
    <d v="2018-04-30T00:00:00"/>
    <s v="SR Watson"/>
    <s v="Maharashtra Cricket Association Stadium"/>
    <s v="Chennai Super Kings"/>
    <s v="Delhi Capitals"/>
    <s v="Delhi Capitals"/>
    <x v="0"/>
    <s v="Chennai Super Kings"/>
    <s v="runs"/>
    <n v="13"/>
    <s v="N"/>
    <s v="Normal Match"/>
    <x v="39"/>
    <s v="C Shamshuddin"/>
    <x v="10"/>
    <x v="0"/>
    <x v="0"/>
    <x v="0"/>
  </r>
  <r>
    <x v="656"/>
    <s v="Bengaluru"/>
    <x v="10"/>
    <d v="2018-05-01T00:00:00"/>
    <s v="TG Southee"/>
    <s v="M. Chinnaswamy Stadium"/>
    <s v="Royal Challengers Bangalore"/>
    <s v="Mumbai Indians"/>
    <s v="Mumbai Indians"/>
    <x v="0"/>
    <s v="Royal Challengers Bangalore"/>
    <s v="runs"/>
    <n v="14"/>
    <s v="N"/>
    <s v="Normal Match"/>
    <x v="11"/>
    <s v="Nitin Menon"/>
    <x v="10"/>
    <x v="0"/>
    <x v="0"/>
    <x v="0"/>
  </r>
  <r>
    <x v="657"/>
    <s v="Delhi"/>
    <x v="10"/>
    <d v="2018-05-02T00:00:00"/>
    <s v="RR Pant"/>
    <s v="Feroz Shah Kotla"/>
    <s v="Delhi Capitals"/>
    <s v="Rajasthan Royals"/>
    <s v="Rajasthan Royals"/>
    <x v="0"/>
    <s v="Delhi Capitals"/>
    <s v="runs"/>
    <n v="4"/>
    <s v="N"/>
    <s v="D/L"/>
    <x v="45"/>
    <s v="CK Nandan"/>
    <x v="10"/>
    <x v="0"/>
    <x v="0"/>
    <x v="0"/>
  </r>
  <r>
    <x v="658"/>
    <s v="Kolkata"/>
    <x v="10"/>
    <d v="2018-05-03T00:00:00"/>
    <s v="SP Narine"/>
    <s v="Eden Gardens"/>
    <s v="Kolkata Knight Riders"/>
    <s v="Chennai Super Kings"/>
    <s v="Kolkata Knight Riders"/>
    <x v="0"/>
    <s v="Kolkata Knight Riders"/>
    <s v="wickets"/>
    <n v="6"/>
    <s v="N"/>
    <s v="Normal Match"/>
    <x v="12"/>
    <s v="A Deshmukh"/>
    <x v="10"/>
    <x v="1"/>
    <x v="1"/>
    <x v="1"/>
  </r>
  <r>
    <x v="659"/>
    <s v="Indore"/>
    <x v="10"/>
    <d v="2018-05-04T00:00:00"/>
    <s v="SA Yadav"/>
    <s v="Holkar Cricket Stadium"/>
    <s v="Punjab Kings"/>
    <s v="Mumbai Indians"/>
    <s v="Mumbai Indians"/>
    <x v="0"/>
    <s v="Mumbai Indians"/>
    <s v="wickets"/>
    <n v="6"/>
    <s v="N"/>
    <s v="Normal Match"/>
    <x v="39"/>
    <s v="S Ravi"/>
    <x v="10"/>
    <x v="1"/>
    <x v="1"/>
    <x v="1"/>
  </r>
  <r>
    <x v="660"/>
    <s v="Pune"/>
    <x v="10"/>
    <d v="2018-05-05T00:00:00"/>
    <s v="RA Jadeja"/>
    <s v="Maharashtra Cricket Association Stadium"/>
    <s v="Chennai Super Kings"/>
    <s v="Royal Challengers Bangalore"/>
    <s v="Chennai Super Kings"/>
    <x v="0"/>
    <s v="Chennai Super Kings"/>
    <s v="wickets"/>
    <n v="6"/>
    <s v="N"/>
    <s v="Normal Match"/>
    <x v="37"/>
    <s v="YC Barde"/>
    <x v="10"/>
    <x v="1"/>
    <x v="1"/>
    <x v="1"/>
  </r>
  <r>
    <x v="661"/>
    <s v="Hyderabad"/>
    <x v="10"/>
    <d v="2018-05-05T00:00:00"/>
    <s v="Rashid Khan"/>
    <s v="Rajiv Gandhi International Stadium, Uppal"/>
    <s v="Sunrisers Hyderabad"/>
    <s v="Delhi Capitals"/>
    <s v="Delhi Capitals"/>
    <x v="1"/>
    <s v="Sunrisers Hyderabad"/>
    <s v="wickets"/>
    <n v="7"/>
    <s v="N"/>
    <s v="Normal Match"/>
    <x v="27"/>
    <s v="CK Nandan"/>
    <x v="10"/>
    <x v="1"/>
    <x v="0"/>
    <x v="0"/>
  </r>
  <r>
    <x v="662"/>
    <s v="Mumbai"/>
    <x v="10"/>
    <d v="2018-05-06T00:00:00"/>
    <s v="HH Pandya"/>
    <s v="Wankhede Stadium"/>
    <s v="Mumbai Indians"/>
    <s v="Kolkata Knight Riders"/>
    <s v="Kolkata Knight Riders"/>
    <x v="0"/>
    <s v="Mumbai Indians"/>
    <s v="runs"/>
    <n v="13"/>
    <s v="N"/>
    <s v="Normal Match"/>
    <x v="12"/>
    <s v="A Deshmukh"/>
    <x v="10"/>
    <x v="0"/>
    <x v="0"/>
    <x v="0"/>
  </r>
  <r>
    <x v="663"/>
    <s v="Indore"/>
    <x v="10"/>
    <d v="2018-05-06T00:00:00"/>
    <s v="Mujeeb Ur Rahman"/>
    <s v="Holkar Cricket Stadium"/>
    <s v="Punjab Kings"/>
    <s v="Rajasthan Royals"/>
    <s v="Punjab Kings"/>
    <x v="0"/>
    <s v="Punjab Kings"/>
    <s v="wickets"/>
    <n v="6"/>
    <s v="N"/>
    <s v="Normal Match"/>
    <x v="29"/>
    <s v="S Ravi"/>
    <x v="10"/>
    <x v="1"/>
    <x v="1"/>
    <x v="1"/>
  </r>
  <r>
    <x v="664"/>
    <s v="Hyderabad"/>
    <x v="10"/>
    <d v="2018-05-07T00:00:00"/>
    <s v="KS Williamson"/>
    <s v="Rajiv Gandhi International Stadium, Uppal"/>
    <s v="Sunrisers Hyderabad"/>
    <s v="Royal Challengers Bangalore"/>
    <s v="Royal Challengers Bangalore"/>
    <x v="0"/>
    <s v="Sunrisers Hyderabad"/>
    <s v="runs"/>
    <n v="5"/>
    <s v="N"/>
    <s v="Normal Match"/>
    <x v="27"/>
    <s v="VK Sharma"/>
    <x v="10"/>
    <x v="0"/>
    <x v="0"/>
    <x v="0"/>
  </r>
  <r>
    <x v="665"/>
    <s v="Jaipur"/>
    <x v="10"/>
    <d v="2018-05-08T00:00:00"/>
    <s v="JC Buttler"/>
    <s v="Sawai Mansingh Stadium"/>
    <s v="Rajasthan Royals"/>
    <s v="Punjab Kings"/>
    <s v="Rajasthan Royals"/>
    <x v="1"/>
    <s v="Rajasthan Royals"/>
    <s v="runs"/>
    <n v="15"/>
    <s v="N"/>
    <s v="Normal Match"/>
    <x v="11"/>
    <s v="Nitin Menon"/>
    <x v="10"/>
    <x v="0"/>
    <x v="1"/>
    <x v="1"/>
  </r>
  <r>
    <x v="666"/>
    <s v="Kolkata"/>
    <x v="10"/>
    <d v="2018-05-09T00:00:00"/>
    <s v="Ishan Kishan"/>
    <s v="Eden Gardens"/>
    <s v="Kolkata Knight Riders"/>
    <s v="Mumbai Indians"/>
    <s v="Kolkata Knight Riders"/>
    <x v="0"/>
    <s v="Mumbai Indians"/>
    <s v="runs"/>
    <n v="102"/>
    <s v="N"/>
    <s v="Normal Match"/>
    <x v="40"/>
    <s v="AK Chaudhary"/>
    <x v="10"/>
    <x v="0"/>
    <x v="0"/>
    <x v="0"/>
  </r>
  <r>
    <x v="667"/>
    <s v="Delhi"/>
    <x v="10"/>
    <d v="2018-05-10T00:00:00"/>
    <s v="S Dhawan"/>
    <s v="Feroz Shah Kotla"/>
    <s v="Delhi Capitals"/>
    <s v="Sunrisers Hyderabad"/>
    <s v="Delhi Capitals"/>
    <x v="1"/>
    <s v="Sunrisers Hyderabad"/>
    <s v="wickets"/>
    <n v="9"/>
    <s v="N"/>
    <s v="Normal Match"/>
    <x v="39"/>
    <s v="C Shamshuddin"/>
    <x v="10"/>
    <x v="1"/>
    <x v="0"/>
    <x v="0"/>
  </r>
  <r>
    <x v="668"/>
    <s v="Jaipur"/>
    <x v="10"/>
    <d v="2018-05-11T00:00:00"/>
    <s v="JC Buttler"/>
    <s v="Sawai Mansingh Stadium"/>
    <s v="Rajasthan Royals"/>
    <s v="Chennai Super Kings"/>
    <s v="Chennai Super Kings"/>
    <x v="1"/>
    <s v="Rajasthan Royals"/>
    <s v="wickets"/>
    <n v="4"/>
    <s v="N"/>
    <s v="Normal Match"/>
    <x v="11"/>
    <s v="YC Barde"/>
    <x v="10"/>
    <x v="1"/>
    <x v="0"/>
    <x v="0"/>
  </r>
  <r>
    <x v="669"/>
    <s v="Indore"/>
    <x v="10"/>
    <d v="2018-05-12T00:00:00"/>
    <s v="SP Narine"/>
    <s v="Holkar Cricket Stadium"/>
    <s v="Punjab Kings"/>
    <s v="Kolkata Knight Riders"/>
    <s v="Punjab Kings"/>
    <x v="0"/>
    <s v="Kolkata Knight Riders"/>
    <s v="runs"/>
    <n v="31"/>
    <s v="N"/>
    <s v="Normal Match"/>
    <x v="45"/>
    <s v="CK Nandan"/>
    <x v="10"/>
    <x v="0"/>
    <x v="0"/>
    <x v="0"/>
  </r>
  <r>
    <x v="670"/>
    <s v="Delhi"/>
    <x v="10"/>
    <d v="2018-05-12T00:00:00"/>
    <s v="AB de Villiers"/>
    <s v="Feroz Shah Kotla"/>
    <s v="Delhi Capitals"/>
    <s v="Royal Challengers Bangalore"/>
    <s v="Royal Challengers Bangalore"/>
    <x v="0"/>
    <s v="Royal Challengers Bangalore"/>
    <s v="wickets"/>
    <n v="5"/>
    <s v="N"/>
    <s v="Normal Match"/>
    <x v="40"/>
    <s v="HDPK Dharmasena"/>
    <x v="10"/>
    <x v="1"/>
    <x v="1"/>
    <x v="1"/>
  </r>
  <r>
    <x v="671"/>
    <s v="Pune"/>
    <x v="10"/>
    <d v="2018-05-13T00:00:00"/>
    <s v="AT Rayudu"/>
    <s v="Maharashtra Cricket Association Stadium"/>
    <s v="Chennai Super Kings"/>
    <s v="Sunrisers Hyderabad"/>
    <s v="Chennai Super Kings"/>
    <x v="0"/>
    <s v="Chennai Super Kings"/>
    <s v="wickets"/>
    <n v="8"/>
    <s v="N"/>
    <s v="Normal Match"/>
    <x v="11"/>
    <s v="YC Barde"/>
    <x v="10"/>
    <x v="1"/>
    <x v="1"/>
    <x v="1"/>
  </r>
  <r>
    <x v="672"/>
    <s v="Mumbai"/>
    <x v="10"/>
    <d v="2018-05-13T00:00:00"/>
    <s v="JC Buttler"/>
    <s v="Wankhede Stadium"/>
    <s v="Mumbai Indians"/>
    <s v="Rajasthan Royals"/>
    <s v="Rajasthan Royals"/>
    <x v="0"/>
    <s v="Rajasthan Royals"/>
    <s v="wickets"/>
    <n v="7"/>
    <s v="N"/>
    <s v="Normal Match"/>
    <x v="37"/>
    <s v="S Ravi"/>
    <x v="10"/>
    <x v="1"/>
    <x v="1"/>
    <x v="1"/>
  </r>
  <r>
    <x v="673"/>
    <s v="Indore"/>
    <x v="10"/>
    <d v="2018-05-14T00:00:00"/>
    <s v="UT Yadav"/>
    <s v="Holkar Cricket Stadium"/>
    <s v="Punjab Kings"/>
    <s v="Royal Challengers Bangalore"/>
    <s v="Royal Challengers Bangalore"/>
    <x v="0"/>
    <s v="Royal Challengers Bangalore"/>
    <s v="wickets"/>
    <n v="10"/>
    <s v="N"/>
    <s v="Normal Match"/>
    <x v="27"/>
    <s v="VK Sharma"/>
    <x v="10"/>
    <x v="1"/>
    <x v="1"/>
    <x v="1"/>
  </r>
  <r>
    <x v="674"/>
    <s v="Kolkata"/>
    <x v="10"/>
    <d v="2018-05-15T00:00:00"/>
    <s v="Kuldeep Yadav"/>
    <s v="Eden Gardens"/>
    <s v="Kolkata Knight Riders"/>
    <s v="Rajasthan Royals"/>
    <s v="Kolkata Knight Riders"/>
    <x v="0"/>
    <s v="Kolkata Knight Riders"/>
    <s v="wickets"/>
    <n v="6"/>
    <s v="N"/>
    <s v="Normal Match"/>
    <x v="12"/>
    <s v="AK Chaudhary"/>
    <x v="10"/>
    <x v="1"/>
    <x v="1"/>
    <x v="1"/>
  </r>
  <r>
    <x v="675"/>
    <s v="Mumbai"/>
    <x v="10"/>
    <d v="2018-05-16T00:00:00"/>
    <s v="JJ Bumrah"/>
    <s v="Wankhede Stadium"/>
    <s v="Mumbai Indians"/>
    <s v="Punjab Kings"/>
    <s v="Punjab Kings"/>
    <x v="0"/>
    <s v="Mumbai Indians"/>
    <s v="runs"/>
    <n v="3"/>
    <s v="N"/>
    <s v="Normal Match"/>
    <x v="11"/>
    <s v="Nitin Menon"/>
    <x v="10"/>
    <x v="0"/>
    <x v="0"/>
    <x v="0"/>
  </r>
  <r>
    <x v="676"/>
    <s v="Bengaluru"/>
    <x v="10"/>
    <d v="2018-05-17T00:00:00"/>
    <s v="AB de Villiers"/>
    <s v="M. Chinnaswamy Stadium"/>
    <s v="Royal Challengers Bangalore"/>
    <s v="Sunrisers Hyderabad"/>
    <s v="Sunrisers Hyderabad"/>
    <x v="0"/>
    <s v="Royal Challengers Bangalore"/>
    <s v="runs"/>
    <n v="14"/>
    <s v="N"/>
    <s v="Normal Match"/>
    <x v="39"/>
    <s v="S Ravi"/>
    <x v="10"/>
    <x v="0"/>
    <x v="0"/>
    <x v="0"/>
  </r>
  <r>
    <x v="677"/>
    <s v="Delhi"/>
    <x v="10"/>
    <d v="2018-05-18T00:00:00"/>
    <s v="HV Patel"/>
    <s v="Feroz Shah Kotla"/>
    <s v="Delhi Capitals"/>
    <s v="Chennai Super Kings"/>
    <s v="Chennai Super Kings"/>
    <x v="0"/>
    <s v="Delhi Capitals"/>
    <s v="runs"/>
    <n v="34"/>
    <s v="N"/>
    <s v="Normal Match"/>
    <x v="26"/>
    <s v="HDPK Dharmasena"/>
    <x v="10"/>
    <x v="0"/>
    <x v="0"/>
    <x v="0"/>
  </r>
  <r>
    <x v="678"/>
    <s v="Jaipur"/>
    <x v="10"/>
    <d v="2018-05-19T00:00:00"/>
    <s v="S Gopal"/>
    <s v="Sawai Mansingh Stadium"/>
    <s v="Rajasthan Royals"/>
    <s v="Royal Challengers Bangalore"/>
    <s v="Rajasthan Royals"/>
    <x v="1"/>
    <s v="Rajasthan Royals"/>
    <s v="runs"/>
    <n v="30"/>
    <s v="N"/>
    <s v="Normal Match"/>
    <x v="27"/>
    <s v="VK Sharma"/>
    <x v="10"/>
    <x v="0"/>
    <x v="1"/>
    <x v="1"/>
  </r>
  <r>
    <x v="679"/>
    <s v="Hyderabad"/>
    <x v="10"/>
    <d v="2018-05-19T00:00:00"/>
    <s v="CA Lynn"/>
    <s v="Rajiv Gandhi International Stadium, Uppal"/>
    <s v="Sunrisers Hyderabad"/>
    <s v="Kolkata Knight Riders"/>
    <s v="Sunrisers Hyderabad"/>
    <x v="1"/>
    <s v="Kolkata Knight Riders"/>
    <s v="wickets"/>
    <n v="5"/>
    <s v="N"/>
    <s v="Normal Match"/>
    <x v="25"/>
    <s v="S Ravi"/>
    <x v="10"/>
    <x v="1"/>
    <x v="0"/>
    <x v="0"/>
  </r>
  <r>
    <x v="680"/>
    <s v="Delhi"/>
    <x v="10"/>
    <d v="2018-05-20T00:00:00"/>
    <s v="A Mishra"/>
    <s v="Feroz Shah Kotla"/>
    <s v="Delhi Capitals"/>
    <s v="Mumbai Indians"/>
    <s v="Delhi Capitals"/>
    <x v="1"/>
    <s v="Delhi Capitals"/>
    <s v="runs"/>
    <n v="11"/>
    <s v="N"/>
    <s v="Normal Match"/>
    <x v="12"/>
    <s v="CK Nandan"/>
    <x v="10"/>
    <x v="0"/>
    <x v="1"/>
    <x v="1"/>
  </r>
  <r>
    <x v="681"/>
    <s v="Pune"/>
    <x v="10"/>
    <d v="2018-05-20T00:00:00"/>
    <s v="L Ngidi"/>
    <s v="Maharashtra Cricket Association Stadium"/>
    <s v="Chennai Super Kings"/>
    <s v="Punjab Kings"/>
    <s v="Chennai Super Kings"/>
    <x v="0"/>
    <s v="Chennai Super Kings"/>
    <s v="wickets"/>
    <n v="5"/>
    <s v="N"/>
    <s v="Normal Match"/>
    <x v="37"/>
    <s v="YC Barde"/>
    <x v="10"/>
    <x v="1"/>
    <x v="1"/>
    <x v="1"/>
  </r>
  <r>
    <x v="682"/>
    <s v="Mumbai"/>
    <x v="10"/>
    <d v="2018-05-22T00:00:00"/>
    <s v="F du Plessis"/>
    <s v="Wankhede Stadium"/>
    <s v="Sunrisers Hyderabad"/>
    <s v="Chennai Super Kings"/>
    <s v="Chennai Super Kings"/>
    <x v="0"/>
    <s v="Chennai Super Kings"/>
    <s v="wickets"/>
    <n v="2"/>
    <s v="N"/>
    <s v="Normal Match"/>
    <x v="29"/>
    <s v="M Erasmus"/>
    <x v="10"/>
    <x v="1"/>
    <x v="1"/>
    <x v="1"/>
  </r>
  <r>
    <x v="683"/>
    <s v="Kolkata"/>
    <x v="10"/>
    <d v="2018-05-23T00:00:00"/>
    <s v="AD Russell"/>
    <s v="Eden Gardens"/>
    <s v="Kolkata Knight Riders"/>
    <s v="Rajasthan Royals"/>
    <s v="Rajasthan Royals"/>
    <x v="0"/>
    <s v="Kolkata Knight Riders"/>
    <s v="runs"/>
    <n v="25"/>
    <s v="N"/>
    <s v="Normal Match"/>
    <x v="25"/>
    <s v="Nitin Menon"/>
    <x v="10"/>
    <x v="0"/>
    <x v="0"/>
    <x v="0"/>
  </r>
  <r>
    <x v="684"/>
    <s v="Kolkata"/>
    <x v="10"/>
    <d v="2018-05-25T00:00:00"/>
    <s v="Rashid Khan"/>
    <s v="Eden Gardens"/>
    <s v="Kolkata Knight Riders"/>
    <s v="Sunrisers Hyderabad"/>
    <s v="Kolkata Knight Riders"/>
    <x v="0"/>
    <s v="Sunrisers Hyderabad"/>
    <s v="runs"/>
    <n v="14"/>
    <s v="N"/>
    <s v="Normal Match"/>
    <x v="12"/>
    <s v="Nitin Menon"/>
    <x v="10"/>
    <x v="0"/>
    <x v="0"/>
    <x v="0"/>
  </r>
  <r>
    <x v="685"/>
    <s v="Mumbai"/>
    <x v="10"/>
    <d v="2018-05-27T00:00:00"/>
    <s v="SR Watson"/>
    <s v="Wankhede Stadium"/>
    <s v="Chennai Super Kings"/>
    <s v="Sunrisers Hyderabad"/>
    <s v="Chennai Super Kings"/>
    <x v="0"/>
    <s v="Chennai Super Kings"/>
    <s v="wickets"/>
    <n v="8"/>
    <s v="N"/>
    <s v="Normal Match"/>
    <x v="11"/>
    <s v="S Ravi"/>
    <x v="10"/>
    <x v="1"/>
    <x v="1"/>
    <x v="1"/>
  </r>
  <r>
    <x v="686"/>
    <s v="Chennai"/>
    <x v="11"/>
    <d v="2019-03-23T00:00:00"/>
    <s v="Harbhajan Singh"/>
    <s v="MA Chidambaram Stadium, Chepauk"/>
    <s v="Chennai Super Kings"/>
    <s v="Royal Challengers Bangalore"/>
    <s v="Chennai Super Kings"/>
    <x v="0"/>
    <s v="Chennai Super Kings"/>
    <s v="wickets"/>
    <n v="7"/>
    <s v="N"/>
    <s v="Normal Match"/>
    <x v="39"/>
    <s v="BNJ Oxenford"/>
    <x v="11"/>
    <x v="1"/>
    <x v="1"/>
    <x v="1"/>
  </r>
  <r>
    <x v="687"/>
    <s v="Kolkata"/>
    <x v="11"/>
    <d v="2019-03-24T00:00:00"/>
    <s v="AD Russell"/>
    <s v="Eden Gardens"/>
    <s v="Kolkata Knight Riders"/>
    <s v="Sunrisers Hyderabad"/>
    <s v="Kolkata Knight Riders"/>
    <x v="0"/>
    <s v="Kolkata Knight Riders"/>
    <s v="wickets"/>
    <n v="6"/>
    <s v="N"/>
    <s v="Normal Match"/>
    <x v="35"/>
    <s v="AK Chaudhary"/>
    <x v="11"/>
    <x v="1"/>
    <x v="1"/>
    <x v="1"/>
  </r>
  <r>
    <x v="688"/>
    <s v="Mumbai"/>
    <x v="11"/>
    <d v="2019-03-24T00:00:00"/>
    <s v="RR Pant"/>
    <s v="Wankhede Stadium"/>
    <s v="Mumbai Indians"/>
    <s v="Delhi Capitals"/>
    <s v="Mumbai Indians"/>
    <x v="0"/>
    <s v="Delhi Capitals"/>
    <s v="runs"/>
    <n v="37"/>
    <s v="N"/>
    <s v="Normal Match"/>
    <x v="43"/>
    <s v="S Ravi"/>
    <x v="11"/>
    <x v="0"/>
    <x v="0"/>
    <x v="0"/>
  </r>
  <r>
    <x v="689"/>
    <s v="Jaipur"/>
    <x v="11"/>
    <d v="2019-03-25T00:00:00"/>
    <s v="CH Gayle"/>
    <s v="Sawai Mansingh Stadium"/>
    <s v="Rajasthan Royals"/>
    <s v="Punjab Kings"/>
    <s v="Rajasthan Royals"/>
    <x v="0"/>
    <s v="Punjab Kings"/>
    <s v="runs"/>
    <n v="14"/>
    <s v="N"/>
    <s v="Normal Match"/>
    <x v="40"/>
    <s v="C Shamshuddin"/>
    <x v="11"/>
    <x v="0"/>
    <x v="0"/>
    <x v="0"/>
  </r>
  <r>
    <x v="690"/>
    <s v="Delhi"/>
    <x v="11"/>
    <d v="2019-03-26T00:00:00"/>
    <s v="SR Watson"/>
    <s v="Feroz Shah Kotla"/>
    <s v="Delhi Capitals"/>
    <s v="Chennai Super Kings"/>
    <s v="Delhi Capitals"/>
    <x v="1"/>
    <s v="Chennai Super Kings"/>
    <s v="wickets"/>
    <n v="6"/>
    <s v="N"/>
    <s v="Normal Match"/>
    <x v="11"/>
    <s v="Nitin Menon"/>
    <x v="11"/>
    <x v="1"/>
    <x v="0"/>
    <x v="0"/>
  </r>
  <r>
    <x v="691"/>
    <s v="Kolkata"/>
    <x v="11"/>
    <d v="2019-03-27T00:00:00"/>
    <s v="AD Russell"/>
    <s v="Eden Gardens"/>
    <s v="Kolkata Knight Riders"/>
    <s v="Punjab Kings"/>
    <s v="Punjab Kings"/>
    <x v="0"/>
    <s v="Kolkata Knight Riders"/>
    <s v="runs"/>
    <n v="28"/>
    <s v="N"/>
    <s v="Normal Match"/>
    <x v="26"/>
    <s v="AK Chaudhary"/>
    <x v="11"/>
    <x v="0"/>
    <x v="0"/>
    <x v="0"/>
  </r>
  <r>
    <x v="692"/>
    <s v="Bengaluru"/>
    <x v="11"/>
    <d v="2019-03-28T00:00:00"/>
    <s v="JJ Bumrah"/>
    <s v="M. Chinnaswamy Stadium"/>
    <s v="Royal Challengers Bangalore"/>
    <s v="Mumbai Indians"/>
    <s v="Royal Challengers Bangalore"/>
    <x v="0"/>
    <s v="Mumbai Indians"/>
    <s v="runs"/>
    <n v="6"/>
    <s v="N"/>
    <s v="Normal Match"/>
    <x v="28"/>
    <s v="S Ravi"/>
    <x v="11"/>
    <x v="0"/>
    <x v="0"/>
    <x v="0"/>
  </r>
  <r>
    <x v="693"/>
    <s v="Hyderabad"/>
    <x v="11"/>
    <d v="2019-03-29T00:00:00"/>
    <s v="Rashid Khan"/>
    <s v="Rajiv Gandhi International Stadium, Uppal"/>
    <s v="Sunrisers Hyderabad"/>
    <s v="Rajasthan Royals"/>
    <s v="Rajasthan Royals"/>
    <x v="1"/>
    <s v="Sunrisers Hyderabad"/>
    <s v="wickets"/>
    <n v="5"/>
    <s v="N"/>
    <s v="Normal Match"/>
    <x v="29"/>
    <s v="BNJ Oxenford"/>
    <x v="11"/>
    <x v="1"/>
    <x v="0"/>
    <x v="0"/>
  </r>
  <r>
    <x v="694"/>
    <s v="Chandigarh"/>
    <x v="11"/>
    <d v="2019-03-30T00:00:00"/>
    <s v="MA Agarwal"/>
    <s v="Punjab Cricket Association Stadium, Mohali"/>
    <s v="Punjab Kings"/>
    <s v="Mumbai Indians"/>
    <s v="Punjab Kings"/>
    <x v="0"/>
    <s v="Punjab Kings"/>
    <s v="wickets"/>
    <n v="8"/>
    <s v="N"/>
    <s v="Normal Match"/>
    <x v="26"/>
    <s v="CB Gaffaney"/>
    <x v="11"/>
    <x v="1"/>
    <x v="1"/>
    <x v="1"/>
  </r>
  <r>
    <x v="695"/>
    <s v="Hyderabad"/>
    <x v="11"/>
    <d v="2019-03-31T00:00:00"/>
    <s v="JM Bairstow"/>
    <s v="Rajiv Gandhi International Stadium, Uppal"/>
    <s v="Sunrisers Hyderabad"/>
    <s v="Royal Challengers Bangalore"/>
    <s v="Royal Challengers Bangalore"/>
    <x v="0"/>
    <s v="Sunrisers Hyderabad"/>
    <s v="runs"/>
    <n v="118"/>
    <s v="N"/>
    <s v="Normal Match"/>
    <x v="40"/>
    <s v="S Ravi"/>
    <x v="11"/>
    <x v="0"/>
    <x v="0"/>
    <x v="0"/>
  </r>
  <r>
    <x v="696"/>
    <s v="Chennai"/>
    <x v="11"/>
    <d v="2019-03-31T00:00:00"/>
    <s v="MS Dhoni"/>
    <s v="MA Chidambaram Stadium, Chepauk"/>
    <s v="Chennai Super Kings"/>
    <s v="Rajasthan Royals"/>
    <s v="Rajasthan Royals"/>
    <x v="0"/>
    <s v="Chennai Super Kings"/>
    <s v="runs"/>
    <n v="8"/>
    <s v="N"/>
    <s v="Normal Match"/>
    <x v="43"/>
    <s v="CK Nandan"/>
    <x v="11"/>
    <x v="0"/>
    <x v="0"/>
    <x v="0"/>
  </r>
  <r>
    <x v="697"/>
    <s v="Chandigarh"/>
    <x v="11"/>
    <d v="2019-04-01T00:00:00"/>
    <s v="SM Curran"/>
    <s v="Punjab Cricket Association Stadium, Mohali"/>
    <s v="Punjab Kings"/>
    <s v="Delhi Capitals"/>
    <s v="Delhi Capitals"/>
    <x v="0"/>
    <s v="Punjab Kings"/>
    <s v="runs"/>
    <n v="14"/>
    <s v="N"/>
    <s v="Normal Match"/>
    <x v="35"/>
    <s v="AK Chaudhary"/>
    <x v="11"/>
    <x v="0"/>
    <x v="0"/>
    <x v="0"/>
  </r>
  <r>
    <x v="698"/>
    <s v="Jaipur"/>
    <x v="11"/>
    <d v="2019-04-02T00:00:00"/>
    <s v="S Gopal"/>
    <s v="Sawai Mansingh Stadium"/>
    <s v="Rajasthan Royals"/>
    <s v="Royal Challengers Bangalore"/>
    <s v="Rajasthan Royals"/>
    <x v="0"/>
    <s v="Rajasthan Royals"/>
    <s v="wickets"/>
    <n v="7"/>
    <s v="N"/>
    <s v="Normal Match"/>
    <x v="39"/>
    <s v="M Erasmus"/>
    <x v="11"/>
    <x v="1"/>
    <x v="1"/>
    <x v="1"/>
  </r>
  <r>
    <x v="699"/>
    <s v="Mumbai"/>
    <x v="11"/>
    <d v="2019-04-03T00:00:00"/>
    <s v="HH Pandya"/>
    <s v="Wankhede Stadium"/>
    <s v="Mumbai Indians"/>
    <s v="Chennai Super Kings"/>
    <s v="Chennai Super Kings"/>
    <x v="0"/>
    <s v="Mumbai Indians"/>
    <s v="runs"/>
    <n v="37"/>
    <s v="N"/>
    <s v="Normal Match"/>
    <x v="44"/>
    <s v="BNJ Oxenford"/>
    <x v="11"/>
    <x v="0"/>
    <x v="0"/>
    <x v="0"/>
  </r>
  <r>
    <x v="700"/>
    <s v="Delhi"/>
    <x v="11"/>
    <d v="2019-04-04T00:00:00"/>
    <s v="JM Bairstow"/>
    <s v="Feroz Shah Kotla"/>
    <s v="Delhi Capitals"/>
    <s v="Sunrisers Hyderabad"/>
    <s v="Sunrisers Hyderabad"/>
    <x v="0"/>
    <s v="Sunrisers Hyderabad"/>
    <s v="wickets"/>
    <n v="5"/>
    <s v="N"/>
    <s v="Normal Match"/>
    <x v="40"/>
    <s v="C Shamshuddin"/>
    <x v="11"/>
    <x v="1"/>
    <x v="1"/>
    <x v="1"/>
  </r>
  <r>
    <x v="701"/>
    <s v="Bengaluru"/>
    <x v="11"/>
    <d v="2019-04-05T00:00:00"/>
    <s v="AD Russell"/>
    <s v="M. Chinnaswamy Stadium"/>
    <s v="Royal Challengers Bangalore"/>
    <s v="Kolkata Knight Riders"/>
    <s v="Kolkata Knight Riders"/>
    <x v="0"/>
    <s v="Kolkata Knight Riders"/>
    <s v="wickets"/>
    <n v="5"/>
    <s v="N"/>
    <s v="Normal Match"/>
    <x v="35"/>
    <s v="AK Chaudhary"/>
    <x v="11"/>
    <x v="1"/>
    <x v="1"/>
    <x v="1"/>
  </r>
  <r>
    <x v="702"/>
    <s v="Chennai"/>
    <x v="11"/>
    <d v="2019-04-06T00:00:00"/>
    <s v="Harbhajan Singh"/>
    <s v="MA Chidambaram Stadium, Chepauk"/>
    <s v="Chennai Super Kings"/>
    <s v="Punjab Kings"/>
    <s v="Chennai Super Kings"/>
    <x v="1"/>
    <s v="Chennai Super Kings"/>
    <s v="runs"/>
    <n v="22"/>
    <s v="N"/>
    <s v="Normal Match"/>
    <x v="40"/>
    <s v="RJ Tucker"/>
    <x v="11"/>
    <x v="0"/>
    <x v="1"/>
    <x v="1"/>
  </r>
  <r>
    <x v="703"/>
    <s v="Hyderabad"/>
    <x v="11"/>
    <d v="2019-04-06T00:00:00"/>
    <s v="AS Joseph"/>
    <s v="Rajiv Gandhi International Stadium, Uppal"/>
    <s v="Sunrisers Hyderabad"/>
    <s v="Mumbai Indians"/>
    <s v="Sunrisers Hyderabad"/>
    <x v="0"/>
    <s v="Mumbai Indians"/>
    <s v="runs"/>
    <n v="40"/>
    <s v="N"/>
    <s v="Normal Match"/>
    <x v="39"/>
    <s v="Nitin Menon"/>
    <x v="11"/>
    <x v="0"/>
    <x v="0"/>
    <x v="0"/>
  </r>
  <r>
    <x v="704"/>
    <s v="Bengaluru"/>
    <x v="11"/>
    <d v="2019-04-07T00:00:00"/>
    <s v="K Rabada"/>
    <s v="M. Chinnaswamy Stadium"/>
    <s v="Royal Challengers Bangalore"/>
    <s v="Delhi Capitals"/>
    <s v="Delhi Capitals"/>
    <x v="0"/>
    <s v="Delhi Capitals"/>
    <s v="wickets"/>
    <n v="4"/>
    <s v="N"/>
    <s v="Normal Match"/>
    <x v="43"/>
    <s v="S Ravi"/>
    <x v="11"/>
    <x v="1"/>
    <x v="1"/>
    <x v="1"/>
  </r>
  <r>
    <x v="705"/>
    <s v="Jaipur"/>
    <x v="11"/>
    <d v="2019-04-07T00:00:00"/>
    <s v="HF Gurney"/>
    <s v="Sawai Mansingh Stadium"/>
    <s v="Rajasthan Royals"/>
    <s v="Kolkata Knight Riders"/>
    <s v="Kolkata Knight Riders"/>
    <x v="0"/>
    <s v="Kolkata Knight Riders"/>
    <s v="wickets"/>
    <n v="8"/>
    <s v="N"/>
    <s v="Normal Match"/>
    <x v="35"/>
    <s v="AK Chaudhary"/>
    <x v="11"/>
    <x v="1"/>
    <x v="1"/>
    <x v="1"/>
  </r>
  <r>
    <x v="706"/>
    <s v="Chandigarh"/>
    <x v="11"/>
    <d v="2019-04-08T00:00:00"/>
    <s v="KL Rahul"/>
    <s v="Punjab Cricket Association Stadium, Mohali"/>
    <s v="Punjab Kings"/>
    <s v="Sunrisers Hyderabad"/>
    <s v="Punjab Kings"/>
    <x v="0"/>
    <s v="Punjab Kings"/>
    <s v="wickets"/>
    <n v="6"/>
    <s v="N"/>
    <s v="Normal Match"/>
    <x v="39"/>
    <s v="M Erasmus"/>
    <x v="11"/>
    <x v="1"/>
    <x v="1"/>
    <x v="1"/>
  </r>
  <r>
    <x v="707"/>
    <s v="Chennai"/>
    <x v="11"/>
    <d v="2019-04-09T00:00:00"/>
    <s v="DL Chahar"/>
    <s v="MA Chidambaram Stadium, Chepauk"/>
    <s v="Chennai Super Kings"/>
    <s v="Kolkata Knight Riders"/>
    <s v="Chennai Super Kings"/>
    <x v="0"/>
    <s v="Chennai Super Kings"/>
    <s v="wickets"/>
    <n v="7"/>
    <s v="N"/>
    <s v="Normal Match"/>
    <x v="44"/>
    <s v="C Shamshuddin"/>
    <x v="11"/>
    <x v="1"/>
    <x v="1"/>
    <x v="1"/>
  </r>
  <r>
    <x v="708"/>
    <s v="Mumbai"/>
    <x v="11"/>
    <d v="2019-04-10T00:00:00"/>
    <s v="KA Pollard"/>
    <s v="Wankhede Stadium"/>
    <s v="Mumbai Indians"/>
    <s v="Punjab Kings"/>
    <s v="Mumbai Indians"/>
    <x v="0"/>
    <s v="Mumbai Indians"/>
    <s v="wickets"/>
    <n v="3"/>
    <s v="N"/>
    <s v="Normal Match"/>
    <x v="43"/>
    <s v="S Ravi"/>
    <x v="11"/>
    <x v="1"/>
    <x v="1"/>
    <x v="1"/>
  </r>
  <r>
    <x v="709"/>
    <s v="Jaipur"/>
    <x v="11"/>
    <d v="2019-04-11T00:00:00"/>
    <s v="MS Dhoni"/>
    <s v="Sawai Mansingh Stadium"/>
    <s v="Rajasthan Royals"/>
    <s v="Chennai Super Kings"/>
    <s v="Chennai Super Kings"/>
    <x v="0"/>
    <s v="Chennai Super Kings"/>
    <s v="wickets"/>
    <n v="4"/>
    <s v="N"/>
    <s v="Normal Match"/>
    <x v="46"/>
    <s v="BNJ Oxenford"/>
    <x v="11"/>
    <x v="1"/>
    <x v="1"/>
    <x v="1"/>
  </r>
  <r>
    <x v="710"/>
    <s v="Kolkata"/>
    <x v="11"/>
    <d v="2019-04-12T00:00:00"/>
    <s v="S Dhawan"/>
    <s v="Eden Gardens"/>
    <s v="Kolkata Knight Riders"/>
    <s v="Delhi Capitals"/>
    <s v="Delhi Capitals"/>
    <x v="0"/>
    <s v="Delhi Capitals"/>
    <s v="wickets"/>
    <n v="7"/>
    <s v="N"/>
    <s v="Normal Match"/>
    <x v="43"/>
    <s v="CK Nandan"/>
    <x v="11"/>
    <x v="1"/>
    <x v="1"/>
    <x v="1"/>
  </r>
  <r>
    <x v="711"/>
    <s v="Mumbai"/>
    <x v="11"/>
    <d v="2019-04-13T00:00:00"/>
    <s v="JC Buttler"/>
    <s v="Wankhede Stadium"/>
    <s v="Mumbai Indians"/>
    <s v="Rajasthan Royals"/>
    <s v="Rajasthan Royals"/>
    <x v="0"/>
    <s v="Rajasthan Royals"/>
    <s v="wickets"/>
    <n v="4"/>
    <s v="N"/>
    <s v="Normal Match"/>
    <x v="37"/>
    <s v="A Nand Kishore"/>
    <x v="11"/>
    <x v="1"/>
    <x v="1"/>
    <x v="1"/>
  </r>
  <r>
    <x v="712"/>
    <s v="Chandigarh"/>
    <x v="11"/>
    <d v="2019-04-13T00:00:00"/>
    <s v="AB de Villiers"/>
    <s v="Punjab Cricket Association Stadium, Mohali"/>
    <s v="Punjab Kings"/>
    <s v="Royal Challengers Bangalore"/>
    <s v="Royal Challengers Bangalore"/>
    <x v="0"/>
    <s v="Royal Challengers Bangalore"/>
    <s v="wickets"/>
    <n v="8"/>
    <s v="N"/>
    <s v="Normal Match"/>
    <x v="46"/>
    <s v="S Ravi"/>
    <x v="11"/>
    <x v="1"/>
    <x v="1"/>
    <x v="1"/>
  </r>
  <r>
    <x v="713"/>
    <s v="Kolkata"/>
    <x v="11"/>
    <d v="2019-04-14T00:00:00"/>
    <s v="Imran Tahir"/>
    <s v="Eden Gardens"/>
    <s v="Kolkata Knight Riders"/>
    <s v="Chennai Super Kings"/>
    <s v="Chennai Super Kings"/>
    <x v="0"/>
    <s v="Chennai Super Kings"/>
    <s v="wickets"/>
    <n v="5"/>
    <s v="N"/>
    <s v="Normal Match"/>
    <x v="44"/>
    <s v="CK Nandan"/>
    <x v="11"/>
    <x v="1"/>
    <x v="1"/>
    <x v="1"/>
  </r>
  <r>
    <x v="714"/>
    <s v="Hyderabad"/>
    <x v="11"/>
    <d v="2019-04-14T00:00:00"/>
    <s v="KMA Paul"/>
    <s v="Rajiv Gandhi International Stadium, Uppal"/>
    <s v="Sunrisers Hyderabad"/>
    <s v="Delhi Capitals"/>
    <s v="Sunrisers Hyderabad"/>
    <x v="0"/>
    <s v="Delhi Capitals"/>
    <s v="runs"/>
    <n v="39"/>
    <s v="N"/>
    <s v="Normal Match"/>
    <x v="27"/>
    <s v="AK Chaudhary"/>
    <x v="11"/>
    <x v="0"/>
    <x v="0"/>
    <x v="0"/>
  </r>
  <r>
    <x v="715"/>
    <s v="Mumbai"/>
    <x v="11"/>
    <d v="2019-04-15T00:00:00"/>
    <s v="SL Malinga"/>
    <s v="Wankhede Stadium"/>
    <s v="Mumbai Indians"/>
    <s v="Royal Challengers Bangalore"/>
    <s v="Mumbai Indians"/>
    <x v="0"/>
    <s v="Mumbai Indians"/>
    <s v="wickets"/>
    <n v="5"/>
    <s v="N"/>
    <s v="Normal Match"/>
    <x v="11"/>
    <s v="Nitin Menon"/>
    <x v="11"/>
    <x v="1"/>
    <x v="1"/>
    <x v="1"/>
  </r>
  <r>
    <x v="716"/>
    <s v="Chandigarh"/>
    <x v="11"/>
    <d v="2019-04-16T00:00:00"/>
    <s v="R Ashwin"/>
    <s v="Punjab Cricket Association Stadium, Mohali"/>
    <s v="Punjab Kings"/>
    <s v="Rajasthan Royals"/>
    <s v="Rajasthan Royals"/>
    <x v="0"/>
    <s v="Punjab Kings"/>
    <s v="runs"/>
    <n v="12"/>
    <s v="N"/>
    <s v="Normal Match"/>
    <x v="26"/>
    <s v="AK Chaudhary"/>
    <x v="11"/>
    <x v="0"/>
    <x v="0"/>
    <x v="0"/>
  </r>
  <r>
    <x v="717"/>
    <s v="Hyderabad"/>
    <x v="11"/>
    <d v="2019-04-17T00:00:00"/>
    <s v="DA Warner"/>
    <s v="Rajiv Gandhi International Stadium, Uppal"/>
    <s v="Sunrisers Hyderabad"/>
    <s v="Chennai Super Kings"/>
    <s v="Chennai Super Kings"/>
    <x v="1"/>
    <s v="Sunrisers Hyderabad"/>
    <s v="wickets"/>
    <n v="6"/>
    <s v="N"/>
    <s v="Normal Match"/>
    <x v="46"/>
    <s v="IJ Gould"/>
    <x v="11"/>
    <x v="1"/>
    <x v="0"/>
    <x v="0"/>
  </r>
  <r>
    <x v="718"/>
    <s v="Delhi"/>
    <x v="11"/>
    <d v="2019-04-18T00:00:00"/>
    <s v="HH Pandya"/>
    <s v="Feroz Shah Kotla"/>
    <s v="Delhi Capitals"/>
    <s v="Mumbai Indians"/>
    <s v="Mumbai Indians"/>
    <x v="1"/>
    <s v="Mumbai Indians"/>
    <s v="runs"/>
    <n v="40"/>
    <s v="N"/>
    <s v="Normal Match"/>
    <x v="27"/>
    <s v="NJ Llong"/>
    <x v="11"/>
    <x v="0"/>
    <x v="1"/>
    <x v="1"/>
  </r>
  <r>
    <x v="719"/>
    <s v="Kolkata"/>
    <x v="11"/>
    <d v="2019-04-19T00:00:00"/>
    <s v="V Kohli"/>
    <s v="Eden Gardens"/>
    <s v="Kolkata Knight Riders"/>
    <s v="Royal Challengers Bangalore"/>
    <s v="Kolkata Knight Riders"/>
    <x v="0"/>
    <s v="Royal Challengers Bangalore"/>
    <s v="runs"/>
    <n v="10"/>
    <s v="N"/>
    <s v="Normal Match"/>
    <x v="47"/>
    <s v="Nitin Menon"/>
    <x v="11"/>
    <x v="0"/>
    <x v="0"/>
    <x v="0"/>
  </r>
  <r>
    <x v="720"/>
    <s v="Jaipur"/>
    <x v="11"/>
    <d v="2019-04-20T00:00:00"/>
    <s v="SPD Smith"/>
    <s v="Sawai Mansingh Stadium"/>
    <s v="Rajasthan Royals"/>
    <s v="Mumbai Indians"/>
    <s v="Rajasthan Royals"/>
    <x v="0"/>
    <s v="Rajasthan Royals"/>
    <s v="wickets"/>
    <n v="5"/>
    <s v="N"/>
    <s v="Normal Match"/>
    <x v="43"/>
    <s v="S Ravi"/>
    <x v="11"/>
    <x v="1"/>
    <x v="1"/>
    <x v="1"/>
  </r>
  <r>
    <x v="721"/>
    <s v="Delhi"/>
    <x v="11"/>
    <d v="2019-04-20T00:00:00"/>
    <s v="SS Iyer"/>
    <s v="Feroz Shah Kotla"/>
    <s v="Delhi Capitals"/>
    <s v="Punjab Kings"/>
    <s v="Delhi Capitals"/>
    <x v="0"/>
    <s v="Delhi Capitals"/>
    <s v="wickets"/>
    <n v="5"/>
    <s v="N"/>
    <s v="Normal Match"/>
    <x v="46"/>
    <s v="C Shamshuddin"/>
    <x v="11"/>
    <x v="1"/>
    <x v="1"/>
    <x v="1"/>
  </r>
  <r>
    <x v="722"/>
    <s v="Hyderabad"/>
    <x v="11"/>
    <d v="2019-04-21T00:00:00"/>
    <s v="KK Ahmed"/>
    <s v="Rajiv Gandhi International Stadium, Uppal"/>
    <s v="Sunrisers Hyderabad"/>
    <s v="Kolkata Knight Riders"/>
    <s v="Sunrisers Hyderabad"/>
    <x v="0"/>
    <s v="Sunrisers Hyderabad"/>
    <s v="wickets"/>
    <n v="9"/>
    <s v="N"/>
    <s v="Normal Match"/>
    <x v="30"/>
    <s v="Nitin Menon"/>
    <x v="11"/>
    <x v="1"/>
    <x v="1"/>
    <x v="1"/>
  </r>
  <r>
    <x v="723"/>
    <s v="Bengaluru"/>
    <x v="11"/>
    <d v="2019-04-21T00:00:00"/>
    <s v="PA Patel"/>
    <s v="M. Chinnaswamy Stadium"/>
    <s v="Royal Challengers Bangalore"/>
    <s v="Chennai Super Kings"/>
    <s v="Chennai Super Kings"/>
    <x v="0"/>
    <s v="Royal Challengers Bangalore"/>
    <s v="runs"/>
    <n v="1"/>
    <s v="N"/>
    <s v="Normal Match"/>
    <x v="44"/>
    <s v="VA Kulkarni"/>
    <x v="11"/>
    <x v="0"/>
    <x v="0"/>
    <x v="0"/>
  </r>
  <r>
    <x v="724"/>
    <s v="Jaipur"/>
    <x v="11"/>
    <d v="2019-04-22T00:00:00"/>
    <s v="RR Pant"/>
    <s v="Sawai Mansingh Stadium"/>
    <s v="Rajasthan Royals"/>
    <s v="Delhi Capitals"/>
    <s v="Delhi Capitals"/>
    <x v="0"/>
    <s v="Delhi Capitals"/>
    <s v="wickets"/>
    <n v="6"/>
    <s v="N"/>
    <s v="Normal Match"/>
    <x v="41"/>
    <s v="S Ravi"/>
    <x v="11"/>
    <x v="1"/>
    <x v="1"/>
    <x v="1"/>
  </r>
  <r>
    <x v="725"/>
    <s v="Chennai"/>
    <x v="11"/>
    <d v="2019-04-23T00:00:00"/>
    <s v="SR Watson"/>
    <s v="MA Chidambaram Stadium, Chepauk"/>
    <s v="Chennai Super Kings"/>
    <s v="Sunrisers Hyderabad"/>
    <s v="Chennai Super Kings"/>
    <x v="0"/>
    <s v="Chennai Super Kings"/>
    <s v="wickets"/>
    <n v="6"/>
    <s v="N"/>
    <s v="Normal Match"/>
    <x v="30"/>
    <s v="AK Chaudhary"/>
    <x v="11"/>
    <x v="1"/>
    <x v="1"/>
    <x v="1"/>
  </r>
  <r>
    <x v="726"/>
    <s v="Bengaluru"/>
    <x v="11"/>
    <d v="2019-04-24T00:00:00"/>
    <s v="AB de Villiers"/>
    <s v="M. Chinnaswamy Stadium"/>
    <s v="Royal Challengers Bangalore"/>
    <s v="Punjab Kings"/>
    <s v="Punjab Kings"/>
    <x v="0"/>
    <s v="Royal Challengers Bangalore"/>
    <s v="runs"/>
    <n v="17"/>
    <s v="N"/>
    <s v="Normal Match"/>
    <x v="29"/>
    <s v="BNJ Oxenford"/>
    <x v="11"/>
    <x v="0"/>
    <x v="0"/>
    <x v="0"/>
  </r>
  <r>
    <x v="727"/>
    <s v="Kolkata"/>
    <x v="11"/>
    <d v="2019-04-25T00:00:00"/>
    <s v="VR Aaron"/>
    <s v="Eden Gardens"/>
    <s v="Kolkata Knight Riders"/>
    <s v="Rajasthan Royals"/>
    <s v="Rajasthan Royals"/>
    <x v="0"/>
    <s v="Rajasthan Royals"/>
    <s v="wickets"/>
    <n v="3"/>
    <s v="N"/>
    <s v="Normal Match"/>
    <x v="39"/>
    <s v="IJ Gould"/>
    <x v="11"/>
    <x v="1"/>
    <x v="1"/>
    <x v="1"/>
  </r>
  <r>
    <x v="728"/>
    <s v="Chennai"/>
    <x v="11"/>
    <d v="2019-04-26T00:00:00"/>
    <s v="RG Sharma"/>
    <s v="MA Chidambaram Stadium, Chepauk"/>
    <s v="Chennai Super Kings"/>
    <s v="Mumbai Indians"/>
    <s v="Chennai Super Kings"/>
    <x v="0"/>
    <s v="Mumbai Indians"/>
    <s v="runs"/>
    <n v="46"/>
    <s v="N"/>
    <s v="Normal Match"/>
    <x v="30"/>
    <s v="AK Chaudhary"/>
    <x v="11"/>
    <x v="0"/>
    <x v="0"/>
    <x v="0"/>
  </r>
  <r>
    <x v="729"/>
    <s v="Jaipur"/>
    <x v="11"/>
    <d v="2019-04-27T00:00:00"/>
    <s v="JD Unadkat"/>
    <s v="Sawai Mansingh Stadium"/>
    <s v="Rajasthan Royals"/>
    <s v="Sunrisers Hyderabad"/>
    <s v="Rajasthan Royals"/>
    <x v="0"/>
    <s v="Rajasthan Royals"/>
    <s v="wickets"/>
    <n v="7"/>
    <s v="N"/>
    <s v="Normal Match"/>
    <x v="43"/>
    <s v="A Nand Kishore"/>
    <x v="11"/>
    <x v="1"/>
    <x v="1"/>
    <x v="1"/>
  </r>
  <r>
    <x v="730"/>
    <s v="Delhi"/>
    <x v="11"/>
    <d v="2019-04-28T00:00:00"/>
    <s v="S Dhawan"/>
    <s v="Feroz Shah Kotla"/>
    <s v="Delhi Capitals"/>
    <s v="Royal Challengers Bangalore"/>
    <s v="Delhi Capitals"/>
    <x v="1"/>
    <s v="Delhi Capitals"/>
    <s v="runs"/>
    <n v="16"/>
    <s v="N"/>
    <s v="Normal Match"/>
    <x v="40"/>
    <s v="BNJ Oxenford"/>
    <x v="11"/>
    <x v="0"/>
    <x v="1"/>
    <x v="1"/>
  </r>
  <r>
    <x v="731"/>
    <s v="Kolkata"/>
    <x v="11"/>
    <d v="2019-04-28T00:00:00"/>
    <s v="AD Russell"/>
    <s v="Eden Gardens"/>
    <s v="Kolkata Knight Riders"/>
    <s v="Mumbai Indians"/>
    <s v="Mumbai Indians"/>
    <x v="0"/>
    <s v="Kolkata Knight Riders"/>
    <s v="runs"/>
    <n v="34"/>
    <s v="N"/>
    <s v="Normal Match"/>
    <x v="47"/>
    <s v="Nitin Menon"/>
    <x v="11"/>
    <x v="0"/>
    <x v="0"/>
    <x v="0"/>
  </r>
  <r>
    <x v="732"/>
    <s v="Hyderabad"/>
    <x v="11"/>
    <d v="2019-04-29T00:00:00"/>
    <s v="DA Warner"/>
    <s v="Rajiv Gandhi International Stadium, Uppal"/>
    <s v="Sunrisers Hyderabad"/>
    <s v="Punjab Kings"/>
    <s v="Punjab Kings"/>
    <x v="0"/>
    <s v="Sunrisers Hyderabad"/>
    <s v="runs"/>
    <n v="45"/>
    <s v="N"/>
    <s v="Normal Match"/>
    <x v="28"/>
    <s v="S Ravi"/>
    <x v="11"/>
    <x v="0"/>
    <x v="0"/>
    <x v="0"/>
  </r>
  <r>
    <x v="733"/>
    <s v="Chennai"/>
    <x v="11"/>
    <d v="2019-05-01T00:00:00"/>
    <s v="MS Dhoni"/>
    <s v="MA Chidambaram Stadium, Chepauk"/>
    <s v="Chennai Super Kings"/>
    <s v="Delhi Capitals"/>
    <s v="Delhi Capitals"/>
    <x v="0"/>
    <s v="Chennai Super Kings"/>
    <s v="runs"/>
    <n v="80"/>
    <s v="N"/>
    <s v="Normal Match"/>
    <x v="39"/>
    <s v="Nitin Menon"/>
    <x v="11"/>
    <x v="0"/>
    <x v="0"/>
    <x v="0"/>
  </r>
  <r>
    <x v="734"/>
    <s v="Chandigarh"/>
    <x v="11"/>
    <d v="2019-05-03T00:00:00"/>
    <s v="Shubman Gill"/>
    <s v="Punjab Cricket Association Stadium, Mohali"/>
    <s v="Punjab Kings"/>
    <s v="Kolkata Knight Riders"/>
    <s v="Kolkata Knight Riders"/>
    <x v="0"/>
    <s v="Kolkata Knight Riders"/>
    <s v="wickets"/>
    <n v="7"/>
    <s v="N"/>
    <s v="Normal Match"/>
    <x v="29"/>
    <s v="BNJ Oxenford"/>
    <x v="11"/>
    <x v="1"/>
    <x v="1"/>
    <x v="1"/>
  </r>
  <r>
    <x v="735"/>
    <s v="Delhi"/>
    <x v="11"/>
    <d v="2019-05-04T00:00:00"/>
    <s v="A Mishra"/>
    <s v="Feroz Shah Kotla"/>
    <s v="Delhi Capitals"/>
    <s v="Rajasthan Royals"/>
    <s v="Rajasthan Royals"/>
    <x v="1"/>
    <s v="Delhi Capitals"/>
    <s v="wickets"/>
    <n v="5"/>
    <s v="N"/>
    <s v="Normal Match"/>
    <x v="39"/>
    <s v="IJ Gould"/>
    <x v="11"/>
    <x v="1"/>
    <x v="0"/>
    <x v="0"/>
  </r>
  <r>
    <x v="736"/>
    <s v="Bengaluru"/>
    <x v="11"/>
    <d v="2019-05-04T00:00:00"/>
    <s v="SO Hetmyer"/>
    <s v="M. Chinnaswamy Stadium"/>
    <s v="Royal Challengers Bangalore"/>
    <s v="Sunrisers Hyderabad"/>
    <s v="Royal Challengers Bangalore"/>
    <x v="0"/>
    <s v="Royal Challengers Bangalore"/>
    <s v="wickets"/>
    <n v="4"/>
    <s v="N"/>
    <s v="Normal Match"/>
    <x v="30"/>
    <s v="AK Chaudhary"/>
    <x v="11"/>
    <x v="1"/>
    <x v="1"/>
    <x v="1"/>
  </r>
  <r>
    <x v="737"/>
    <s v="Chandigarh"/>
    <x v="11"/>
    <d v="2019-05-05T00:00:00"/>
    <s v="KL Rahul"/>
    <s v="Punjab Cricket Association Stadium, Mohali"/>
    <s v="Punjab Kings"/>
    <s v="Chennai Super Kings"/>
    <s v="Punjab Kings"/>
    <x v="0"/>
    <s v="Punjab Kings"/>
    <s v="wickets"/>
    <n v="6"/>
    <s v="N"/>
    <s v="Normal Match"/>
    <x v="40"/>
    <s v="C Shamshuddin"/>
    <x v="11"/>
    <x v="1"/>
    <x v="1"/>
    <x v="1"/>
  </r>
  <r>
    <x v="738"/>
    <s v="Mumbai"/>
    <x v="11"/>
    <d v="2019-05-05T00:00:00"/>
    <s v="HH Pandya"/>
    <s v="Wankhede Stadium"/>
    <s v="Mumbai Indians"/>
    <s v="Kolkata Knight Riders"/>
    <s v="Mumbai Indians"/>
    <x v="0"/>
    <s v="Mumbai Indians"/>
    <s v="wickets"/>
    <n v="9"/>
    <s v="N"/>
    <s v="Normal Match"/>
    <x v="41"/>
    <s v="CK Nandan"/>
    <x v="11"/>
    <x v="1"/>
    <x v="1"/>
    <x v="1"/>
  </r>
  <r>
    <x v="739"/>
    <s v="Chennai"/>
    <x v="11"/>
    <d v="2019-05-07T00:00:00"/>
    <s v="SA Yadav"/>
    <s v="MA Chidambaram Stadium, Chepauk"/>
    <s v="Mumbai Indians"/>
    <s v="Chennai Super Kings"/>
    <s v="Chennai Super Kings"/>
    <x v="1"/>
    <s v="Mumbai Indians"/>
    <s v="wickets"/>
    <n v="6"/>
    <s v="N"/>
    <s v="Normal Match"/>
    <x v="30"/>
    <s v="Nitin Menon"/>
    <x v="11"/>
    <x v="1"/>
    <x v="0"/>
    <x v="0"/>
  </r>
  <r>
    <x v="740"/>
    <s v="Visakhapatnam"/>
    <x v="11"/>
    <d v="2019-05-08T00:00:00"/>
    <s v="RR Pant"/>
    <s v="Dr. Y.S. Rajasekhara Reddy ACA-VDCA Cricket Stadium"/>
    <s v="Delhi Capitals"/>
    <s v="Sunrisers Hyderabad"/>
    <s v="Delhi Capitals"/>
    <x v="0"/>
    <s v="Delhi Capitals"/>
    <s v="wickets"/>
    <n v="2"/>
    <s v="N"/>
    <s v="Normal Match"/>
    <x v="27"/>
    <s v="S Ravi"/>
    <x v="11"/>
    <x v="1"/>
    <x v="1"/>
    <x v="1"/>
  </r>
  <r>
    <x v="741"/>
    <s v="Visakhapatnam"/>
    <x v="11"/>
    <d v="2019-05-10T00:00:00"/>
    <s v="F du Plessis"/>
    <s v="Dr. Y.S. Rajasekhara Reddy ACA-VDCA Cricket Stadium"/>
    <s v="Chennai Super Kings"/>
    <s v="Delhi Capitals"/>
    <s v="Chennai Super Kings"/>
    <x v="0"/>
    <s v="Chennai Super Kings"/>
    <s v="wickets"/>
    <n v="6"/>
    <s v="N"/>
    <s v="Normal Match"/>
    <x v="27"/>
    <s v="S Ravi"/>
    <x v="11"/>
    <x v="1"/>
    <x v="1"/>
    <x v="1"/>
  </r>
  <r>
    <x v="742"/>
    <s v="Hyderabad"/>
    <x v="11"/>
    <d v="2019-05-12T00:00:00"/>
    <s v="JJ Bumrah"/>
    <s v="Rajiv Gandhi International Stadium, Uppal"/>
    <s v="Mumbai Indians"/>
    <s v="Chennai Super Kings"/>
    <s v="Mumbai Indians"/>
    <x v="1"/>
    <s v="Mumbai Indians"/>
    <s v="runs"/>
    <n v="1"/>
    <s v="N"/>
    <s v="Normal Match"/>
    <x v="47"/>
    <s v="Nitin Menon"/>
    <x v="11"/>
    <x v="0"/>
    <x v="1"/>
    <x v="1"/>
  </r>
  <r>
    <x v="743"/>
    <s v="Abu Dhabi"/>
    <x v="12"/>
    <d v="2020-09-19T00:00:00"/>
    <s v="AT Rayudu"/>
    <s v="Sheikh Zayed Stadium"/>
    <s v="Mumbai Indians"/>
    <s v="Chennai Super Kings"/>
    <s v="Chennai Super Kings"/>
    <x v="0"/>
    <s v="Chennai Super Kings"/>
    <s v="wickets"/>
    <n v="5"/>
    <s v="N"/>
    <s v="Normal Match"/>
    <x v="35"/>
    <s v="VK Sharma"/>
    <x v="12"/>
    <x v="1"/>
    <x v="1"/>
    <x v="1"/>
  </r>
  <r>
    <x v="744"/>
    <s v="Abu Dhabi"/>
    <x v="12"/>
    <d v="2020-10-21T00:00:00"/>
    <s v="Mohammed Siraj"/>
    <s v="Sheikh Zayed Stadium"/>
    <s v="Kolkata Knight Riders"/>
    <s v="Royal Challengers Bangalore"/>
    <s v="Kolkata Knight Riders"/>
    <x v="1"/>
    <s v="Royal Challengers Bangalore"/>
    <s v="wickets"/>
    <n v="8"/>
    <s v="N"/>
    <s v="Normal Match"/>
    <x v="45"/>
    <s v="S Ravi"/>
    <x v="12"/>
    <x v="1"/>
    <x v="0"/>
    <x v="0"/>
  </r>
  <r>
    <x v="745"/>
    <s v="Sharjah"/>
    <x v="12"/>
    <d v="2020-11-03T00:00:00"/>
    <s v="S Nadeem"/>
    <s v="Sharjah Cricket Stadium"/>
    <s v="Mumbai Indians"/>
    <s v="Sunrisers Hyderabad"/>
    <s v="Sunrisers Hyderabad"/>
    <x v="0"/>
    <s v="Sunrisers Hyderabad"/>
    <s v="wickets"/>
    <n v="10"/>
    <s v="N"/>
    <s v="Normal Match"/>
    <x v="29"/>
    <s v="RK Illingworth"/>
    <x v="12"/>
    <x v="1"/>
    <x v="1"/>
    <x v="1"/>
  </r>
  <r>
    <x v="746"/>
    <s v="Sharjah"/>
    <x v="12"/>
    <d v="2020-09-22T00:00:00"/>
    <s v="SV Samson"/>
    <s v="Sharjah Cricket Stadium"/>
    <s v="Rajasthan Royals"/>
    <s v="Chennai Super Kings"/>
    <s v="Chennai Super Kings"/>
    <x v="0"/>
    <s v="Rajasthan Royals"/>
    <s v="runs"/>
    <n v="16"/>
    <s v="N"/>
    <s v="Normal Match"/>
    <x v="29"/>
    <s v="VA Kulkarni"/>
    <x v="12"/>
    <x v="0"/>
    <x v="0"/>
    <x v="0"/>
  </r>
  <r>
    <x v="747"/>
    <s v="Abu Dhabi"/>
    <x v="12"/>
    <d v="2020-10-24T00:00:00"/>
    <s v="CV Varun"/>
    <s v="Sheikh Zayed Stadium"/>
    <s v="Kolkata Knight Riders"/>
    <s v="Delhi Capitals"/>
    <s v="Delhi Capitals"/>
    <x v="0"/>
    <s v="Kolkata Knight Riders"/>
    <s v="runs"/>
    <n v="59"/>
    <s v="N"/>
    <s v="Normal Match"/>
    <x v="35"/>
    <s v="PG Pathak"/>
    <x v="12"/>
    <x v="0"/>
    <x v="0"/>
    <x v="0"/>
  </r>
  <r>
    <x v="748"/>
    <s v="Dubai"/>
    <x v="12"/>
    <d v="2020-10-24T00:00:00"/>
    <s v="CJ Jordan"/>
    <s v="Dubai International Cricket Stadium"/>
    <s v="Punjab Kings"/>
    <s v="Sunrisers Hyderabad"/>
    <s v="Sunrisers Hyderabad"/>
    <x v="0"/>
    <s v="Punjab Kings"/>
    <s v="runs"/>
    <n v="12"/>
    <s v="N"/>
    <s v="Normal Match"/>
    <x v="39"/>
    <s v="PR Reiffel"/>
    <x v="12"/>
    <x v="0"/>
    <x v="0"/>
    <x v="0"/>
  </r>
  <r>
    <x v="749"/>
    <s v="Abu Dhabi"/>
    <x v="12"/>
    <d v="2020-10-28T00:00:00"/>
    <s v="SA Yadav"/>
    <s v="Sheikh Zayed Stadium"/>
    <s v="Royal Challengers Bangalore"/>
    <s v="Mumbai Indians"/>
    <s v="Mumbai Indians"/>
    <x v="0"/>
    <s v="Mumbai Indians"/>
    <s v="wickets"/>
    <n v="5"/>
    <s v="N"/>
    <s v="Normal Match"/>
    <x v="46"/>
    <s v="CB Gaffaney"/>
    <x v="12"/>
    <x v="1"/>
    <x v="1"/>
    <x v="1"/>
  </r>
  <r>
    <x v="750"/>
    <s v="Sharjah"/>
    <x v="12"/>
    <d v="2020-10-09T00:00:00"/>
    <s v="R Ashwin"/>
    <s v="Sharjah Cricket Stadium"/>
    <s v="Delhi Capitals"/>
    <s v="Rajasthan Royals"/>
    <s v="Rajasthan Royals"/>
    <x v="0"/>
    <s v="Delhi Capitals"/>
    <s v="runs"/>
    <n v="46"/>
    <s v="N"/>
    <s v="Normal Match"/>
    <x v="40"/>
    <s v="C Shamshuddin"/>
    <x v="12"/>
    <x v="0"/>
    <x v="0"/>
    <x v="0"/>
  </r>
  <r>
    <x v="751"/>
    <s v="Abu Dhabi"/>
    <x v="12"/>
    <d v="2020-10-07T00:00:00"/>
    <s v="RA Tripathi"/>
    <s v="Sheikh Zayed Stadium"/>
    <s v="Kolkata Knight Riders"/>
    <s v="Chennai Super Kings"/>
    <s v="Kolkata Knight Riders"/>
    <x v="1"/>
    <s v="Kolkata Knight Riders"/>
    <s v="runs"/>
    <n v="10"/>
    <s v="N"/>
    <s v="Normal Match"/>
    <x v="40"/>
    <s v="RK Illingworth"/>
    <x v="12"/>
    <x v="0"/>
    <x v="1"/>
    <x v="1"/>
  </r>
  <r>
    <x v="752"/>
    <s v="Sharjah"/>
    <x v="12"/>
    <d v="2020-10-31T00:00:00"/>
    <s v="Sandeep Sharma"/>
    <s v="Sharjah Cricket Stadium"/>
    <s v="Royal Challengers Bangalore"/>
    <s v="Sunrisers Hyderabad"/>
    <s v="Sunrisers Hyderabad"/>
    <x v="0"/>
    <s v="Sunrisers Hyderabad"/>
    <s v="wickets"/>
    <n v="5"/>
    <s v="N"/>
    <s v="Normal Match"/>
    <x v="40"/>
    <s v="K Srinivasan"/>
    <x v="12"/>
    <x v="1"/>
    <x v="1"/>
    <x v="1"/>
  </r>
  <r>
    <x v="753"/>
    <s v="Abu Dhabi"/>
    <x v="12"/>
    <d v="2020-10-01T00:00:00"/>
    <s v="KA Pollard"/>
    <s v="Sheikh Zayed Stadium"/>
    <s v="Mumbai Indians"/>
    <s v="Punjab Kings"/>
    <s v="Punjab Kings"/>
    <x v="0"/>
    <s v="Mumbai Indians"/>
    <s v="runs"/>
    <n v="48"/>
    <s v="N"/>
    <s v="Normal Match"/>
    <x v="45"/>
    <s v="S Ravi"/>
    <x v="12"/>
    <x v="0"/>
    <x v="0"/>
    <x v="0"/>
  </r>
  <r>
    <x v="754"/>
    <s v="Dubai"/>
    <x v="12"/>
    <d v="2020-09-30T00:00:00"/>
    <s v="Shivam Mavi"/>
    <s v="Dubai International Cricket Stadium"/>
    <s v="Kolkata Knight Riders"/>
    <s v="Rajasthan Royals"/>
    <s v="Rajasthan Royals"/>
    <x v="0"/>
    <s v="Kolkata Knight Riders"/>
    <s v="runs"/>
    <n v="37"/>
    <s v="N"/>
    <s v="Normal Match"/>
    <x v="40"/>
    <s v="C Shamshuddin"/>
    <x v="12"/>
    <x v="0"/>
    <x v="0"/>
    <x v="0"/>
  </r>
  <r>
    <x v="755"/>
    <s v="Abu Dhabi"/>
    <x v="12"/>
    <d v="2020-11-02T00:00:00"/>
    <s v="A Nortje"/>
    <s v="Sheikh Zayed Stadium"/>
    <s v="Royal Challengers Bangalore"/>
    <s v="Delhi Capitals"/>
    <s v="Delhi Capitals"/>
    <x v="0"/>
    <s v="Delhi Capitals"/>
    <s v="wickets"/>
    <n v="6"/>
    <s v="N"/>
    <s v="Normal Match"/>
    <x v="35"/>
    <s v="S Ravi"/>
    <x v="12"/>
    <x v="1"/>
    <x v="1"/>
    <x v="1"/>
  </r>
  <r>
    <x v="756"/>
    <s v="Abu Dhabi"/>
    <x v="12"/>
    <d v="2020-11-01T00:00:00"/>
    <s v="RD Gaikwad"/>
    <s v="Sheikh Zayed Stadium"/>
    <s v="Punjab Kings"/>
    <s v="Chennai Super Kings"/>
    <s v="Chennai Super Kings"/>
    <x v="0"/>
    <s v="Chennai Super Kings"/>
    <s v="wickets"/>
    <n v="9"/>
    <s v="N"/>
    <s v="Normal Match"/>
    <x v="36"/>
    <s v="VK Sharma"/>
    <x v="12"/>
    <x v="1"/>
    <x v="1"/>
    <x v="1"/>
  </r>
  <r>
    <x v="757"/>
    <s v="Dubai"/>
    <x v="12"/>
    <d v="2020-10-11T00:00:00"/>
    <s v="R Tewatia"/>
    <s v="Dubai International Cricket Stadium"/>
    <s v="Sunrisers Hyderabad"/>
    <s v="Rajasthan Royals"/>
    <s v="Sunrisers Hyderabad"/>
    <x v="1"/>
    <s v="Rajasthan Royals"/>
    <s v="wickets"/>
    <n v="5"/>
    <s v="N"/>
    <s v="Normal Match"/>
    <x v="43"/>
    <s v="PR Reiffel"/>
    <x v="12"/>
    <x v="1"/>
    <x v="0"/>
    <x v="0"/>
  </r>
  <r>
    <x v="758"/>
    <s v="Abu Dhabi"/>
    <x v="12"/>
    <d v="2020-09-23T00:00:00"/>
    <s v="RG Sharma"/>
    <s v="Sheikh Zayed Stadium"/>
    <s v="Mumbai Indians"/>
    <s v="Kolkata Knight Riders"/>
    <s v="Kolkata Knight Riders"/>
    <x v="0"/>
    <s v="Mumbai Indians"/>
    <s v="runs"/>
    <n v="49"/>
    <s v="N"/>
    <s v="Normal Match"/>
    <x v="35"/>
    <s v="S Ravi"/>
    <x v="12"/>
    <x v="0"/>
    <x v="0"/>
    <x v="0"/>
  </r>
  <r>
    <x v="759"/>
    <s v="Sharjah"/>
    <x v="12"/>
    <d v="2020-10-17T00:00:00"/>
    <s v="S Dhawan"/>
    <s v="Sharjah Cricket Stadium"/>
    <s v="Chennai Super Kings"/>
    <s v="Delhi Capitals"/>
    <s v="Chennai Super Kings"/>
    <x v="1"/>
    <s v="Delhi Capitals"/>
    <s v="wickets"/>
    <n v="5"/>
    <s v="N"/>
    <s v="Normal Match"/>
    <x v="40"/>
    <s v="RK Illingworth"/>
    <x v="12"/>
    <x v="1"/>
    <x v="0"/>
    <x v="0"/>
  </r>
  <r>
    <x v="760"/>
    <s v="Dubai"/>
    <x v="12"/>
    <d v="2020-09-24T00:00:00"/>
    <s v="KL Rahul"/>
    <s v="Dubai International Cricket Stadium"/>
    <s v="Punjab Kings"/>
    <s v="Royal Challengers Bangalore"/>
    <s v="Royal Challengers Bangalore"/>
    <x v="0"/>
    <s v="Punjab Kings"/>
    <s v="runs"/>
    <n v="97"/>
    <s v="N"/>
    <s v="Normal Match"/>
    <x v="25"/>
    <s v="PR Reiffel"/>
    <x v="12"/>
    <x v="0"/>
    <x v="0"/>
    <x v="0"/>
  </r>
  <r>
    <x v="761"/>
    <s v="Abu Dhabi"/>
    <x v="12"/>
    <d v="2020-10-06T00:00:00"/>
    <s v="SA Yadav"/>
    <s v="Sheikh Zayed Stadium"/>
    <s v="Mumbai Indians"/>
    <s v="Rajasthan Royals"/>
    <s v="Mumbai Indians"/>
    <x v="1"/>
    <s v="Mumbai Indians"/>
    <s v="runs"/>
    <n v="57"/>
    <s v="N"/>
    <s v="Normal Match"/>
    <x v="45"/>
    <s v="S Ravi"/>
    <x v="12"/>
    <x v="0"/>
    <x v="1"/>
    <x v="1"/>
  </r>
  <r>
    <x v="762"/>
    <s v="Dubai"/>
    <x v="12"/>
    <d v="2020-10-04T00:00:00"/>
    <s v="SR Watson"/>
    <s v="Dubai International Cricket Stadium"/>
    <s v="Punjab Kings"/>
    <s v="Chennai Super Kings"/>
    <s v="Punjab Kings"/>
    <x v="1"/>
    <s v="Chennai Super Kings"/>
    <s v="wickets"/>
    <n v="10"/>
    <s v="N"/>
    <s v="Normal Match"/>
    <x v="39"/>
    <s v="Nitin Menon"/>
    <x v="12"/>
    <x v="1"/>
    <x v="0"/>
    <x v="0"/>
  </r>
  <r>
    <x v="763"/>
    <s v="Abu Dhabi"/>
    <x v="12"/>
    <d v="2020-10-03T00:00:00"/>
    <s v="YS Chahal"/>
    <s v="Sheikh Zayed Stadium"/>
    <s v="Rajasthan Royals"/>
    <s v="Royal Challengers Bangalore"/>
    <s v="Rajasthan Royals"/>
    <x v="1"/>
    <s v="Royal Challengers Bangalore"/>
    <s v="wickets"/>
    <n v="8"/>
    <s v="N"/>
    <s v="Normal Match"/>
    <x v="35"/>
    <s v="S Ravi"/>
    <x v="12"/>
    <x v="1"/>
    <x v="0"/>
    <x v="0"/>
  </r>
  <r>
    <x v="764"/>
    <s v="Sharjah"/>
    <x v="12"/>
    <d v="2020-10-03T00:00:00"/>
    <s v="SS Iyer"/>
    <s v="Sharjah Cricket Stadium"/>
    <s v="Delhi Capitals"/>
    <s v="Kolkata Knight Riders"/>
    <s v="Kolkata Knight Riders"/>
    <x v="0"/>
    <s v="Delhi Capitals"/>
    <s v="runs"/>
    <n v="18"/>
    <s v="N"/>
    <s v="Normal Match"/>
    <x v="26"/>
    <s v="RK Illingworth"/>
    <x v="12"/>
    <x v="0"/>
    <x v="0"/>
    <x v="0"/>
  </r>
  <r>
    <x v="765"/>
    <s v="Dubai"/>
    <x v="12"/>
    <d v="2020-10-02T00:00:00"/>
    <s v="PK Garg"/>
    <s v="Dubai International Cricket Stadium"/>
    <s v="Sunrisers Hyderabad"/>
    <s v="Chennai Super Kings"/>
    <s v="Sunrisers Hyderabad"/>
    <x v="1"/>
    <s v="Sunrisers Hyderabad"/>
    <s v="runs"/>
    <n v="7"/>
    <s v="N"/>
    <s v="Normal Match"/>
    <x v="25"/>
    <s v="PR Reiffel"/>
    <x v="12"/>
    <x v="0"/>
    <x v="1"/>
    <x v="1"/>
  </r>
  <r>
    <x v="766"/>
    <s v="Dubai"/>
    <x v="12"/>
    <d v="2020-10-22T00:00:00"/>
    <s v="MK Pandey"/>
    <s v="Dubai International Cricket Stadium"/>
    <s v="Rajasthan Royals"/>
    <s v="Sunrisers Hyderabad"/>
    <s v="Sunrisers Hyderabad"/>
    <x v="0"/>
    <s v="Sunrisers Hyderabad"/>
    <s v="wickets"/>
    <n v="8"/>
    <s v="N"/>
    <s v="Normal Match"/>
    <x v="37"/>
    <s v="PR Reiffel"/>
    <x v="12"/>
    <x v="1"/>
    <x v="1"/>
    <x v="1"/>
  </r>
  <r>
    <x v="767"/>
    <s v="Dubai"/>
    <x v="12"/>
    <d v="2020-10-05T00:00:00"/>
    <s v="AR Patel"/>
    <s v="Dubai International Cricket Stadium"/>
    <s v="Delhi Capitals"/>
    <s v="Royal Challengers Bangalore"/>
    <s v="Royal Challengers Bangalore"/>
    <x v="0"/>
    <s v="Delhi Capitals"/>
    <s v="runs"/>
    <n v="59"/>
    <s v="N"/>
    <s v="Normal Match"/>
    <x v="37"/>
    <s v="YC Barde"/>
    <x v="12"/>
    <x v="0"/>
    <x v="0"/>
    <x v="0"/>
  </r>
  <r>
    <x v="768"/>
    <s v="Sharjah"/>
    <x v="12"/>
    <d v="2020-10-26T00:00:00"/>
    <s v="CH Gayle"/>
    <s v="Sharjah Cricket Stadium"/>
    <s v="Kolkata Knight Riders"/>
    <s v="Punjab Kings"/>
    <s v="Punjab Kings"/>
    <x v="0"/>
    <s v="Punjab Kings"/>
    <s v="wickets"/>
    <n v="8"/>
    <s v="N"/>
    <s v="Normal Match"/>
    <x v="40"/>
    <s v="RK Illingworth"/>
    <x v="12"/>
    <x v="1"/>
    <x v="1"/>
    <x v="1"/>
  </r>
  <r>
    <x v="769"/>
    <s v="Sharjah"/>
    <x v="12"/>
    <d v="2020-10-23T00:00:00"/>
    <s v="TA Boult"/>
    <s v="Sharjah Cricket Stadium"/>
    <s v="Chennai Super Kings"/>
    <s v="Mumbai Indians"/>
    <s v="Mumbai Indians"/>
    <x v="0"/>
    <s v="Mumbai Indians"/>
    <s v="wickets"/>
    <n v="10"/>
    <s v="N"/>
    <s v="Normal Match"/>
    <x v="29"/>
    <s v="VA Kulkarni"/>
    <x v="12"/>
    <x v="1"/>
    <x v="1"/>
    <x v="1"/>
  </r>
  <r>
    <x v="770"/>
    <s v="Dubai"/>
    <x v="12"/>
    <d v="2020-10-17T00:00:00"/>
    <s v="AB de Villiers"/>
    <s v="Dubai International Cricket Stadium"/>
    <s v="Rajasthan Royals"/>
    <s v="Royal Challengers Bangalore"/>
    <s v="Rajasthan Royals"/>
    <x v="1"/>
    <s v="Royal Challengers Bangalore"/>
    <s v="wickets"/>
    <n v="7"/>
    <s v="N"/>
    <s v="Normal Match"/>
    <x v="25"/>
    <s v="Nitin Menon"/>
    <x v="12"/>
    <x v="1"/>
    <x v="0"/>
    <x v="0"/>
  </r>
  <r>
    <x v="771"/>
    <s v="Abu Dhabi"/>
    <x v="12"/>
    <d v="2020-10-10T00:00:00"/>
    <s v="KD Karthik"/>
    <s v="Sheikh Zayed Stadium"/>
    <s v="Kolkata Knight Riders"/>
    <s v="Punjab Kings"/>
    <s v="Kolkata Knight Riders"/>
    <x v="1"/>
    <s v="Kolkata Knight Riders"/>
    <s v="runs"/>
    <n v="2"/>
    <s v="N"/>
    <s v="Normal Match"/>
    <x v="46"/>
    <s v="CB Gaffaney"/>
    <x v="12"/>
    <x v="0"/>
    <x v="1"/>
    <x v="1"/>
  </r>
  <r>
    <x v="772"/>
    <s v="Dubai"/>
    <x v="12"/>
    <d v="2020-10-27T00:00:00"/>
    <s v="WP Saha"/>
    <s v="Dubai International Cricket Stadium"/>
    <s v="Sunrisers Hyderabad"/>
    <s v="Delhi Capitals"/>
    <s v="Delhi Capitals"/>
    <x v="0"/>
    <s v="Sunrisers Hyderabad"/>
    <s v="runs"/>
    <n v="88"/>
    <s v="N"/>
    <s v="Normal Match"/>
    <x v="25"/>
    <s v="Nitin Menon"/>
    <x v="12"/>
    <x v="0"/>
    <x v="0"/>
    <x v="0"/>
  </r>
  <r>
    <x v="773"/>
    <s v="Dubai"/>
    <x v="12"/>
    <d v="2020-10-10T00:00:00"/>
    <s v="V Kohli"/>
    <s v="Dubai International Cricket Stadium"/>
    <s v="Royal Challengers Bangalore"/>
    <s v="Chennai Super Kings"/>
    <s v="Royal Challengers Bangalore"/>
    <x v="1"/>
    <s v="Royal Challengers Bangalore"/>
    <s v="runs"/>
    <n v="37"/>
    <s v="N"/>
    <s v="Normal Match"/>
    <x v="25"/>
    <s v="PR Reiffel"/>
    <x v="12"/>
    <x v="0"/>
    <x v="1"/>
    <x v="1"/>
  </r>
  <r>
    <x v="774"/>
    <s v="Abu Dhabi"/>
    <x v="12"/>
    <d v="2020-10-16T00:00:00"/>
    <s v="Q de Kock"/>
    <s v="Sheikh Zayed Stadium"/>
    <s v="Kolkata Knight Riders"/>
    <s v="Mumbai Indians"/>
    <s v="Kolkata Knight Riders"/>
    <x v="1"/>
    <s v="Mumbai Indians"/>
    <s v="wickets"/>
    <n v="8"/>
    <s v="N"/>
    <s v="Normal Match"/>
    <x v="35"/>
    <s v="VK Sharma"/>
    <x v="12"/>
    <x v="1"/>
    <x v="0"/>
    <x v="0"/>
  </r>
  <r>
    <x v="775"/>
    <s v="Sharjah"/>
    <x v="12"/>
    <d v="2020-09-27T00:00:00"/>
    <s v="SV Samson"/>
    <s v="Sharjah Cricket Stadium"/>
    <s v="Punjab Kings"/>
    <s v="Rajasthan Royals"/>
    <s v="Rajasthan Royals"/>
    <x v="0"/>
    <s v="Rajasthan Royals"/>
    <s v="wickets"/>
    <n v="4"/>
    <s v="N"/>
    <s v="Normal Match"/>
    <x v="31"/>
    <s v="K Srinivasan"/>
    <x v="12"/>
    <x v="1"/>
    <x v="1"/>
    <x v="1"/>
  </r>
  <r>
    <x v="776"/>
    <s v="Dubai"/>
    <x v="12"/>
    <d v="2020-10-13T00:00:00"/>
    <s v="RA Jadeja"/>
    <s v="Dubai International Cricket Stadium"/>
    <s v="Chennai Super Kings"/>
    <s v="Sunrisers Hyderabad"/>
    <s v="Chennai Super Kings"/>
    <x v="1"/>
    <s v="Chennai Super Kings"/>
    <s v="runs"/>
    <n v="20"/>
    <s v="N"/>
    <s v="Normal Match"/>
    <x v="25"/>
    <s v="PR Reiffel"/>
    <x v="12"/>
    <x v="0"/>
    <x v="1"/>
    <x v="1"/>
  </r>
  <r>
    <x v="777"/>
    <s v="Abu Dhabi"/>
    <x v="12"/>
    <d v="2020-10-11T00:00:00"/>
    <s v="Q de Kock"/>
    <s v="Sheikh Zayed Stadium"/>
    <s v="Delhi Capitals"/>
    <s v="Mumbai Indians"/>
    <s v="Delhi Capitals"/>
    <x v="1"/>
    <s v="Mumbai Indians"/>
    <s v="wickets"/>
    <n v="5"/>
    <s v="N"/>
    <s v="Normal Match"/>
    <x v="35"/>
    <s v="S Ravi"/>
    <x v="12"/>
    <x v="1"/>
    <x v="0"/>
    <x v="0"/>
  </r>
  <r>
    <x v="778"/>
    <s v="Dubai"/>
    <x v="12"/>
    <d v="2020-11-01T00:00:00"/>
    <s v="PJ Cummins"/>
    <s v="Dubai International Cricket Stadium"/>
    <s v="Kolkata Knight Riders"/>
    <s v="Rajasthan Royals"/>
    <s v="Rajasthan Royals"/>
    <x v="0"/>
    <s v="Kolkata Knight Riders"/>
    <s v="runs"/>
    <n v="60"/>
    <s v="N"/>
    <s v="Normal Match"/>
    <x v="37"/>
    <s v="PR Reiffel"/>
    <x v="12"/>
    <x v="0"/>
    <x v="0"/>
    <x v="0"/>
  </r>
  <r>
    <x v="779"/>
    <s v="Sharjah"/>
    <x v="12"/>
    <d v="2020-10-15T00:00:00"/>
    <s v="KL Rahul"/>
    <s v="Sharjah Cricket Stadium"/>
    <s v="Royal Challengers Bangalore"/>
    <s v="Punjab Kings"/>
    <s v="Royal Challengers Bangalore"/>
    <x v="1"/>
    <s v="Punjab Kings"/>
    <s v="wickets"/>
    <n v="8"/>
    <s v="N"/>
    <s v="Normal Match"/>
    <x v="40"/>
    <s v="C Shamshuddin"/>
    <x v="12"/>
    <x v="1"/>
    <x v="0"/>
    <x v="0"/>
  </r>
  <r>
    <x v="780"/>
    <s v="Abu Dhabi"/>
    <x v="12"/>
    <d v="2020-09-29T00:00:00"/>
    <s v="Rashid Khan"/>
    <s v="Sheikh Zayed Stadium"/>
    <s v="Sunrisers Hyderabad"/>
    <s v="Delhi Capitals"/>
    <s v="Delhi Capitals"/>
    <x v="0"/>
    <s v="Sunrisers Hyderabad"/>
    <s v="runs"/>
    <n v="15"/>
    <s v="N"/>
    <s v="Normal Match"/>
    <x v="45"/>
    <s v="S Ravi"/>
    <x v="12"/>
    <x v="0"/>
    <x v="0"/>
    <x v="0"/>
  </r>
  <r>
    <x v="781"/>
    <s v="Abu Dhabi"/>
    <x v="12"/>
    <d v="2020-10-19T00:00:00"/>
    <s v="JC Buttler"/>
    <s v="Sheikh Zayed Stadium"/>
    <s v="Chennai Super Kings"/>
    <s v="Rajasthan Royals"/>
    <s v="Chennai Super Kings"/>
    <x v="1"/>
    <s v="Rajasthan Royals"/>
    <s v="wickets"/>
    <n v="7"/>
    <s v="N"/>
    <s v="Normal Match"/>
    <x v="35"/>
    <s v="VK Sharma"/>
    <x v="12"/>
    <x v="1"/>
    <x v="0"/>
    <x v="0"/>
  </r>
  <r>
    <x v="782"/>
    <s v="Dubai"/>
    <x v="12"/>
    <d v="2020-09-21T00:00:00"/>
    <s v="YS Chahal"/>
    <s v="Dubai International Cricket Stadium"/>
    <s v="Royal Challengers Bangalore"/>
    <s v="Sunrisers Hyderabad"/>
    <s v="Sunrisers Hyderabad"/>
    <x v="0"/>
    <s v="Royal Challengers Bangalore"/>
    <s v="runs"/>
    <n v="10"/>
    <s v="N"/>
    <s v="Normal Match"/>
    <x v="39"/>
    <s v="Nitin Menon"/>
    <x v="12"/>
    <x v="0"/>
    <x v="0"/>
    <x v="0"/>
  </r>
  <r>
    <x v="783"/>
    <s v="Dubai"/>
    <x v="12"/>
    <d v="2020-10-31T00:00:00"/>
    <s v="Ishan Kishan"/>
    <s v="Dubai International Cricket Stadium"/>
    <s v="Delhi Capitals"/>
    <s v="Mumbai Indians"/>
    <s v="Mumbai Indians"/>
    <x v="0"/>
    <s v="Mumbai Indians"/>
    <s v="wickets"/>
    <n v="9"/>
    <s v="N"/>
    <s v="Normal Match"/>
    <x v="43"/>
    <s v="PR Reiffel"/>
    <x v="12"/>
    <x v="1"/>
    <x v="1"/>
    <x v="1"/>
  </r>
  <r>
    <x v="784"/>
    <s v="Dubai"/>
    <x v="12"/>
    <d v="2020-10-29T00:00:00"/>
    <s v="RD Gaikwad"/>
    <s v="Dubai International Cricket Stadium"/>
    <s v="Kolkata Knight Riders"/>
    <s v="Chennai Super Kings"/>
    <s v="Chennai Super Kings"/>
    <x v="0"/>
    <s v="Chennai Super Kings"/>
    <s v="wickets"/>
    <n v="6"/>
    <s v="N"/>
    <s v="Normal Match"/>
    <x v="29"/>
    <s v="RK Illingworth"/>
    <x v="12"/>
    <x v="1"/>
    <x v="1"/>
    <x v="1"/>
  </r>
  <r>
    <x v="785"/>
    <s v="Abu Dhabi"/>
    <x v="12"/>
    <d v="2020-10-30T00:00:00"/>
    <s v="BA Stokes"/>
    <s v="Sheikh Zayed Stadium"/>
    <s v="Punjab Kings"/>
    <s v="Rajasthan Royals"/>
    <s v="Rajasthan Royals"/>
    <x v="0"/>
    <s v="Rajasthan Royals"/>
    <s v="wickets"/>
    <n v="7"/>
    <s v="N"/>
    <s v="Normal Match"/>
    <x v="35"/>
    <s v="S Ravi"/>
    <x v="12"/>
    <x v="1"/>
    <x v="1"/>
    <x v="1"/>
  </r>
  <r>
    <x v="786"/>
    <s v="Sharjah"/>
    <x v="12"/>
    <d v="2020-10-04T00:00:00"/>
    <s v="TA Boult"/>
    <s v="Sharjah Cricket Stadium"/>
    <s v="Mumbai Indians"/>
    <s v="Sunrisers Hyderabad"/>
    <s v="Mumbai Indians"/>
    <x v="1"/>
    <s v="Mumbai Indians"/>
    <s v="runs"/>
    <n v="34"/>
    <s v="N"/>
    <s v="Normal Match"/>
    <x v="40"/>
    <s v="RK Illingworth"/>
    <x v="12"/>
    <x v="0"/>
    <x v="1"/>
    <x v="1"/>
  </r>
  <r>
    <x v="787"/>
    <s v="Dubai"/>
    <x v="12"/>
    <d v="2020-09-25T00:00:00"/>
    <s v="PP Shaw"/>
    <s v="Dubai International Cricket Stadium"/>
    <s v="Delhi Capitals"/>
    <s v="Chennai Super Kings"/>
    <s v="Chennai Super Kings"/>
    <x v="0"/>
    <s v="Delhi Capitals"/>
    <s v="runs"/>
    <n v="44"/>
    <s v="N"/>
    <s v="Normal Match"/>
    <x v="40"/>
    <s v="RK Illingworth"/>
    <x v="12"/>
    <x v="0"/>
    <x v="0"/>
    <x v="0"/>
  </r>
  <r>
    <x v="788"/>
    <s v="Sharjah"/>
    <x v="12"/>
    <d v="2020-10-12T00:00:00"/>
    <s v="AB de Villiers"/>
    <s v="Sharjah Cricket Stadium"/>
    <s v="Royal Challengers Bangalore"/>
    <s v="Kolkata Knight Riders"/>
    <s v="Royal Challengers Bangalore"/>
    <x v="1"/>
    <s v="Royal Challengers Bangalore"/>
    <s v="runs"/>
    <n v="82"/>
    <s v="N"/>
    <s v="Normal Match"/>
    <x v="31"/>
    <s v="K Srinivasan"/>
    <x v="12"/>
    <x v="0"/>
    <x v="1"/>
    <x v="1"/>
  </r>
  <r>
    <x v="789"/>
    <s v="Abu Dhabi"/>
    <x v="12"/>
    <d v="2020-10-25T00:00:00"/>
    <s v="BA Stokes"/>
    <s v="Sheikh Zayed Stadium"/>
    <s v="Mumbai Indians"/>
    <s v="Rajasthan Royals"/>
    <s v="Mumbai Indians"/>
    <x v="1"/>
    <s v="Rajasthan Royals"/>
    <s v="wickets"/>
    <n v="8"/>
    <s v="N"/>
    <s v="Normal Match"/>
    <x v="46"/>
    <s v="VK Sharma"/>
    <x v="12"/>
    <x v="1"/>
    <x v="0"/>
    <x v="0"/>
  </r>
  <r>
    <x v="790"/>
    <s v="Dubai"/>
    <x v="12"/>
    <d v="2020-10-08T00:00:00"/>
    <s v="JM Bairstow"/>
    <s v="Dubai International Cricket Stadium"/>
    <s v="Sunrisers Hyderabad"/>
    <s v="Punjab Kings"/>
    <s v="Sunrisers Hyderabad"/>
    <x v="1"/>
    <s v="Sunrisers Hyderabad"/>
    <s v="runs"/>
    <n v="69"/>
    <s v="N"/>
    <s v="Normal Match"/>
    <x v="25"/>
    <s v="Nitin Menon"/>
    <x v="12"/>
    <x v="0"/>
    <x v="1"/>
    <x v="1"/>
  </r>
  <r>
    <x v="791"/>
    <s v="Dubai"/>
    <x v="12"/>
    <d v="2020-10-14T00:00:00"/>
    <s v="A Nortje"/>
    <s v="Dubai International Cricket Stadium"/>
    <s v="Delhi Capitals"/>
    <s v="Rajasthan Royals"/>
    <s v="Delhi Capitals"/>
    <x v="1"/>
    <s v="Delhi Capitals"/>
    <s v="runs"/>
    <n v="13"/>
    <s v="N"/>
    <s v="Normal Match"/>
    <x v="25"/>
    <s v="Nitin Menon"/>
    <x v="12"/>
    <x v="0"/>
    <x v="1"/>
    <x v="1"/>
  </r>
  <r>
    <x v="792"/>
    <s v="Dubai"/>
    <x v="12"/>
    <d v="2020-10-25T00:00:00"/>
    <s v="RD Gaikwad"/>
    <s v="Dubai International Cricket Stadium"/>
    <s v="Royal Challengers Bangalore"/>
    <s v="Chennai Super Kings"/>
    <s v="Royal Challengers Bangalore"/>
    <x v="1"/>
    <s v="Chennai Super Kings"/>
    <s v="wickets"/>
    <n v="8"/>
    <s v="N"/>
    <s v="Normal Match"/>
    <x v="29"/>
    <s v="RK Illingworth"/>
    <x v="12"/>
    <x v="1"/>
    <x v="0"/>
    <x v="0"/>
  </r>
  <r>
    <x v="793"/>
    <s v="Abu Dhabi"/>
    <x v="12"/>
    <d v="2020-09-26T00:00:00"/>
    <s v="Shubman Gill"/>
    <s v="Sheikh Zayed Stadium"/>
    <s v="Sunrisers Hyderabad"/>
    <s v="Kolkata Knight Riders"/>
    <s v="Sunrisers Hyderabad"/>
    <x v="1"/>
    <s v="Kolkata Knight Riders"/>
    <s v="wickets"/>
    <n v="7"/>
    <s v="N"/>
    <s v="Normal Match"/>
    <x v="35"/>
    <s v="VK Sharma"/>
    <x v="12"/>
    <x v="1"/>
    <x v="0"/>
    <x v="0"/>
  </r>
  <r>
    <x v="794"/>
    <s v="Dubai"/>
    <x v="12"/>
    <d v="2020-10-20T00:00:00"/>
    <s v="S Dhawan"/>
    <s v="Dubai International Cricket Stadium"/>
    <s v="Delhi Capitals"/>
    <s v="Punjab Kings"/>
    <s v="Delhi Capitals"/>
    <x v="1"/>
    <s v="Punjab Kings"/>
    <s v="wickets"/>
    <n v="5"/>
    <s v="N"/>
    <s v="Normal Match"/>
    <x v="29"/>
    <s v="RK Illingworth"/>
    <x v="12"/>
    <x v="1"/>
    <x v="0"/>
    <x v="0"/>
  </r>
  <r>
    <x v="795"/>
    <s v="Dubai"/>
    <x v="12"/>
    <d v="2020-11-05T00:00:00"/>
    <s v="JJ Bumrah"/>
    <s v="Dubai International Cricket Stadium"/>
    <s v="Mumbai Indians"/>
    <s v="Delhi Capitals"/>
    <s v="Delhi Capitals"/>
    <x v="0"/>
    <s v="Mumbai Indians"/>
    <s v="runs"/>
    <n v="57"/>
    <s v="N"/>
    <s v="Normal Match"/>
    <x v="35"/>
    <s v="Nitin Menon"/>
    <x v="12"/>
    <x v="0"/>
    <x v="0"/>
    <x v="0"/>
  </r>
  <r>
    <x v="796"/>
    <s v="Abu Dhabi"/>
    <x v="12"/>
    <d v="2020-11-06T00:00:00"/>
    <s v="KS Williamson"/>
    <s v="Sheikh Zayed Stadium"/>
    <s v="Royal Challengers Bangalore"/>
    <s v="Sunrisers Hyderabad"/>
    <s v="Sunrisers Hyderabad"/>
    <x v="0"/>
    <s v="Sunrisers Hyderabad"/>
    <s v="wickets"/>
    <n v="6"/>
    <s v="N"/>
    <s v="Normal Match"/>
    <x v="23"/>
    <s v="S Ravi"/>
    <x v="12"/>
    <x v="1"/>
    <x v="1"/>
    <x v="1"/>
  </r>
  <r>
    <x v="797"/>
    <s v="Abu Dhabi"/>
    <x v="12"/>
    <d v="2020-11-08T00:00:00"/>
    <s v="MP Stoinis"/>
    <s v="Sheikh Zayed Stadium"/>
    <s v="Delhi Capitals"/>
    <s v="Sunrisers Hyderabad"/>
    <s v="Delhi Capitals"/>
    <x v="1"/>
    <s v="Delhi Capitals"/>
    <s v="runs"/>
    <n v="17"/>
    <s v="N"/>
    <s v="Normal Match"/>
    <x v="23"/>
    <s v="S Ravi"/>
    <x v="12"/>
    <x v="0"/>
    <x v="1"/>
    <x v="1"/>
  </r>
  <r>
    <x v="798"/>
    <s v="Dubai"/>
    <x v="12"/>
    <d v="2020-11-10T00:00:00"/>
    <s v="TA Boult"/>
    <s v="Dubai International Cricket Stadium"/>
    <s v="Delhi Capitals"/>
    <s v="Mumbai Indians"/>
    <s v="Delhi Capitals"/>
    <x v="1"/>
    <s v="Mumbai Indians"/>
    <s v="wickets"/>
    <n v="5"/>
    <s v="N"/>
    <s v="Normal Match"/>
    <x v="35"/>
    <s v="Nitin Menon"/>
    <x v="12"/>
    <x v="1"/>
    <x v="0"/>
    <x v="0"/>
  </r>
</pivotCacheRecords>
</file>

<file path=xl/pivotCache/pivotCacheRecords2.xml><?xml version="1.0" encoding="utf-8"?>
<pivotCacheRecords xmlns="http://schemas.openxmlformats.org/spreadsheetml/2006/main" xmlns:r="http://schemas.openxmlformats.org/officeDocument/2006/relationships" count="800">
  <r>
    <s v="335982"/>
    <s v="Bangalore"/>
    <n v="2008"/>
    <d v="2008-04-18T00:00:00"/>
    <x v="0"/>
    <x v="0"/>
    <x v="0"/>
    <s v="Kolkata Knight Riders"/>
    <x v="0"/>
    <x v="0"/>
    <x v="0"/>
    <s v="runs"/>
    <n v="140"/>
    <s v="N"/>
    <s v="Normal Match"/>
    <s v="Asad Rauf"/>
    <s v="RE Koertzen"/>
    <x v="0"/>
    <x v="0"/>
  </r>
  <r>
    <s v="335983"/>
    <s v="Chandigarh"/>
    <n v="2008"/>
    <d v="2008-04-19T00:00:00"/>
    <x v="1"/>
    <x v="1"/>
    <x v="1"/>
    <s v="Chennai Super Kings"/>
    <x v="1"/>
    <x v="1"/>
    <x v="1"/>
    <s v="runs"/>
    <n v="33"/>
    <s v="N"/>
    <s v="Normal Match"/>
    <s v="MR Benson"/>
    <s v="SL Shastri"/>
    <x v="0"/>
    <x v="0"/>
  </r>
  <r>
    <s v="335984"/>
    <s v="Delhi"/>
    <n v="2008"/>
    <d v="2008-04-19T00:00:00"/>
    <x v="2"/>
    <x v="2"/>
    <x v="2"/>
    <s v="Rajasthan Royals"/>
    <x v="2"/>
    <x v="1"/>
    <x v="2"/>
    <s v="wickets"/>
    <n v="9"/>
    <s v="N"/>
    <s v="Normal Match"/>
    <s v="Aleem Dar"/>
    <s v="GA Pratapkumar"/>
    <x v="0"/>
    <x v="1"/>
  </r>
  <r>
    <s v="335985"/>
    <s v="Mumbai"/>
    <n v="2008"/>
    <d v="2008-04-20T00:00:00"/>
    <x v="3"/>
    <x v="3"/>
    <x v="3"/>
    <s v="Royal Challengers Bangalore"/>
    <x v="3"/>
    <x v="1"/>
    <x v="3"/>
    <s v="wickets"/>
    <n v="5"/>
    <s v="N"/>
    <s v="Normal Match"/>
    <s v="SJ Davis"/>
    <s v="DJ Harper"/>
    <x v="0"/>
    <x v="1"/>
  </r>
  <r>
    <s v="335986"/>
    <s v="Kolkata"/>
    <n v="2008"/>
    <d v="2008-04-20T00:00:00"/>
    <x v="4"/>
    <x v="4"/>
    <x v="4"/>
    <s v="Deccan Chargers"/>
    <x v="4"/>
    <x v="1"/>
    <x v="0"/>
    <s v="wickets"/>
    <n v="5"/>
    <s v="N"/>
    <s v="Normal Match"/>
    <s v="BF Bowden"/>
    <s v="K Hariharan"/>
    <x v="0"/>
    <x v="1"/>
  </r>
  <r>
    <s v="335987"/>
    <s v="Jaipur"/>
    <n v="2008"/>
    <d v="2008-04-21T00:00:00"/>
    <x v="5"/>
    <x v="5"/>
    <x v="5"/>
    <s v="Punjab Kings"/>
    <x v="5"/>
    <x v="1"/>
    <x v="4"/>
    <s v="wickets"/>
    <n v="6"/>
    <s v="N"/>
    <s v="Normal Match"/>
    <s v="Aleem Dar"/>
    <s v="RB Tiffin"/>
    <x v="0"/>
    <x v="1"/>
  </r>
  <r>
    <s v="335988"/>
    <s v="Hyderabad"/>
    <n v="2008"/>
    <d v="2008-04-22T00:00:00"/>
    <x v="6"/>
    <x v="6"/>
    <x v="6"/>
    <s v="Delhi Capitals"/>
    <x v="4"/>
    <x v="1"/>
    <x v="2"/>
    <s v="wickets"/>
    <n v="9"/>
    <s v="N"/>
    <s v="Normal Match"/>
    <s v="IL Howell"/>
    <s v="AM Saheba"/>
    <x v="0"/>
    <x v="1"/>
  </r>
  <r>
    <s v="335989"/>
    <s v="Chennai"/>
    <n v="2008"/>
    <d v="2008-04-23T00:00:00"/>
    <x v="7"/>
    <x v="7"/>
    <x v="7"/>
    <s v="Mumbai Indians"/>
    <x v="3"/>
    <x v="0"/>
    <x v="1"/>
    <s v="runs"/>
    <n v="6"/>
    <s v="N"/>
    <s v="Normal Match"/>
    <s v="DJ Harper"/>
    <s v="GA Pratapkumar"/>
    <x v="0"/>
    <x v="0"/>
  </r>
  <r>
    <s v="335990"/>
    <s v="Hyderabad"/>
    <n v="2008"/>
    <d v="2008-04-24T00:00:00"/>
    <x v="8"/>
    <x v="6"/>
    <x v="6"/>
    <s v="Rajasthan Royals"/>
    <x v="2"/>
    <x v="0"/>
    <x v="4"/>
    <s v="wickets"/>
    <n v="3"/>
    <s v="N"/>
    <s v="Normal Match"/>
    <s v="Asad Rauf"/>
    <s v="MR Benson"/>
    <x v="0"/>
    <x v="1"/>
  </r>
  <r>
    <s v="335991"/>
    <s v="Chandigarh"/>
    <n v="2008"/>
    <d v="2008-04-25T00:00:00"/>
    <x v="9"/>
    <x v="1"/>
    <x v="1"/>
    <s v="Mumbai Indians"/>
    <x v="3"/>
    <x v="0"/>
    <x v="5"/>
    <s v="runs"/>
    <n v="66"/>
    <s v="N"/>
    <s v="Normal Match"/>
    <s v="Aleem Dar"/>
    <s v="AM Saheba"/>
    <x v="0"/>
    <x v="0"/>
  </r>
  <r>
    <s v="335992"/>
    <s v="Bangalore"/>
    <n v="2008"/>
    <d v="2008-04-26T00:00:00"/>
    <x v="5"/>
    <x v="0"/>
    <x v="0"/>
    <s v="Rajasthan Royals"/>
    <x v="2"/>
    <x v="0"/>
    <x v="4"/>
    <s v="wickets"/>
    <n v="7"/>
    <s v="N"/>
    <s v="Normal Match"/>
    <s v="MR Benson"/>
    <s v="IL Howell"/>
    <x v="0"/>
    <x v="1"/>
  </r>
  <r>
    <s v="335993"/>
    <s v="Chennai"/>
    <n v="2008"/>
    <d v="2008-04-26T00:00:00"/>
    <x v="10"/>
    <x v="7"/>
    <x v="7"/>
    <s v="Kolkata Knight Riders"/>
    <x v="6"/>
    <x v="1"/>
    <x v="1"/>
    <s v="wickets"/>
    <n v="9"/>
    <s v="N"/>
    <s v="Normal Match"/>
    <s v="BF Bowden"/>
    <s v="AV Jayaprakash"/>
    <x v="0"/>
    <x v="1"/>
  </r>
  <r>
    <s v="335994"/>
    <s v="Mumbai"/>
    <n v="2008"/>
    <d v="2008-04-27T00:00:00"/>
    <x v="11"/>
    <x v="8"/>
    <x v="3"/>
    <s v="Deccan Chargers"/>
    <x v="4"/>
    <x v="0"/>
    <x v="6"/>
    <s v="wickets"/>
    <n v="10"/>
    <s v="N"/>
    <s v="Normal Match"/>
    <s v="Asad Rauf"/>
    <s v="SL Shastri"/>
    <x v="0"/>
    <x v="1"/>
  </r>
  <r>
    <s v="335995"/>
    <s v="Chandigarh"/>
    <n v="2008"/>
    <d v="2008-04-27T00:00:00"/>
    <x v="12"/>
    <x v="1"/>
    <x v="1"/>
    <s v="Delhi Capitals"/>
    <x v="7"/>
    <x v="1"/>
    <x v="5"/>
    <s v="wickets"/>
    <n v="4"/>
    <s v="N"/>
    <s v="Normal Match"/>
    <s v="RE Koertzen"/>
    <s v="I Shivram"/>
    <x v="0"/>
    <x v="1"/>
  </r>
  <r>
    <s v="335996"/>
    <s v="Bangalore"/>
    <n v="2008"/>
    <d v="2008-04-28T00:00:00"/>
    <x v="13"/>
    <x v="0"/>
    <x v="0"/>
    <s v="Chennai Super Kings"/>
    <x v="1"/>
    <x v="1"/>
    <x v="1"/>
    <s v="runs"/>
    <n v="13"/>
    <s v="N"/>
    <s v="Normal Match"/>
    <s v="BR Doctrove"/>
    <s v="RB Tiffin"/>
    <x v="0"/>
    <x v="0"/>
  </r>
  <r>
    <s v="335997"/>
    <s v="Kolkata"/>
    <n v="2008"/>
    <d v="2008-04-29T00:00:00"/>
    <x v="14"/>
    <x v="4"/>
    <x v="4"/>
    <s v="Mumbai Indians"/>
    <x v="6"/>
    <x v="1"/>
    <x v="7"/>
    <s v="wickets"/>
    <n v="7"/>
    <s v="N"/>
    <s v="Normal Match"/>
    <s v="BF Bowden"/>
    <s v="AV Jayaprakash"/>
    <x v="0"/>
    <x v="1"/>
  </r>
  <r>
    <s v="335998"/>
    <s v="Delhi"/>
    <n v="2008"/>
    <d v="2008-04-30T00:00:00"/>
    <x v="15"/>
    <x v="2"/>
    <x v="2"/>
    <s v="Royal Challengers Bangalore"/>
    <x v="0"/>
    <x v="0"/>
    <x v="2"/>
    <s v="runs"/>
    <n v="10"/>
    <s v="N"/>
    <s v="Normal Match"/>
    <s v="Aleem Dar"/>
    <s v="I Shivram"/>
    <x v="0"/>
    <x v="0"/>
  </r>
  <r>
    <s v="335999"/>
    <s v="Hyderabad"/>
    <n v="2008"/>
    <d v="2008-05-01T00:00:00"/>
    <x v="16"/>
    <x v="6"/>
    <x v="6"/>
    <s v="Punjab Kings"/>
    <x v="5"/>
    <x v="0"/>
    <x v="5"/>
    <s v="wickets"/>
    <n v="7"/>
    <s v="N"/>
    <s v="Normal Match"/>
    <s v="BR Doctrove"/>
    <s v="RB Tiffin"/>
    <x v="0"/>
    <x v="1"/>
  </r>
  <r>
    <s v="336000"/>
    <s v="Jaipur"/>
    <n v="2008"/>
    <d v="2008-05-01T00:00:00"/>
    <x v="17"/>
    <x v="5"/>
    <x v="5"/>
    <s v="Kolkata Knight Riders"/>
    <x v="2"/>
    <x v="1"/>
    <x v="4"/>
    <s v="runs"/>
    <n v="45"/>
    <s v="N"/>
    <s v="Normal Match"/>
    <s v="RE Koertzen"/>
    <s v="GA Pratapkumar"/>
    <x v="0"/>
    <x v="0"/>
  </r>
  <r>
    <s v="336001"/>
    <s v="Chennai"/>
    <n v="2008"/>
    <d v="2008-05-02T00:00:00"/>
    <x v="6"/>
    <x v="7"/>
    <x v="7"/>
    <s v="Delhi Capitals"/>
    <x v="1"/>
    <x v="1"/>
    <x v="2"/>
    <s v="wickets"/>
    <n v="8"/>
    <s v="N"/>
    <s v="Normal Match"/>
    <s v="BF Bowden"/>
    <s v="K Hariharan"/>
    <x v="0"/>
    <x v="1"/>
  </r>
  <r>
    <s v="336002"/>
    <s v="Hyderabad"/>
    <n v="2008"/>
    <d v="2008-05-25T00:00:00"/>
    <x v="18"/>
    <x v="6"/>
    <x v="6"/>
    <s v="Royal Challengers Bangalore"/>
    <x v="4"/>
    <x v="1"/>
    <x v="3"/>
    <s v="wickets"/>
    <n v="5"/>
    <s v="N"/>
    <s v="Normal Match"/>
    <s v="Asad Rauf"/>
    <s v="RE Koertzen"/>
    <x v="0"/>
    <x v="1"/>
  </r>
  <r>
    <s v="336003"/>
    <s v="Chandigarh"/>
    <n v="2008"/>
    <d v="2008-05-03T00:00:00"/>
    <x v="19"/>
    <x v="1"/>
    <x v="1"/>
    <s v="Kolkata Knight Riders"/>
    <x v="5"/>
    <x v="1"/>
    <x v="5"/>
    <s v="runs"/>
    <n v="9"/>
    <s v="N"/>
    <s v="Normal Match"/>
    <s v="DJ Harper"/>
    <s v="I Shivram"/>
    <x v="0"/>
    <x v="0"/>
  </r>
  <r>
    <s v="336004"/>
    <s v="Mumbai"/>
    <n v="2008"/>
    <d v="2008-05-04T00:00:00"/>
    <x v="20"/>
    <x v="8"/>
    <x v="3"/>
    <s v="Delhi Capitals"/>
    <x v="7"/>
    <x v="0"/>
    <x v="7"/>
    <s v="runs"/>
    <n v="29"/>
    <s v="N"/>
    <s v="Normal Match"/>
    <s v="IL Howell"/>
    <s v="RE Koertzen"/>
    <x v="0"/>
    <x v="0"/>
  </r>
  <r>
    <s v="336005"/>
    <s v="Jaipur"/>
    <n v="2008"/>
    <d v="2008-05-04T00:00:00"/>
    <x v="21"/>
    <x v="5"/>
    <x v="5"/>
    <s v="Chennai Super Kings"/>
    <x v="1"/>
    <x v="1"/>
    <x v="4"/>
    <s v="wickets"/>
    <n v="8"/>
    <s v="N"/>
    <s v="Normal Match"/>
    <s v="Asad Rauf"/>
    <s v="AV Jayaprakash"/>
    <x v="0"/>
    <x v="1"/>
  </r>
  <r>
    <s v="336006"/>
    <s v="Bangalore"/>
    <n v="2008"/>
    <d v="2008-05-05T00:00:00"/>
    <x v="22"/>
    <x v="0"/>
    <x v="0"/>
    <s v="Punjab Kings"/>
    <x v="5"/>
    <x v="0"/>
    <x v="5"/>
    <s v="wickets"/>
    <n v="6"/>
    <s v="N"/>
    <s v="Normal Match"/>
    <s v="SJ Davis"/>
    <s v="BR Doctrove"/>
    <x v="0"/>
    <x v="1"/>
  </r>
  <r>
    <s v="336007"/>
    <s v="Chennai"/>
    <n v="2008"/>
    <d v="2008-05-06T00:00:00"/>
    <x v="11"/>
    <x v="7"/>
    <x v="7"/>
    <s v="Deccan Chargers"/>
    <x v="4"/>
    <x v="0"/>
    <x v="6"/>
    <s v="wickets"/>
    <n v="7"/>
    <s v="N"/>
    <s v="Normal Match"/>
    <s v="MR Benson"/>
    <s v="RB Tiffin"/>
    <x v="0"/>
    <x v="1"/>
  </r>
  <r>
    <s v="336008"/>
    <s v="Mumbai"/>
    <n v="2008"/>
    <d v="2008-05-07T00:00:00"/>
    <x v="23"/>
    <x v="8"/>
    <x v="3"/>
    <s v="Rajasthan Royals"/>
    <x v="3"/>
    <x v="0"/>
    <x v="7"/>
    <s v="wickets"/>
    <n v="7"/>
    <s v="N"/>
    <s v="Normal Match"/>
    <s v="DJ Harper"/>
    <s v="RE Koertzen"/>
    <x v="0"/>
    <x v="1"/>
  </r>
  <r>
    <s v="336009"/>
    <s v="Delhi"/>
    <n v="2008"/>
    <d v="2008-05-08T00:00:00"/>
    <x v="13"/>
    <x v="2"/>
    <x v="2"/>
    <s v="Chennai Super Kings"/>
    <x v="1"/>
    <x v="0"/>
    <x v="1"/>
    <s v="wickets"/>
    <n v="4"/>
    <s v="N"/>
    <s v="Normal Match"/>
    <s v="Aleem Dar"/>
    <s v="RB Tiffin"/>
    <x v="0"/>
    <x v="1"/>
  </r>
  <r>
    <s v="336010"/>
    <s v="Kolkata"/>
    <n v="2008"/>
    <d v="2008-05-08T00:00:00"/>
    <x v="24"/>
    <x v="4"/>
    <x v="4"/>
    <s v="Royal Challengers Bangalore"/>
    <x v="6"/>
    <x v="1"/>
    <x v="0"/>
    <s v="runs"/>
    <n v="5"/>
    <s v="N"/>
    <s v="Normal Match"/>
    <s v="Asad Rauf"/>
    <s v="IL Howell"/>
    <x v="0"/>
    <x v="0"/>
  </r>
  <r>
    <s v="336011"/>
    <s v="Jaipur"/>
    <n v="2008"/>
    <d v="2008-05-09T00:00:00"/>
    <x v="8"/>
    <x v="5"/>
    <x v="5"/>
    <s v="Deccan Chargers"/>
    <x v="2"/>
    <x v="0"/>
    <x v="4"/>
    <s v="wickets"/>
    <n v="8"/>
    <s v="N"/>
    <s v="Normal Match"/>
    <s v="MR Benson"/>
    <s v="AM Saheba"/>
    <x v="0"/>
    <x v="1"/>
  </r>
  <r>
    <s v="336012"/>
    <s v="Bangalore"/>
    <n v="2008"/>
    <d v="2008-05-28T00:00:00"/>
    <x v="25"/>
    <x v="0"/>
    <x v="0"/>
    <s v="Mumbai Indians"/>
    <x v="3"/>
    <x v="0"/>
    <x v="7"/>
    <s v="wickets"/>
    <n v="9"/>
    <s v="N"/>
    <s v="Normal Match"/>
    <s v="BF Bowden"/>
    <s v="AV Jayaprakash"/>
    <x v="0"/>
    <x v="1"/>
  </r>
  <r>
    <s v="336013"/>
    <s v="Chennai"/>
    <n v="2008"/>
    <d v="2008-05-10T00:00:00"/>
    <x v="26"/>
    <x v="7"/>
    <x v="7"/>
    <s v="Punjab Kings"/>
    <x v="5"/>
    <x v="0"/>
    <x v="1"/>
    <s v="runs"/>
    <n v="18"/>
    <s v="N"/>
    <s v="Normal Match"/>
    <s v="AV Jayaprakash"/>
    <s v="BG Jerling"/>
    <x v="0"/>
    <x v="0"/>
  </r>
  <r>
    <s v="336014"/>
    <s v="Hyderabad"/>
    <n v="2008"/>
    <d v="2008-05-11T00:00:00"/>
    <x v="24"/>
    <x v="6"/>
    <x v="6"/>
    <s v="Kolkata Knight Riders"/>
    <x v="6"/>
    <x v="1"/>
    <x v="0"/>
    <s v="runs"/>
    <n v="23"/>
    <s v="N"/>
    <s v="Normal Match"/>
    <s v="IL Howell"/>
    <s v="AM Saheba"/>
    <x v="0"/>
    <x v="0"/>
  </r>
  <r>
    <s v="336015"/>
    <s v="Jaipur"/>
    <n v="2008"/>
    <d v="2008-05-11T00:00:00"/>
    <x v="5"/>
    <x v="5"/>
    <x v="5"/>
    <s v="Delhi Capitals"/>
    <x v="2"/>
    <x v="0"/>
    <x v="4"/>
    <s v="wickets"/>
    <n v="3"/>
    <s v="N"/>
    <s v="Normal Match"/>
    <s v="SJ Davis"/>
    <s v="RE Koertzen"/>
    <x v="0"/>
    <x v="1"/>
  </r>
  <r>
    <s v="336016"/>
    <s v="Chandigarh"/>
    <n v="2008"/>
    <d v="2008-05-12T00:00:00"/>
    <x v="16"/>
    <x v="1"/>
    <x v="1"/>
    <s v="Royal Challengers Bangalore"/>
    <x v="0"/>
    <x v="1"/>
    <x v="5"/>
    <s v="wickets"/>
    <n v="9"/>
    <s v="N"/>
    <s v="Normal Match"/>
    <s v="BR Doctrove"/>
    <s v="I Shivram"/>
    <x v="0"/>
    <x v="1"/>
  </r>
  <r>
    <s v="336017"/>
    <s v="Kolkata"/>
    <n v="2008"/>
    <d v="2008-05-13T00:00:00"/>
    <x v="27"/>
    <x v="4"/>
    <x v="4"/>
    <s v="Delhi Capitals"/>
    <x v="6"/>
    <x v="1"/>
    <x v="0"/>
    <s v="runs"/>
    <n v="23"/>
    <s v="N"/>
    <s v="Normal Match"/>
    <s v="Asad Rauf"/>
    <s v="IL Howell"/>
    <x v="0"/>
    <x v="0"/>
  </r>
  <r>
    <s v="336018"/>
    <s v="Mumbai"/>
    <n v="2008"/>
    <d v="2008-05-14T00:00:00"/>
    <x v="14"/>
    <x v="3"/>
    <x v="3"/>
    <s v="Chennai Super Kings"/>
    <x v="3"/>
    <x v="0"/>
    <x v="7"/>
    <s v="wickets"/>
    <n v="9"/>
    <s v="N"/>
    <s v="Normal Match"/>
    <s v="BR Doctrove"/>
    <s v="AM Saheba"/>
    <x v="0"/>
    <x v="1"/>
  </r>
  <r>
    <s v="336019"/>
    <s v="Chandigarh"/>
    <n v="2008"/>
    <d v="2008-05-28T00:00:00"/>
    <x v="16"/>
    <x v="1"/>
    <x v="1"/>
    <s v="Rajasthan Royals"/>
    <x v="2"/>
    <x v="0"/>
    <x v="5"/>
    <s v="runs"/>
    <n v="41"/>
    <s v="N"/>
    <s v="Normal Match"/>
    <s v="SJ Davis"/>
    <s v="K Hariharan"/>
    <x v="0"/>
    <x v="0"/>
  </r>
  <r>
    <s v="336020"/>
    <s v="Delhi"/>
    <n v="2008"/>
    <d v="2008-05-15T00:00:00"/>
    <x v="28"/>
    <x v="2"/>
    <x v="2"/>
    <s v="Deccan Chargers"/>
    <x v="4"/>
    <x v="0"/>
    <x v="2"/>
    <s v="runs"/>
    <n v="12"/>
    <s v="N"/>
    <s v="Normal Match"/>
    <s v="BG Jerling"/>
    <s v="GA Pratapkumar"/>
    <x v="0"/>
    <x v="0"/>
  </r>
  <r>
    <s v="336021"/>
    <s v="Mumbai"/>
    <n v="2008"/>
    <d v="2008-05-16T00:00:00"/>
    <x v="20"/>
    <x v="3"/>
    <x v="3"/>
    <s v="Kolkata Knight Riders"/>
    <x v="3"/>
    <x v="0"/>
    <x v="7"/>
    <s v="wickets"/>
    <n v="8"/>
    <s v="N"/>
    <s v="Normal Match"/>
    <s v="BR Doctrove"/>
    <s v="DJ Harper"/>
    <x v="0"/>
    <x v="1"/>
  </r>
  <r>
    <s v="336022"/>
    <s v="Delhi"/>
    <n v="2008"/>
    <d v="2008-05-17T00:00:00"/>
    <x v="29"/>
    <x v="2"/>
    <x v="2"/>
    <s v="Punjab Kings"/>
    <x v="7"/>
    <x v="1"/>
    <x v="5"/>
    <s v="runs"/>
    <n v="6"/>
    <s v="N"/>
    <s v="D/L"/>
    <s v="AV Jayaprakash"/>
    <s v="RE Koertzen"/>
    <x v="0"/>
    <x v="0"/>
  </r>
  <r>
    <s v="336023"/>
    <s v="Jaipur"/>
    <n v="2008"/>
    <d v="2008-05-17T00:00:00"/>
    <x v="30"/>
    <x v="5"/>
    <x v="5"/>
    <s v="Royal Challengers Bangalore"/>
    <x v="0"/>
    <x v="0"/>
    <x v="4"/>
    <s v="runs"/>
    <n v="65"/>
    <s v="N"/>
    <s v="Normal Match"/>
    <s v="BF Bowden"/>
    <s v="SL Shastri"/>
    <x v="0"/>
    <x v="0"/>
  </r>
  <r>
    <s v="336024"/>
    <s v="Hyderabad"/>
    <n v="2008"/>
    <d v="2008-05-18T00:00:00"/>
    <x v="31"/>
    <x v="6"/>
    <x v="6"/>
    <s v="Mumbai Indians"/>
    <x v="4"/>
    <x v="0"/>
    <x v="7"/>
    <s v="runs"/>
    <n v="25"/>
    <s v="N"/>
    <s v="Normal Match"/>
    <s v="BR Doctrove"/>
    <s v="DJ Harper"/>
    <x v="0"/>
    <x v="0"/>
  </r>
  <r>
    <s v="336025"/>
    <s v="Kolkata"/>
    <n v="2008"/>
    <d v="2008-05-18T00:00:00"/>
    <x v="32"/>
    <x v="4"/>
    <x v="4"/>
    <s v="Chennai Super Kings"/>
    <x v="6"/>
    <x v="1"/>
    <x v="1"/>
    <s v="runs"/>
    <n v="3"/>
    <s v="N"/>
    <s v="D/L"/>
    <s v="Asad Rauf"/>
    <s v="K Hariharan"/>
    <x v="0"/>
    <x v="0"/>
  </r>
  <r>
    <s v="336026"/>
    <s v="Bangalore"/>
    <n v="2008"/>
    <d v="2008-05-19T00:00:00"/>
    <x v="33"/>
    <x v="0"/>
    <x v="0"/>
    <s v="Delhi Capitals"/>
    <x v="7"/>
    <x v="0"/>
    <x v="2"/>
    <s v="wickets"/>
    <n v="5"/>
    <s v="N"/>
    <s v="Normal Match"/>
    <s v="SJ Davis"/>
    <s v="GA Pratapkumar"/>
    <x v="0"/>
    <x v="1"/>
  </r>
  <r>
    <s v="336027"/>
    <s v="Kolkata"/>
    <n v="2008"/>
    <d v="2008-05-20T00:00:00"/>
    <x v="8"/>
    <x v="4"/>
    <x v="4"/>
    <s v="Rajasthan Royals"/>
    <x v="2"/>
    <x v="0"/>
    <x v="4"/>
    <s v="wickets"/>
    <n v="6"/>
    <s v="N"/>
    <s v="Normal Match"/>
    <s v="BG Jerling"/>
    <s v="RE Koertzen"/>
    <x v="0"/>
    <x v="1"/>
  </r>
  <r>
    <s v="336028"/>
    <s v="Mumbai"/>
    <n v="2008"/>
    <d v="2008-05-21T00:00:00"/>
    <x v="16"/>
    <x v="3"/>
    <x v="3"/>
    <s v="Punjab Kings"/>
    <x v="3"/>
    <x v="0"/>
    <x v="5"/>
    <s v="runs"/>
    <n v="1"/>
    <s v="N"/>
    <s v="Normal Match"/>
    <s v="BF Bowden"/>
    <s v="GA Pratapkumar"/>
    <x v="0"/>
    <x v="0"/>
  </r>
  <r>
    <s v="336029"/>
    <s v="Chennai"/>
    <n v="2008"/>
    <d v="2008-05-21T00:00:00"/>
    <x v="34"/>
    <x v="7"/>
    <x v="7"/>
    <s v="Royal Challengers Bangalore"/>
    <x v="0"/>
    <x v="1"/>
    <x v="3"/>
    <s v="runs"/>
    <n v="14"/>
    <s v="N"/>
    <s v="Normal Match"/>
    <s v="DJ Harper"/>
    <s v="I Shivram"/>
    <x v="0"/>
    <x v="0"/>
  </r>
  <r>
    <s v="336031"/>
    <s v="Chandigarh"/>
    <n v="2008"/>
    <d v="2008-05-23T00:00:00"/>
    <x v="16"/>
    <x v="1"/>
    <x v="1"/>
    <s v="Deccan Chargers"/>
    <x v="5"/>
    <x v="0"/>
    <x v="5"/>
    <s v="wickets"/>
    <n v="6"/>
    <s v="N"/>
    <s v="Normal Match"/>
    <s v="Asad Rauf"/>
    <s v="SJ Davis"/>
    <x v="0"/>
    <x v="1"/>
  </r>
  <r>
    <s v="336032"/>
    <s v="Delhi"/>
    <n v="2008"/>
    <d v="2008-05-24T00:00:00"/>
    <x v="35"/>
    <x v="2"/>
    <x v="2"/>
    <s v="Mumbai Indians"/>
    <x v="7"/>
    <x v="0"/>
    <x v="2"/>
    <s v="wickets"/>
    <n v="5"/>
    <s v="N"/>
    <s v="Normal Match"/>
    <s v="BF Bowden"/>
    <s v="K Hariharan"/>
    <x v="0"/>
    <x v="1"/>
  </r>
  <r>
    <s v="336033"/>
    <s v="Chennai"/>
    <n v="2008"/>
    <d v="2008-05-24T00:00:00"/>
    <x v="36"/>
    <x v="7"/>
    <x v="7"/>
    <s v="Rajasthan Royals"/>
    <x v="2"/>
    <x v="1"/>
    <x v="4"/>
    <s v="runs"/>
    <n v="10"/>
    <s v="N"/>
    <s v="Normal Match"/>
    <s v="DJ Harper"/>
    <s v="SL Shastri"/>
    <x v="0"/>
    <x v="0"/>
  </r>
  <r>
    <s v="336034"/>
    <s v="Bangalore"/>
    <n v="2008"/>
    <d v="2008-05-03T00:00:00"/>
    <x v="37"/>
    <x v="0"/>
    <x v="0"/>
    <s v="Deccan Chargers"/>
    <x v="4"/>
    <x v="0"/>
    <x v="3"/>
    <s v="runs"/>
    <n v="3"/>
    <s v="N"/>
    <s v="Normal Match"/>
    <s v="BR Doctrove"/>
    <s v="SL Shastri"/>
    <x v="0"/>
    <x v="0"/>
  </r>
  <r>
    <s v="336035"/>
    <s v="Kolkata"/>
    <n v="2008"/>
    <d v="2008-05-25T00:00:00"/>
    <x v="38"/>
    <x v="4"/>
    <x v="4"/>
    <s v="Punjab Kings"/>
    <x v="5"/>
    <x v="1"/>
    <x v="0"/>
    <s v="wickets"/>
    <n v="3"/>
    <s v="N"/>
    <s v="Normal Match"/>
    <s v="SJ Davis"/>
    <s v="I Shivram"/>
    <x v="0"/>
    <x v="1"/>
  </r>
  <r>
    <s v="336036"/>
    <s v="Jaipur"/>
    <n v="2008"/>
    <d v="2008-05-26T00:00:00"/>
    <x v="21"/>
    <x v="5"/>
    <x v="5"/>
    <s v="Mumbai Indians"/>
    <x v="2"/>
    <x v="0"/>
    <x v="4"/>
    <s v="wickets"/>
    <n v="5"/>
    <s v="N"/>
    <s v="Normal Match"/>
    <s v="BF Bowden"/>
    <s v="K Hariharan"/>
    <x v="0"/>
    <x v="1"/>
  </r>
  <r>
    <s v="336037"/>
    <s v="Hyderabad"/>
    <n v="2008"/>
    <d v="2008-05-27T00:00:00"/>
    <x v="39"/>
    <x v="6"/>
    <x v="6"/>
    <s v="Chennai Super Kings"/>
    <x v="4"/>
    <x v="1"/>
    <x v="1"/>
    <s v="wickets"/>
    <n v="7"/>
    <s v="N"/>
    <s v="Normal Match"/>
    <s v="BG Jerling"/>
    <s v="AM Saheba"/>
    <x v="0"/>
    <x v="1"/>
  </r>
  <r>
    <s v="336038"/>
    <s v="Mumbai"/>
    <n v="2008"/>
    <d v="2008-05-30T00:00:00"/>
    <x v="5"/>
    <x v="3"/>
    <x v="2"/>
    <s v="Rajasthan Royals"/>
    <x v="7"/>
    <x v="0"/>
    <x v="4"/>
    <s v="runs"/>
    <n v="105"/>
    <s v="N"/>
    <s v="Normal Match"/>
    <s v="BF Bowden"/>
    <s v="RE Koertzen"/>
    <x v="0"/>
    <x v="0"/>
  </r>
  <r>
    <s v="336039"/>
    <s v="Mumbai"/>
    <n v="2008"/>
    <d v="2008-05-31T00:00:00"/>
    <x v="32"/>
    <x v="3"/>
    <x v="7"/>
    <s v="Punjab Kings"/>
    <x v="5"/>
    <x v="1"/>
    <x v="1"/>
    <s v="wickets"/>
    <n v="9"/>
    <s v="N"/>
    <s v="Normal Match"/>
    <s v="Asad Rauf"/>
    <s v="DJ Harper"/>
    <x v="0"/>
    <x v="1"/>
  </r>
  <r>
    <s v="336040"/>
    <s v="Mumbai"/>
    <n v="2008"/>
    <d v="2008-06-01T00:00:00"/>
    <x v="8"/>
    <x v="8"/>
    <x v="7"/>
    <s v="Rajasthan Royals"/>
    <x v="2"/>
    <x v="0"/>
    <x v="4"/>
    <s v="wickets"/>
    <n v="3"/>
    <s v="N"/>
    <s v="Normal Match"/>
    <s v="BF Bowden"/>
    <s v="RE Koertzen"/>
    <x v="0"/>
    <x v="1"/>
  </r>
  <r>
    <s v="392181"/>
    <s v="Cape Town"/>
    <n v="2009"/>
    <d v="2009-04-18T00:00:00"/>
    <x v="40"/>
    <x v="9"/>
    <x v="7"/>
    <s v="Mumbai Indians"/>
    <x v="1"/>
    <x v="0"/>
    <x v="7"/>
    <s v="runs"/>
    <n v="19"/>
    <s v="N"/>
    <s v="Normal Match"/>
    <s v="BR Doctrove"/>
    <s v="K Hariharan"/>
    <x v="1"/>
    <x v="0"/>
  </r>
  <r>
    <s v="392182"/>
    <s v="Cape Town"/>
    <n v="2009"/>
    <d v="2009-04-18T00:00:00"/>
    <x v="41"/>
    <x v="9"/>
    <x v="0"/>
    <s v="Rajasthan Royals"/>
    <x v="0"/>
    <x v="1"/>
    <x v="3"/>
    <s v="runs"/>
    <n v="75"/>
    <s v="N"/>
    <s v="Normal Match"/>
    <s v="BR Doctrove"/>
    <s v="RB Tiffin"/>
    <x v="1"/>
    <x v="0"/>
  </r>
  <r>
    <s v="392183"/>
    <s v="Cape Town"/>
    <n v="2009"/>
    <d v="2009-04-19T00:00:00"/>
    <x v="42"/>
    <x v="9"/>
    <x v="2"/>
    <s v="Punjab Kings"/>
    <x v="7"/>
    <x v="0"/>
    <x v="2"/>
    <s v="wickets"/>
    <n v="10"/>
    <s v="N"/>
    <s v="D/L"/>
    <s v="MR Benson"/>
    <s v="SD Ranade"/>
    <x v="1"/>
    <x v="1"/>
  </r>
  <r>
    <s v="392184"/>
    <s v="Cape Town"/>
    <n v="2009"/>
    <d v="2009-04-19T00:00:00"/>
    <x v="43"/>
    <x v="9"/>
    <x v="6"/>
    <s v="Kolkata Knight Riders"/>
    <x v="6"/>
    <x v="1"/>
    <x v="6"/>
    <s v="wickets"/>
    <n v="8"/>
    <s v="N"/>
    <s v="Normal Match"/>
    <s v="MR Benson"/>
    <s v="BR Doctrove"/>
    <x v="1"/>
    <x v="1"/>
  </r>
  <r>
    <s v="392185"/>
    <s v="Port Elizabeth"/>
    <n v="2009"/>
    <d v="2009-04-20T00:00:00"/>
    <x v="44"/>
    <x v="10"/>
    <x v="0"/>
    <s v="Chennai Super Kings"/>
    <x v="1"/>
    <x v="1"/>
    <x v="1"/>
    <s v="runs"/>
    <n v="92"/>
    <s v="N"/>
    <s v="Normal Match"/>
    <s v="BG Jerling"/>
    <s v="SJA Taufel"/>
    <x v="1"/>
    <x v="0"/>
  </r>
  <r>
    <s v="392186"/>
    <s v="Durban"/>
    <n v="2009"/>
    <d v="2009-04-21T00:00:00"/>
    <x v="45"/>
    <x v="11"/>
    <x v="1"/>
    <s v="Kolkata Knight Riders"/>
    <x v="6"/>
    <x v="0"/>
    <x v="0"/>
    <s v="runs"/>
    <n v="11"/>
    <s v="N"/>
    <s v="D/L"/>
    <s v="DJ Harper"/>
    <s v="SD Ranade"/>
    <x v="1"/>
    <x v="0"/>
  </r>
  <r>
    <s v="392188"/>
    <s v="Cape Town"/>
    <n v="2009"/>
    <d v="2009-04-22T00:00:00"/>
    <x v="11"/>
    <x v="9"/>
    <x v="0"/>
    <s v="Deccan Chargers"/>
    <x v="4"/>
    <x v="1"/>
    <x v="6"/>
    <s v="runs"/>
    <n v="24"/>
    <s v="N"/>
    <s v="Normal Match"/>
    <s v="M Erasmus"/>
    <s v="AM Saheba"/>
    <x v="1"/>
    <x v="0"/>
  </r>
  <r>
    <s v="392189"/>
    <s v="Durban"/>
    <n v="2009"/>
    <d v="2009-04-23T00:00:00"/>
    <x v="46"/>
    <x v="11"/>
    <x v="7"/>
    <s v="Delhi Capitals"/>
    <x v="7"/>
    <x v="1"/>
    <x v="2"/>
    <s v="runs"/>
    <n v="9"/>
    <s v="N"/>
    <s v="Normal Match"/>
    <s v="BR Doctrove"/>
    <s v="SJA Taufel"/>
    <x v="1"/>
    <x v="0"/>
  </r>
  <r>
    <s v="392191"/>
    <s v="Durban"/>
    <n v="2009"/>
    <d v="2009-04-24T00:00:00"/>
    <x v="47"/>
    <x v="11"/>
    <x v="0"/>
    <s v="Punjab Kings"/>
    <x v="0"/>
    <x v="1"/>
    <x v="5"/>
    <s v="wickets"/>
    <n v="7"/>
    <s v="N"/>
    <s v="Normal Match"/>
    <s v="BR Doctrove"/>
    <s v="TH Wijewardene"/>
    <x v="1"/>
    <x v="1"/>
  </r>
  <r>
    <s v="392192"/>
    <s v="Durban"/>
    <n v="2009"/>
    <d v="2009-04-25T00:00:00"/>
    <x v="48"/>
    <x v="11"/>
    <x v="6"/>
    <s v="Mumbai Indians"/>
    <x v="4"/>
    <x v="1"/>
    <x v="6"/>
    <s v="runs"/>
    <n v="12"/>
    <s v="N"/>
    <s v="Normal Match"/>
    <s v="HDPK Dharmasena"/>
    <s v="SJA Taufel"/>
    <x v="1"/>
    <x v="0"/>
  </r>
  <r>
    <s v="392194"/>
    <s v="Port Elizabeth"/>
    <n v="2009"/>
    <d v="2009-04-26T00:00:00"/>
    <x v="49"/>
    <x v="10"/>
    <x v="0"/>
    <s v="Delhi Capitals"/>
    <x v="0"/>
    <x v="1"/>
    <x v="2"/>
    <s v="wickets"/>
    <n v="6"/>
    <s v="N"/>
    <s v="Normal Match"/>
    <s v="S Asnani"/>
    <s v="BG Jerling"/>
    <x v="1"/>
    <x v="1"/>
  </r>
  <r>
    <s v="392195"/>
    <s v="Cape Town"/>
    <n v="2009"/>
    <d v="2009-04-26T00:00:00"/>
    <x v="9"/>
    <x v="9"/>
    <x v="1"/>
    <s v="Rajasthan Royals"/>
    <x v="5"/>
    <x v="1"/>
    <x v="5"/>
    <s v="runs"/>
    <n v="27"/>
    <s v="N"/>
    <s v="Normal Match"/>
    <s v="M Erasmus"/>
    <s v="K Hariharan"/>
    <x v="1"/>
    <x v="0"/>
  </r>
  <r>
    <s v="392196"/>
    <s v="Durban"/>
    <n v="2009"/>
    <d v="2009-04-27T00:00:00"/>
    <x v="50"/>
    <x v="11"/>
    <x v="7"/>
    <s v="Deccan Chargers"/>
    <x v="4"/>
    <x v="0"/>
    <x v="6"/>
    <s v="wickets"/>
    <n v="6"/>
    <s v="N"/>
    <s v="Normal Match"/>
    <s v="IL Howell"/>
    <s v="TH Wijewardene"/>
    <x v="1"/>
    <x v="1"/>
  </r>
  <r>
    <s v="392197"/>
    <s v="Port Elizabeth"/>
    <n v="2009"/>
    <d v="2009-04-27T00:00:00"/>
    <x v="40"/>
    <x v="10"/>
    <x v="4"/>
    <s v="Mumbai Indians"/>
    <x v="3"/>
    <x v="1"/>
    <x v="7"/>
    <s v="runs"/>
    <n v="92"/>
    <s v="N"/>
    <s v="Normal Match"/>
    <s v="BG Jerling"/>
    <s v="RB Tiffin"/>
    <x v="1"/>
    <x v="0"/>
  </r>
  <r>
    <s v="392198"/>
    <s v="Centurion"/>
    <n v="2009"/>
    <d v="2009-04-28T00:00:00"/>
    <x v="8"/>
    <x v="12"/>
    <x v="2"/>
    <s v="Rajasthan Royals"/>
    <x v="7"/>
    <x v="1"/>
    <x v="4"/>
    <s v="wickets"/>
    <n v="5"/>
    <s v="N"/>
    <s v="Normal Match"/>
    <s v="GAV Baxter"/>
    <s v="RE Koertzen"/>
    <x v="1"/>
    <x v="1"/>
  </r>
  <r>
    <s v="392199"/>
    <s v="Durban"/>
    <n v="2009"/>
    <d v="2009-04-29T00:00:00"/>
    <x v="3"/>
    <x v="11"/>
    <x v="0"/>
    <s v="Kolkata Knight Riders"/>
    <x v="6"/>
    <x v="1"/>
    <x v="3"/>
    <s v="wickets"/>
    <n v="5"/>
    <s v="N"/>
    <s v="Normal Match"/>
    <s v="MR Benson"/>
    <s v="TH Wijewardene"/>
    <x v="1"/>
    <x v="1"/>
  </r>
  <r>
    <s v="392200"/>
    <s v="Durban"/>
    <n v="2009"/>
    <d v="2009-04-29T00:00:00"/>
    <x v="9"/>
    <x v="11"/>
    <x v="1"/>
    <s v="Mumbai Indians"/>
    <x v="5"/>
    <x v="1"/>
    <x v="5"/>
    <s v="runs"/>
    <n v="3"/>
    <s v="N"/>
    <s v="Normal Match"/>
    <s v="MR Benson"/>
    <s v="SL Shastri"/>
    <x v="1"/>
    <x v="0"/>
  </r>
  <r>
    <s v="392201"/>
    <s v="Centurion"/>
    <n v="2009"/>
    <d v="2009-04-30T00:00:00"/>
    <x v="51"/>
    <x v="12"/>
    <x v="6"/>
    <s v="Delhi Capitals"/>
    <x v="7"/>
    <x v="0"/>
    <x v="2"/>
    <s v="wickets"/>
    <n v="6"/>
    <s v="N"/>
    <s v="Normal Match"/>
    <s v="GAV Baxter"/>
    <s v="AM Saheba"/>
    <x v="1"/>
    <x v="1"/>
  </r>
  <r>
    <s v="392202"/>
    <s v="Centurion"/>
    <n v="2009"/>
    <d v="2009-04-30T00:00:00"/>
    <x v="39"/>
    <x v="12"/>
    <x v="7"/>
    <s v="Rajasthan Royals"/>
    <x v="2"/>
    <x v="0"/>
    <x v="1"/>
    <s v="runs"/>
    <n v="38"/>
    <s v="N"/>
    <s v="Normal Match"/>
    <s v="GAV Baxter"/>
    <s v="RE Koertzen"/>
    <x v="1"/>
    <x v="0"/>
  </r>
  <r>
    <s v="392203"/>
    <s v="East London"/>
    <n v="2009"/>
    <d v="2009-05-01T00:00:00"/>
    <x v="52"/>
    <x v="13"/>
    <x v="4"/>
    <s v="Mumbai Indians"/>
    <x v="3"/>
    <x v="1"/>
    <x v="7"/>
    <s v="runs"/>
    <n v="9"/>
    <s v="N"/>
    <s v="Normal Match"/>
    <s v="M Erasmus"/>
    <s v="SK Tarapore"/>
    <x v="1"/>
    <x v="0"/>
  </r>
  <r>
    <s v="392204"/>
    <s v="Durban"/>
    <n v="2009"/>
    <d v="2009-05-01T00:00:00"/>
    <x v="53"/>
    <x v="11"/>
    <x v="0"/>
    <s v="Punjab Kings"/>
    <x v="0"/>
    <x v="1"/>
    <x v="3"/>
    <s v="runs"/>
    <n v="8"/>
    <s v="N"/>
    <s v="Normal Match"/>
    <s v="HDPK Dharmasena"/>
    <s v="S Ravi"/>
    <x v="1"/>
    <x v="0"/>
  </r>
  <r>
    <s v="392205"/>
    <s v="Port Elizabeth"/>
    <n v="2009"/>
    <d v="2009-05-02T00:00:00"/>
    <x v="8"/>
    <x v="10"/>
    <x v="6"/>
    <s v="Rajasthan Royals"/>
    <x v="4"/>
    <x v="1"/>
    <x v="4"/>
    <s v="wickets"/>
    <n v="3"/>
    <s v="N"/>
    <s v="Normal Match"/>
    <s v="S Asnani"/>
    <s v="BG Jerling"/>
    <x v="1"/>
    <x v="1"/>
  </r>
  <r>
    <s v="392206"/>
    <s v="Johannesburg"/>
    <n v="2009"/>
    <d v="2009-05-02T00:00:00"/>
    <x v="54"/>
    <x v="14"/>
    <x v="7"/>
    <s v="Delhi Capitals"/>
    <x v="7"/>
    <x v="0"/>
    <x v="1"/>
    <s v="runs"/>
    <n v="18"/>
    <s v="N"/>
    <s v="Normal Match"/>
    <s v="DJ Harper"/>
    <s v="RE Koertzen"/>
    <x v="1"/>
    <x v="0"/>
  </r>
  <r>
    <s v="392207"/>
    <s v="Port Elizabeth"/>
    <n v="2009"/>
    <d v="2009-05-03T00:00:00"/>
    <x v="29"/>
    <x v="10"/>
    <x v="1"/>
    <s v="Kolkata Knight Riders"/>
    <x v="6"/>
    <x v="1"/>
    <x v="5"/>
    <s v="wickets"/>
    <n v="6"/>
    <s v="N"/>
    <s v="Normal Match"/>
    <s v="S Asnani"/>
    <s v="MR Benson"/>
    <x v="1"/>
    <x v="1"/>
  </r>
  <r>
    <s v="392208"/>
    <s v="Johannesburg"/>
    <n v="2009"/>
    <d v="2009-05-03T00:00:00"/>
    <x v="55"/>
    <x v="14"/>
    <x v="0"/>
    <s v="Mumbai Indians"/>
    <x v="3"/>
    <x v="1"/>
    <x v="3"/>
    <s v="wickets"/>
    <n v="9"/>
    <s v="N"/>
    <s v="Normal Match"/>
    <s v="RE Koertzen"/>
    <s v="TH Wijewardene"/>
    <x v="1"/>
    <x v="1"/>
  </r>
  <r>
    <s v="392209"/>
    <s v="East London"/>
    <n v="2009"/>
    <d v="2009-05-04T00:00:00"/>
    <x v="13"/>
    <x v="13"/>
    <x v="7"/>
    <s v="Deccan Chargers"/>
    <x v="1"/>
    <x v="1"/>
    <x v="1"/>
    <s v="runs"/>
    <n v="78"/>
    <s v="N"/>
    <s v="Normal Match"/>
    <s v="BR Doctrove"/>
    <s v="M Erasmus"/>
    <x v="1"/>
    <x v="0"/>
  </r>
  <r>
    <s v="392210"/>
    <s v="Durban"/>
    <n v="2009"/>
    <d v="2009-05-05T00:00:00"/>
    <x v="30"/>
    <x v="11"/>
    <x v="1"/>
    <s v="Rajasthan Royals"/>
    <x v="5"/>
    <x v="0"/>
    <x v="4"/>
    <s v="runs"/>
    <n v="78"/>
    <s v="N"/>
    <s v="Normal Match"/>
    <s v="SS Hazare"/>
    <s v="IL Howell"/>
    <x v="1"/>
    <x v="0"/>
  </r>
  <r>
    <s v="392211"/>
    <s v="Durban"/>
    <n v="2009"/>
    <d v="2009-05-05T00:00:00"/>
    <x v="56"/>
    <x v="11"/>
    <x v="2"/>
    <s v="Kolkata Knight Riders"/>
    <x v="6"/>
    <x v="1"/>
    <x v="2"/>
    <s v="wickets"/>
    <n v="9"/>
    <s v="N"/>
    <s v="Normal Match"/>
    <s v="GAV Baxter"/>
    <s v="IL Howell"/>
    <x v="1"/>
    <x v="1"/>
  </r>
  <r>
    <s v="392212"/>
    <s v="Centurion"/>
    <n v="2009"/>
    <d v="2009-05-06T00:00:00"/>
    <x v="57"/>
    <x v="12"/>
    <x v="6"/>
    <s v="Mumbai Indians"/>
    <x v="4"/>
    <x v="1"/>
    <x v="6"/>
    <s v="runs"/>
    <n v="19"/>
    <s v="N"/>
    <s v="Normal Match"/>
    <s v="MR Benson"/>
    <s v="HDPK Dharmasena"/>
    <x v="1"/>
    <x v="0"/>
  </r>
  <r>
    <s v="392213"/>
    <s v="Centurion"/>
    <n v="2009"/>
    <d v="2009-05-07T00:00:00"/>
    <x v="58"/>
    <x v="12"/>
    <x v="0"/>
    <s v="Rajasthan Royals"/>
    <x v="2"/>
    <x v="0"/>
    <x v="4"/>
    <s v="wickets"/>
    <n v="7"/>
    <s v="N"/>
    <s v="Normal Match"/>
    <s v="K Hariharan"/>
    <s v="DJ Harper"/>
    <x v="1"/>
    <x v="1"/>
  </r>
  <r>
    <s v="392214"/>
    <s v="Centurion"/>
    <n v="2009"/>
    <d v="2009-05-07T00:00:00"/>
    <x v="7"/>
    <x v="12"/>
    <x v="7"/>
    <s v="Punjab Kings"/>
    <x v="1"/>
    <x v="1"/>
    <x v="1"/>
    <s v="runs"/>
    <n v="12"/>
    <s v="N"/>
    <s v="D/L"/>
    <s v="DJ Harper"/>
    <s v="TH Wijewardene"/>
    <x v="1"/>
    <x v="0"/>
  </r>
  <r>
    <s v="392215"/>
    <s v="East London"/>
    <n v="2009"/>
    <d v="2009-05-08T00:00:00"/>
    <x v="23"/>
    <x v="13"/>
    <x v="2"/>
    <s v="Mumbai Indians"/>
    <x v="3"/>
    <x v="1"/>
    <x v="2"/>
    <s v="wickets"/>
    <n v="7"/>
    <s v="N"/>
    <s v="Normal Match"/>
    <s v="M Erasmus"/>
    <s v="SK Tarapore"/>
    <x v="1"/>
    <x v="1"/>
  </r>
  <r>
    <s v="392216"/>
    <s v="Kimberley"/>
    <n v="2009"/>
    <d v="2009-05-09T00:00:00"/>
    <x v="29"/>
    <x v="15"/>
    <x v="6"/>
    <s v="Punjab Kings"/>
    <x v="5"/>
    <x v="0"/>
    <x v="5"/>
    <s v="wickets"/>
    <n v="3"/>
    <s v="N"/>
    <s v="Normal Match"/>
    <s v="GAV Baxter"/>
    <s v="AM Saheba"/>
    <x v="1"/>
    <x v="1"/>
  </r>
  <r>
    <s v="392217"/>
    <s v="Kimberley"/>
    <n v="2009"/>
    <d v="2009-05-09T00:00:00"/>
    <x v="59"/>
    <x v="15"/>
    <x v="7"/>
    <s v="Rajasthan Royals"/>
    <x v="2"/>
    <x v="1"/>
    <x v="1"/>
    <s v="wickets"/>
    <n v="7"/>
    <s v="N"/>
    <s v="Normal Match"/>
    <s v="GAV Baxter"/>
    <s v="HDPK Dharmasena"/>
    <x v="1"/>
    <x v="1"/>
  </r>
  <r>
    <s v="392218"/>
    <s v="Port Elizabeth"/>
    <n v="2009"/>
    <d v="2009-05-10T00:00:00"/>
    <x v="52"/>
    <x v="10"/>
    <x v="0"/>
    <s v="Mumbai Indians"/>
    <x v="3"/>
    <x v="1"/>
    <x v="7"/>
    <s v="runs"/>
    <n v="16"/>
    <s v="N"/>
    <s v="Normal Match"/>
    <s v="BR Doctrove"/>
    <s v="BG Jerling"/>
    <x v="1"/>
    <x v="0"/>
  </r>
  <r>
    <s v="392219"/>
    <s v="Johannesburg"/>
    <n v="2009"/>
    <d v="2009-05-10T00:00:00"/>
    <x v="28"/>
    <x v="14"/>
    <x v="2"/>
    <s v="Kolkata Knight Riders"/>
    <x v="7"/>
    <x v="0"/>
    <x v="2"/>
    <s v="wickets"/>
    <n v="7"/>
    <s v="N"/>
    <s v="Normal Match"/>
    <s v="SL Shastri"/>
    <s v="RB Tiffin"/>
    <x v="1"/>
    <x v="1"/>
  </r>
  <r>
    <s v="392220"/>
    <s v="Kimberley"/>
    <n v="2009"/>
    <d v="2009-05-11T00:00:00"/>
    <x v="60"/>
    <x v="15"/>
    <x v="6"/>
    <s v="Rajasthan Royals"/>
    <x v="4"/>
    <x v="1"/>
    <x v="6"/>
    <s v="runs"/>
    <n v="53"/>
    <s v="N"/>
    <s v="Normal Match"/>
    <s v="GAV Baxter"/>
    <s v="HDPK Dharmasena"/>
    <x v="1"/>
    <x v="0"/>
  </r>
  <r>
    <s v="392221"/>
    <s v="Centurion"/>
    <n v="2009"/>
    <d v="2009-05-12T00:00:00"/>
    <x v="61"/>
    <x v="12"/>
    <x v="0"/>
    <s v="Kolkata Knight Riders"/>
    <x v="0"/>
    <x v="0"/>
    <x v="3"/>
    <s v="wickets"/>
    <n v="6"/>
    <s v="N"/>
    <s v="Normal Match"/>
    <s v="M Erasmus"/>
    <s v="SS Hazare"/>
    <x v="1"/>
    <x v="1"/>
  </r>
  <r>
    <s v="392222"/>
    <s v="Centurion"/>
    <n v="2009"/>
    <d v="2009-05-12T00:00:00"/>
    <x v="62"/>
    <x v="12"/>
    <x v="1"/>
    <s v="Mumbai Indians"/>
    <x v="5"/>
    <x v="1"/>
    <x v="7"/>
    <s v="wickets"/>
    <n v="8"/>
    <s v="N"/>
    <s v="Normal Match"/>
    <s v="SS Hazare"/>
    <s v="RE Koertzen"/>
    <x v="1"/>
    <x v="1"/>
  </r>
  <r>
    <s v="392223"/>
    <s v="Durban"/>
    <n v="2009"/>
    <d v="2009-05-13T00:00:00"/>
    <x v="63"/>
    <x v="11"/>
    <x v="6"/>
    <s v="Delhi Capitals"/>
    <x v="4"/>
    <x v="0"/>
    <x v="2"/>
    <s v="runs"/>
    <n v="12"/>
    <s v="N"/>
    <s v="Normal Match"/>
    <s v="DJ Harper"/>
    <s v="SL Shastri"/>
    <x v="1"/>
    <x v="0"/>
  </r>
  <r>
    <s v="392224"/>
    <s v="Durban"/>
    <n v="2009"/>
    <d v="2009-05-14T00:00:00"/>
    <x v="61"/>
    <x v="11"/>
    <x v="0"/>
    <s v="Chennai Super Kings"/>
    <x v="1"/>
    <x v="1"/>
    <x v="3"/>
    <s v="wickets"/>
    <n v="2"/>
    <s v="N"/>
    <s v="Normal Match"/>
    <s v="BR Doctrove"/>
    <s v="DJ Harper"/>
    <x v="1"/>
    <x v="1"/>
  </r>
  <r>
    <s v="392225"/>
    <s v="Durban"/>
    <n v="2009"/>
    <d v="2009-05-14T00:00:00"/>
    <x v="64"/>
    <x v="11"/>
    <x v="3"/>
    <s v="Rajasthan Royals"/>
    <x v="2"/>
    <x v="1"/>
    <x v="4"/>
    <s v="runs"/>
    <n v="2"/>
    <s v="N"/>
    <s v="Normal Match"/>
    <s v="BR Doctrove"/>
    <s v="DJ Harper"/>
    <x v="1"/>
    <x v="0"/>
  </r>
  <r>
    <s v="392226"/>
    <s v="Bloemfontein"/>
    <n v="2009"/>
    <d v="2009-05-15T00:00:00"/>
    <x v="65"/>
    <x v="16"/>
    <x v="2"/>
    <s v="Punjab Kings"/>
    <x v="5"/>
    <x v="0"/>
    <x v="5"/>
    <s v="wickets"/>
    <n v="6"/>
    <s v="N"/>
    <s v="Normal Match"/>
    <s v="HDPK Dharmasena"/>
    <s v="IL Howell"/>
    <x v="1"/>
    <x v="1"/>
  </r>
  <r>
    <s v="392227"/>
    <s v="Port Elizabeth"/>
    <n v="2009"/>
    <d v="2009-05-16T00:00:00"/>
    <x v="7"/>
    <x v="10"/>
    <x v="7"/>
    <s v="Mumbai Indians"/>
    <x v="3"/>
    <x v="1"/>
    <x v="1"/>
    <s v="wickets"/>
    <n v="7"/>
    <s v="N"/>
    <s v="Normal Match"/>
    <s v="SK Tarapore"/>
    <s v="SJA Taufel"/>
    <x v="1"/>
    <x v="1"/>
  </r>
  <r>
    <s v="392228"/>
    <s v="Johannesburg"/>
    <n v="2009"/>
    <d v="2009-05-16T00:00:00"/>
    <x v="57"/>
    <x v="14"/>
    <x v="6"/>
    <s v="Kolkata Knight Riders"/>
    <x v="4"/>
    <x v="0"/>
    <x v="6"/>
    <s v="wickets"/>
    <n v="6"/>
    <s v="N"/>
    <s v="Normal Match"/>
    <s v="RE Koertzen"/>
    <s v="S Ravi"/>
    <x v="1"/>
    <x v="1"/>
  </r>
  <r>
    <s v="392229"/>
    <s v="Johannesburg"/>
    <n v="2009"/>
    <d v="2009-05-17T00:00:00"/>
    <x v="53"/>
    <x v="14"/>
    <x v="6"/>
    <s v="Punjab Kings"/>
    <x v="4"/>
    <x v="0"/>
    <x v="5"/>
    <s v="runs"/>
    <n v="1"/>
    <s v="N"/>
    <s v="Normal Match"/>
    <s v="S Ravi"/>
    <s v="RB Tiffin"/>
    <x v="1"/>
    <x v="0"/>
  </r>
  <r>
    <s v="392230"/>
    <s v="Bloemfontein"/>
    <n v="2009"/>
    <d v="2009-05-17T00:00:00"/>
    <x v="46"/>
    <x v="16"/>
    <x v="2"/>
    <s v="Rajasthan Royals"/>
    <x v="7"/>
    <x v="1"/>
    <x v="2"/>
    <s v="runs"/>
    <n v="14"/>
    <s v="N"/>
    <s v="Normal Match"/>
    <s v="SS Hazare"/>
    <s v="IL Howell"/>
    <x v="1"/>
    <x v="0"/>
  </r>
  <r>
    <s v="392231"/>
    <s v="Centurion"/>
    <n v="2009"/>
    <d v="2009-05-18T00:00:00"/>
    <x v="66"/>
    <x v="12"/>
    <x v="7"/>
    <s v="Kolkata Knight Riders"/>
    <x v="1"/>
    <x v="1"/>
    <x v="0"/>
    <s v="wickets"/>
    <n v="7"/>
    <s v="N"/>
    <s v="Normal Match"/>
    <s v="SJA Taufel"/>
    <s v="RB Tiffin"/>
    <x v="1"/>
    <x v="1"/>
  </r>
  <r>
    <s v="392232"/>
    <s v="Johannesburg"/>
    <n v="2009"/>
    <d v="2009-05-19T00:00:00"/>
    <x v="55"/>
    <x v="14"/>
    <x v="0"/>
    <s v="Delhi Capitals"/>
    <x v="7"/>
    <x v="1"/>
    <x v="3"/>
    <s v="wickets"/>
    <n v="7"/>
    <s v="N"/>
    <s v="Normal Match"/>
    <s v="IL Howell"/>
    <s v="RB Tiffin"/>
    <x v="1"/>
    <x v="1"/>
  </r>
  <r>
    <s v="392233"/>
    <s v="Durban"/>
    <n v="2009"/>
    <d v="2009-05-20T00:00:00"/>
    <x v="67"/>
    <x v="11"/>
    <x v="4"/>
    <s v="Rajasthan Royals"/>
    <x v="6"/>
    <x v="0"/>
    <x v="0"/>
    <s v="wickets"/>
    <n v="4"/>
    <s v="N"/>
    <s v="Normal Match"/>
    <s v="BG Jerling"/>
    <s v="SJA Taufel"/>
    <x v="1"/>
    <x v="1"/>
  </r>
  <r>
    <s v="392234"/>
    <s v="Durban"/>
    <n v="2009"/>
    <d v="2009-05-20T00:00:00"/>
    <x v="44"/>
    <x v="11"/>
    <x v="7"/>
    <s v="Punjab Kings"/>
    <x v="1"/>
    <x v="1"/>
    <x v="1"/>
    <s v="runs"/>
    <n v="24"/>
    <s v="N"/>
    <s v="Normal Match"/>
    <s v="BG Jerling"/>
    <s v="SJA Taufel"/>
    <x v="1"/>
    <x v="0"/>
  </r>
  <r>
    <s v="392235"/>
    <s v="Centurion"/>
    <n v="2009"/>
    <d v="2009-05-21T00:00:00"/>
    <x v="6"/>
    <x v="12"/>
    <x v="2"/>
    <s v="Mumbai Indians"/>
    <x v="7"/>
    <x v="0"/>
    <x v="2"/>
    <s v="wickets"/>
    <n v="4"/>
    <s v="N"/>
    <s v="Normal Match"/>
    <s v="IL Howell"/>
    <s v="S Ravi"/>
    <x v="1"/>
    <x v="1"/>
  </r>
  <r>
    <s v="392236"/>
    <s v="Centurion"/>
    <n v="2009"/>
    <d v="2009-05-21T00:00:00"/>
    <x v="68"/>
    <x v="12"/>
    <x v="0"/>
    <s v="Deccan Chargers"/>
    <x v="0"/>
    <x v="1"/>
    <x v="3"/>
    <s v="runs"/>
    <n v="12"/>
    <s v="N"/>
    <s v="Normal Match"/>
    <s v="IL Howell"/>
    <s v="S Ravi"/>
    <x v="1"/>
    <x v="0"/>
  </r>
  <r>
    <s v="392237"/>
    <s v="Centurion"/>
    <n v="2009"/>
    <d v="2009-05-22T00:00:00"/>
    <x v="11"/>
    <x v="12"/>
    <x v="2"/>
    <s v="Deccan Chargers"/>
    <x v="4"/>
    <x v="0"/>
    <x v="6"/>
    <s v="wickets"/>
    <n v="6"/>
    <s v="N"/>
    <s v="Normal Match"/>
    <s v="BR Doctrove"/>
    <s v="DJ Harper"/>
    <x v="1"/>
    <x v="1"/>
  </r>
  <r>
    <s v="392238"/>
    <s v="Johannesburg"/>
    <n v="2009"/>
    <d v="2009-05-23T00:00:00"/>
    <x v="68"/>
    <x v="14"/>
    <x v="0"/>
    <s v="Chennai Super Kings"/>
    <x v="0"/>
    <x v="0"/>
    <x v="3"/>
    <s v="wickets"/>
    <n v="6"/>
    <s v="N"/>
    <s v="Normal Match"/>
    <s v="RE Koertzen"/>
    <s v="SJA Taufel"/>
    <x v="1"/>
    <x v="1"/>
  </r>
  <r>
    <s v="392239"/>
    <s v="Johannesburg"/>
    <n v="2009"/>
    <d v="2009-05-24T00:00:00"/>
    <x v="34"/>
    <x v="14"/>
    <x v="0"/>
    <s v="Deccan Chargers"/>
    <x v="0"/>
    <x v="0"/>
    <x v="6"/>
    <s v="runs"/>
    <n v="6"/>
    <s v="N"/>
    <s v="Normal Match"/>
    <s v="RE Koertzen"/>
    <s v="SJA Taufel"/>
    <x v="1"/>
    <x v="0"/>
  </r>
  <r>
    <s v="419106"/>
    <s v="Mumbai"/>
    <n v="2010"/>
    <d v="2010-03-12T00:00:00"/>
    <x v="69"/>
    <x v="8"/>
    <x v="6"/>
    <s v="Kolkata Knight Riders"/>
    <x v="4"/>
    <x v="0"/>
    <x v="0"/>
    <s v="runs"/>
    <n v="11"/>
    <s v="N"/>
    <s v="Normal Match"/>
    <s v="RE Koertzen"/>
    <s v="RB Tiffin"/>
    <x v="2"/>
    <x v="0"/>
  </r>
  <r>
    <s v="419107"/>
    <s v="Mumbai"/>
    <n v="2010"/>
    <d v="2010-03-13T00:00:00"/>
    <x v="8"/>
    <x v="17"/>
    <x v="3"/>
    <s v="Rajasthan Royals"/>
    <x v="3"/>
    <x v="1"/>
    <x v="7"/>
    <s v="runs"/>
    <n v="4"/>
    <s v="N"/>
    <s v="Normal Match"/>
    <s v="RE Koertzen"/>
    <s v="RB Tiffin"/>
    <x v="2"/>
    <x v="0"/>
  </r>
  <r>
    <s v="419108"/>
    <s v="Chandigarh"/>
    <n v="2010"/>
    <d v="2010-03-13T00:00:00"/>
    <x v="56"/>
    <x v="1"/>
    <x v="1"/>
    <s v="Delhi Capitals"/>
    <x v="7"/>
    <x v="0"/>
    <x v="2"/>
    <s v="wickets"/>
    <n v="5"/>
    <s v="N"/>
    <s v="Normal Match"/>
    <s v="BR Doctrove"/>
    <s v="S Ravi"/>
    <x v="2"/>
    <x v="1"/>
  </r>
  <r>
    <s v="419109"/>
    <s v="Kolkata"/>
    <n v="2010"/>
    <d v="2010-03-14T00:00:00"/>
    <x v="70"/>
    <x v="4"/>
    <x v="4"/>
    <s v="Royal Challengers Bangalore"/>
    <x v="6"/>
    <x v="0"/>
    <x v="0"/>
    <s v="wickets"/>
    <n v="7"/>
    <s v="N"/>
    <s v="Normal Match"/>
    <s v="HDPK Dharmasena"/>
    <s v="AM Saheba"/>
    <x v="2"/>
    <x v="1"/>
  </r>
  <r>
    <s v="419110"/>
    <s v="Chennai"/>
    <n v="2010"/>
    <d v="2010-03-14T00:00:00"/>
    <x v="71"/>
    <x v="7"/>
    <x v="7"/>
    <s v="Deccan Chargers"/>
    <x v="4"/>
    <x v="1"/>
    <x v="6"/>
    <s v="runs"/>
    <n v="31"/>
    <s v="N"/>
    <s v="Normal Match"/>
    <s v="K Hariharan"/>
    <s v="DJ Harper"/>
    <x v="2"/>
    <x v="0"/>
  </r>
  <r>
    <s v="419111"/>
    <s v="Ahmedabad"/>
    <n v="2010"/>
    <d v="2010-03-15T00:00:00"/>
    <x v="6"/>
    <x v="18"/>
    <x v="5"/>
    <s v="Delhi Capitals"/>
    <x v="7"/>
    <x v="0"/>
    <x v="2"/>
    <s v="wickets"/>
    <n v="6"/>
    <s v="N"/>
    <s v="Normal Match"/>
    <s v="BG Jerling"/>
    <s v="RE Koertzen"/>
    <x v="2"/>
    <x v="1"/>
  </r>
  <r>
    <s v="419112"/>
    <s v="Bangalore"/>
    <n v="2010"/>
    <d v="2010-03-16T00:00:00"/>
    <x v="55"/>
    <x v="0"/>
    <x v="0"/>
    <s v="Punjab Kings"/>
    <x v="5"/>
    <x v="1"/>
    <x v="3"/>
    <s v="wickets"/>
    <n v="8"/>
    <s v="N"/>
    <s v="Normal Match"/>
    <s v="S Das"/>
    <s v="DJ Harper"/>
    <x v="2"/>
    <x v="1"/>
  </r>
  <r>
    <s v="419113"/>
    <s v="Kolkata"/>
    <n v="2010"/>
    <d v="2010-03-16T00:00:00"/>
    <x v="13"/>
    <x v="4"/>
    <x v="4"/>
    <s v="Chennai Super Kings"/>
    <x v="1"/>
    <x v="1"/>
    <x v="1"/>
    <s v="runs"/>
    <n v="55"/>
    <s v="N"/>
    <s v="Normal Match"/>
    <s v="HDPK Dharmasena"/>
    <s v="AM Saheba"/>
    <x v="2"/>
    <x v="0"/>
  </r>
  <r>
    <s v="419114"/>
    <s v="Delhi"/>
    <n v="2010"/>
    <d v="2010-03-17T00:00:00"/>
    <x v="40"/>
    <x v="2"/>
    <x v="2"/>
    <s v="Mumbai Indians"/>
    <x v="7"/>
    <x v="0"/>
    <x v="7"/>
    <s v="runs"/>
    <n v="98"/>
    <s v="N"/>
    <s v="Normal Match"/>
    <s v="BR Doctrove"/>
    <s v="SK Tarapore"/>
    <x v="2"/>
    <x v="0"/>
  </r>
  <r>
    <s v="419115"/>
    <s v="Bangalore"/>
    <n v="2010"/>
    <d v="2010-03-18T00:00:00"/>
    <x v="55"/>
    <x v="0"/>
    <x v="0"/>
    <s v="Rajasthan Royals"/>
    <x v="0"/>
    <x v="0"/>
    <x v="3"/>
    <s v="wickets"/>
    <n v="10"/>
    <s v="N"/>
    <s v="Normal Match"/>
    <s v="K Hariharan"/>
    <s v="DJ Harper"/>
    <x v="2"/>
    <x v="1"/>
  </r>
  <r>
    <s v="419116"/>
    <s v="Delhi"/>
    <n v="2010"/>
    <d v="2010-03-19T00:00:00"/>
    <x v="7"/>
    <x v="2"/>
    <x v="2"/>
    <s v="Chennai Super Kings"/>
    <x v="7"/>
    <x v="1"/>
    <x v="1"/>
    <s v="wickets"/>
    <n v="5"/>
    <s v="N"/>
    <s v="Normal Match"/>
    <s v="BR Doctrove"/>
    <s v="SK Tarapore"/>
    <x v="2"/>
    <x v="1"/>
  </r>
  <r>
    <s v="419117"/>
    <s v="Cuttack"/>
    <n v="2010"/>
    <d v="2010-03-19T00:00:00"/>
    <x v="72"/>
    <x v="19"/>
    <x v="6"/>
    <s v="Punjab Kings"/>
    <x v="5"/>
    <x v="0"/>
    <x v="6"/>
    <s v="runs"/>
    <n v="6"/>
    <s v="N"/>
    <s v="Normal Match"/>
    <s v="BF Bowden"/>
    <s v="M Erasmus"/>
    <x v="2"/>
    <x v="0"/>
  </r>
  <r>
    <s v="419118"/>
    <s v="Ahmedabad"/>
    <n v="2010"/>
    <d v="2010-03-20T00:00:00"/>
    <x v="73"/>
    <x v="18"/>
    <x v="5"/>
    <s v="Kolkata Knight Riders"/>
    <x v="2"/>
    <x v="1"/>
    <x v="4"/>
    <s v="runs"/>
    <n v="34"/>
    <s v="N"/>
    <s v="Normal Match"/>
    <s v="RE Koertzen"/>
    <s v="RB Tiffin"/>
    <x v="2"/>
    <x v="0"/>
  </r>
  <r>
    <s v="419119"/>
    <s v="Mumbai"/>
    <n v="2010"/>
    <d v="2010-03-20T00:00:00"/>
    <x v="55"/>
    <x v="17"/>
    <x v="3"/>
    <s v="Royal Challengers Bangalore"/>
    <x v="3"/>
    <x v="1"/>
    <x v="3"/>
    <s v="wickets"/>
    <n v="7"/>
    <s v="N"/>
    <s v="Normal Match"/>
    <s v="HDPK Dharmasena"/>
    <s v="SS Hazare"/>
    <x v="2"/>
    <x v="1"/>
  </r>
  <r>
    <s v="419120"/>
    <s v="Cuttack"/>
    <n v="2010"/>
    <d v="2010-03-21T00:00:00"/>
    <x v="72"/>
    <x v="19"/>
    <x v="6"/>
    <s v="Delhi Capitals"/>
    <x v="4"/>
    <x v="1"/>
    <x v="6"/>
    <s v="runs"/>
    <n v="10"/>
    <s v="N"/>
    <s v="Normal Match"/>
    <s v="BF Bowden"/>
    <s v="M Erasmus"/>
    <x v="2"/>
    <x v="0"/>
  </r>
  <r>
    <s v="419122"/>
    <s v="Mumbai"/>
    <n v="2010"/>
    <d v="2010-03-22T00:00:00"/>
    <x v="40"/>
    <x v="17"/>
    <x v="3"/>
    <s v="Kolkata Knight Riders"/>
    <x v="6"/>
    <x v="1"/>
    <x v="7"/>
    <s v="wickets"/>
    <n v="7"/>
    <s v="N"/>
    <s v="Normal Match"/>
    <s v="SS Hazare"/>
    <s v="SJA Taufel"/>
    <x v="2"/>
    <x v="1"/>
  </r>
  <r>
    <s v="419123"/>
    <s v="Bangalore"/>
    <n v="2010"/>
    <d v="2010-03-23T00:00:00"/>
    <x v="74"/>
    <x v="0"/>
    <x v="0"/>
    <s v="Chennai Super Kings"/>
    <x v="1"/>
    <x v="0"/>
    <x v="3"/>
    <s v="runs"/>
    <n v="36"/>
    <s v="N"/>
    <s v="Normal Match"/>
    <s v="RE Koertzen"/>
    <s v="RB Tiffin"/>
    <x v="2"/>
    <x v="0"/>
  </r>
  <r>
    <s v="419124"/>
    <s v="Chandigarh"/>
    <n v="2010"/>
    <d v="2010-03-24T00:00:00"/>
    <x v="75"/>
    <x v="1"/>
    <x v="1"/>
    <s v="Rajasthan Royals"/>
    <x v="5"/>
    <x v="0"/>
    <x v="4"/>
    <s v="runs"/>
    <n v="31"/>
    <s v="N"/>
    <s v="Normal Match"/>
    <s v="BR Doctrove"/>
    <s v="SK Tarapore"/>
    <x v="2"/>
    <x v="0"/>
  </r>
  <r>
    <s v="419125"/>
    <s v="Mumbai"/>
    <n v="2010"/>
    <d v="2010-03-25T00:00:00"/>
    <x v="40"/>
    <x v="17"/>
    <x v="3"/>
    <s v="Chennai Super Kings"/>
    <x v="3"/>
    <x v="0"/>
    <x v="7"/>
    <s v="wickets"/>
    <n v="5"/>
    <s v="N"/>
    <s v="Normal Match"/>
    <s v="BF Bowden"/>
    <s v="AM Saheba"/>
    <x v="2"/>
    <x v="1"/>
  </r>
  <r>
    <s v="419126"/>
    <s v="Ahmedabad"/>
    <n v="2010"/>
    <d v="2010-03-26T00:00:00"/>
    <x v="8"/>
    <x v="18"/>
    <x v="5"/>
    <s v="Deccan Chargers"/>
    <x v="4"/>
    <x v="1"/>
    <x v="4"/>
    <s v="wickets"/>
    <n v="8"/>
    <s v="N"/>
    <s v="Normal Match"/>
    <s v="HDPK Dharmasena"/>
    <s v="SJA Taufel"/>
    <x v="2"/>
    <x v="1"/>
  </r>
  <r>
    <s v="419127"/>
    <s v="Chandigarh"/>
    <n v="2010"/>
    <d v="2010-03-27T00:00:00"/>
    <x v="70"/>
    <x v="1"/>
    <x v="1"/>
    <s v="Kolkata Knight Riders"/>
    <x v="6"/>
    <x v="1"/>
    <x v="0"/>
    <s v="runs"/>
    <n v="39"/>
    <s v="N"/>
    <s v="Normal Match"/>
    <s v="BR Doctrove"/>
    <s v="S Ravi"/>
    <x v="2"/>
    <x v="0"/>
  </r>
  <r>
    <s v="419128"/>
    <s v="Bangalore"/>
    <n v="2010"/>
    <d v="2010-03-25T00:00:00"/>
    <x v="76"/>
    <x v="0"/>
    <x v="0"/>
    <s v="Delhi Capitals"/>
    <x v="0"/>
    <x v="0"/>
    <x v="2"/>
    <s v="runs"/>
    <n v="17"/>
    <s v="N"/>
    <s v="Normal Match"/>
    <s v="BG Jerling"/>
    <s v="RE Koertzen"/>
    <x v="2"/>
    <x v="0"/>
  </r>
  <r>
    <s v="419129"/>
    <s v="Ahmedabad"/>
    <n v="2010"/>
    <d v="2010-03-28T00:00:00"/>
    <x v="77"/>
    <x v="18"/>
    <x v="5"/>
    <s v="Chennai Super Kings"/>
    <x v="2"/>
    <x v="1"/>
    <x v="4"/>
    <s v="runs"/>
    <n v="17"/>
    <s v="N"/>
    <s v="Normal Match"/>
    <s v="SS Hazare"/>
    <s v="SJA Taufel"/>
    <x v="2"/>
    <x v="0"/>
  </r>
  <r>
    <s v="419130"/>
    <s v="Mumbai"/>
    <n v="2010"/>
    <d v="2010-03-28T00:00:00"/>
    <x v="62"/>
    <x v="8"/>
    <x v="6"/>
    <s v="Mumbai Indians"/>
    <x v="4"/>
    <x v="0"/>
    <x v="7"/>
    <s v="runs"/>
    <n v="41"/>
    <s v="N"/>
    <s v="Normal Match"/>
    <s v="S Das"/>
    <s v="K Hariharan"/>
    <x v="2"/>
    <x v="0"/>
  </r>
  <r>
    <s v="419131"/>
    <s v="Delhi"/>
    <n v="2010"/>
    <d v="2010-03-29T00:00:00"/>
    <x v="78"/>
    <x v="2"/>
    <x v="2"/>
    <s v="Kolkata Knight Riders"/>
    <x v="7"/>
    <x v="1"/>
    <x v="2"/>
    <s v="runs"/>
    <n v="40"/>
    <s v="N"/>
    <s v="Normal Match"/>
    <s v="SS Hazare"/>
    <s v="SJA Taufel"/>
    <x v="2"/>
    <x v="0"/>
  </r>
  <r>
    <s v="419132"/>
    <s v="Mumbai"/>
    <n v="2010"/>
    <d v="2010-03-30T00:00:00"/>
    <x v="79"/>
    <x v="17"/>
    <x v="3"/>
    <s v="Punjab Kings"/>
    <x v="3"/>
    <x v="0"/>
    <x v="7"/>
    <s v="wickets"/>
    <n v="4"/>
    <s v="N"/>
    <s v="Normal Match"/>
    <s v="BR Doctrove"/>
    <s v="SK Tarapore"/>
    <x v="2"/>
    <x v="1"/>
  </r>
  <r>
    <s v="419133"/>
    <s v="Chennai"/>
    <n v="2010"/>
    <d v="2010-03-31T00:00:00"/>
    <x v="80"/>
    <x v="7"/>
    <x v="7"/>
    <s v="Royal Challengers Bangalore"/>
    <x v="0"/>
    <x v="1"/>
    <x v="1"/>
    <s v="wickets"/>
    <n v="5"/>
    <s v="N"/>
    <s v="Normal Match"/>
    <s v="BG Jerling"/>
    <s v="RE Koertzen"/>
    <x v="2"/>
    <x v="1"/>
  </r>
  <r>
    <s v="419134"/>
    <s v="Delhi"/>
    <n v="2010"/>
    <d v="2010-03-31T00:00:00"/>
    <x v="35"/>
    <x v="2"/>
    <x v="2"/>
    <s v="Rajasthan Royals"/>
    <x v="7"/>
    <x v="1"/>
    <x v="2"/>
    <s v="runs"/>
    <n v="67"/>
    <s v="N"/>
    <s v="Normal Match"/>
    <s v="HDPK Dharmasena"/>
    <s v="SJA Taufel"/>
    <x v="2"/>
    <x v="0"/>
  </r>
  <r>
    <s v="419135"/>
    <s v="Kolkata"/>
    <n v="2010"/>
    <d v="2010-04-01T00:00:00"/>
    <x v="24"/>
    <x v="4"/>
    <x v="4"/>
    <s v="Deccan Chargers"/>
    <x v="6"/>
    <x v="1"/>
    <x v="0"/>
    <s v="runs"/>
    <n v="24"/>
    <s v="N"/>
    <s v="Normal Match"/>
    <s v="K Hariharan"/>
    <s v="DJ Harper"/>
    <x v="2"/>
    <x v="0"/>
  </r>
  <r>
    <s v="419136"/>
    <s v="Chandigarh"/>
    <n v="2010"/>
    <d v="2010-04-02T00:00:00"/>
    <x v="81"/>
    <x v="1"/>
    <x v="1"/>
    <s v="Royal Challengers Bangalore"/>
    <x v="5"/>
    <x v="1"/>
    <x v="3"/>
    <s v="wickets"/>
    <n v="6"/>
    <s v="N"/>
    <s v="Normal Match"/>
    <s v="BF Bowden"/>
    <s v="M Erasmus"/>
    <x v="2"/>
    <x v="1"/>
  </r>
  <r>
    <s v="419137"/>
    <s v="Chennai"/>
    <n v="2010"/>
    <d v="2010-04-03T00:00:00"/>
    <x v="80"/>
    <x v="7"/>
    <x v="7"/>
    <s v="Rajasthan Royals"/>
    <x v="1"/>
    <x v="1"/>
    <x v="1"/>
    <s v="runs"/>
    <n v="23"/>
    <s v="N"/>
    <s v="Normal Match"/>
    <s v="RE Koertzen"/>
    <s v="RB Tiffin"/>
    <x v="2"/>
    <x v="0"/>
  </r>
  <r>
    <s v="419138"/>
    <s v="Mumbai"/>
    <n v="2010"/>
    <d v="2010-04-03T00:00:00"/>
    <x v="82"/>
    <x v="17"/>
    <x v="3"/>
    <s v="Deccan Chargers"/>
    <x v="3"/>
    <x v="1"/>
    <x v="7"/>
    <s v="runs"/>
    <n v="63"/>
    <s v="N"/>
    <s v="Normal Match"/>
    <s v="BR Doctrove"/>
    <s v="S Ravi"/>
    <x v="2"/>
    <x v="0"/>
  </r>
  <r>
    <s v="419139"/>
    <s v="Kolkata"/>
    <n v="2010"/>
    <d v="2010-04-04T00:00:00"/>
    <x v="29"/>
    <x v="4"/>
    <x v="4"/>
    <s v="Punjab Kings"/>
    <x v="6"/>
    <x v="1"/>
    <x v="5"/>
    <s v="wickets"/>
    <n v="8"/>
    <s v="N"/>
    <s v="Normal Match"/>
    <s v="S Asnani"/>
    <s v="DJ Harper"/>
    <x v="2"/>
    <x v="1"/>
  </r>
  <r>
    <s v="419140"/>
    <s v="Delhi"/>
    <n v="2010"/>
    <d v="2010-04-04T00:00:00"/>
    <x v="83"/>
    <x v="2"/>
    <x v="2"/>
    <s v="Royal Challengers Bangalore"/>
    <x v="7"/>
    <x v="1"/>
    <x v="2"/>
    <s v="runs"/>
    <n v="37"/>
    <s v="N"/>
    <s v="Normal Match"/>
    <s v="BF Bowden"/>
    <s v="M Erasmus"/>
    <x v="2"/>
    <x v="0"/>
  </r>
  <r>
    <s v="419141"/>
    <s v="Nagpur"/>
    <n v="2010"/>
    <d v="2010-04-05T00:00:00"/>
    <x v="64"/>
    <x v="20"/>
    <x v="6"/>
    <s v="Rajasthan Royals"/>
    <x v="2"/>
    <x v="1"/>
    <x v="4"/>
    <s v="runs"/>
    <n v="2"/>
    <s v="N"/>
    <s v="Normal Match"/>
    <s v="HDPK Dharmasena"/>
    <s v="SJA Taufel"/>
    <x v="2"/>
    <x v="0"/>
  </r>
  <r>
    <s v="419142"/>
    <s v="Chennai"/>
    <n v="2010"/>
    <d v="2010-04-06T00:00:00"/>
    <x v="39"/>
    <x v="7"/>
    <x v="7"/>
    <s v="Mumbai Indians"/>
    <x v="1"/>
    <x v="1"/>
    <x v="1"/>
    <s v="runs"/>
    <n v="24"/>
    <s v="N"/>
    <s v="Normal Match"/>
    <s v="S Asnani"/>
    <s v="DJ Harper"/>
    <x v="2"/>
    <x v="0"/>
  </r>
  <r>
    <s v="419143"/>
    <s v="Jaipur"/>
    <n v="2010"/>
    <d v="2010-04-07T00:00:00"/>
    <x v="84"/>
    <x v="5"/>
    <x v="5"/>
    <s v="Punjab Kings"/>
    <x v="5"/>
    <x v="1"/>
    <x v="4"/>
    <s v="wickets"/>
    <n v="9"/>
    <s v="N"/>
    <s v="Normal Match"/>
    <s v="S Ravi"/>
    <s v="SK Tarapore"/>
    <x v="2"/>
    <x v="1"/>
  </r>
  <r>
    <s v="419144"/>
    <s v="Kolkata"/>
    <n v="2010"/>
    <d v="2010-04-07T00:00:00"/>
    <x v="24"/>
    <x v="4"/>
    <x v="4"/>
    <s v="Delhi Capitals"/>
    <x v="6"/>
    <x v="1"/>
    <x v="0"/>
    <s v="runs"/>
    <n v="14"/>
    <s v="N"/>
    <s v="Normal Match"/>
    <s v="BG Jerling"/>
    <s v="RE Koertzen"/>
    <x v="2"/>
    <x v="0"/>
  </r>
  <r>
    <s v="419145"/>
    <s v="Bangalore"/>
    <n v="2010"/>
    <d v="2010-04-08T00:00:00"/>
    <x v="85"/>
    <x v="0"/>
    <x v="0"/>
    <s v="Deccan Chargers"/>
    <x v="4"/>
    <x v="0"/>
    <x v="6"/>
    <s v="wickets"/>
    <n v="7"/>
    <s v="N"/>
    <s v="Normal Match"/>
    <s v="S Asnani"/>
    <s v="DJ Harper"/>
    <x v="2"/>
    <x v="1"/>
  </r>
  <r>
    <s v="419146"/>
    <s v="Chandigarh"/>
    <n v="2010"/>
    <d v="2010-04-09T00:00:00"/>
    <x v="9"/>
    <x v="1"/>
    <x v="1"/>
    <s v="Mumbai Indians"/>
    <x v="3"/>
    <x v="1"/>
    <x v="5"/>
    <s v="wickets"/>
    <n v="6"/>
    <s v="N"/>
    <s v="Normal Match"/>
    <s v="M Erasmus"/>
    <s v="AM Saheba"/>
    <x v="2"/>
    <x v="1"/>
  </r>
  <r>
    <s v="419147"/>
    <s v="Nagpur"/>
    <n v="2010"/>
    <d v="2010-04-10T00:00:00"/>
    <x v="86"/>
    <x v="20"/>
    <x v="6"/>
    <s v="Chennai Super Kings"/>
    <x v="1"/>
    <x v="1"/>
    <x v="6"/>
    <s v="wickets"/>
    <n v="6"/>
    <s v="N"/>
    <s v="Normal Match"/>
    <s v="HDPK Dharmasena"/>
    <s v="SJA Taufel"/>
    <x v="2"/>
    <x v="1"/>
  </r>
  <r>
    <s v="419148"/>
    <s v="Bangalore"/>
    <n v="2010"/>
    <d v="2010-04-10T00:00:00"/>
    <x v="18"/>
    <x v="0"/>
    <x v="0"/>
    <s v="Kolkata Knight Riders"/>
    <x v="0"/>
    <x v="0"/>
    <x v="3"/>
    <s v="wickets"/>
    <n v="7"/>
    <s v="N"/>
    <s v="Normal Match"/>
    <s v="K Hariharan"/>
    <s v="DJ Harper"/>
    <x v="2"/>
    <x v="1"/>
  </r>
  <r>
    <s v="419149"/>
    <s v="Delhi"/>
    <n v="2010"/>
    <d v="2010-04-11T00:00:00"/>
    <x v="87"/>
    <x v="2"/>
    <x v="2"/>
    <s v="Punjab Kings"/>
    <x v="7"/>
    <x v="1"/>
    <x v="5"/>
    <s v="wickets"/>
    <n v="7"/>
    <s v="N"/>
    <s v="Normal Match"/>
    <s v="BF Bowden"/>
    <s v="AM Saheba"/>
    <x v="2"/>
    <x v="1"/>
  </r>
  <r>
    <s v="419150"/>
    <s v="Jaipur"/>
    <n v="2010"/>
    <d v="2010-04-11T00:00:00"/>
    <x v="40"/>
    <x v="5"/>
    <x v="5"/>
    <s v="Mumbai Indians"/>
    <x v="2"/>
    <x v="0"/>
    <x v="7"/>
    <s v="runs"/>
    <n v="37"/>
    <s v="N"/>
    <s v="Normal Match"/>
    <s v="BR Doctrove"/>
    <s v="SK Tarapore"/>
    <x v="2"/>
    <x v="0"/>
  </r>
  <r>
    <s v="419151"/>
    <s v="Nagpur"/>
    <n v="2010"/>
    <d v="2010-04-12T00:00:00"/>
    <x v="88"/>
    <x v="20"/>
    <x v="6"/>
    <s v="Royal Challengers Bangalore"/>
    <x v="0"/>
    <x v="0"/>
    <x v="6"/>
    <s v="runs"/>
    <n v="13"/>
    <s v="N"/>
    <s v="Normal Match"/>
    <s v="RE Koertzen"/>
    <s v="RB Tiffin"/>
    <x v="2"/>
    <x v="0"/>
  </r>
  <r>
    <s v="419152"/>
    <s v="Mumbai"/>
    <n v="2010"/>
    <d v="2010-04-13T00:00:00"/>
    <x v="89"/>
    <x v="17"/>
    <x v="3"/>
    <s v="Delhi Capitals"/>
    <x v="3"/>
    <x v="1"/>
    <x v="7"/>
    <s v="runs"/>
    <n v="39"/>
    <s v="N"/>
    <s v="Normal Match"/>
    <s v="S Asnani"/>
    <s v="DJ Harper"/>
    <x v="2"/>
    <x v="0"/>
  </r>
  <r>
    <s v="419153"/>
    <s v="Chennai"/>
    <n v="2010"/>
    <d v="2010-04-13T00:00:00"/>
    <x v="90"/>
    <x v="7"/>
    <x v="7"/>
    <s v="Kolkata Knight Riders"/>
    <x v="6"/>
    <x v="1"/>
    <x v="1"/>
    <s v="wickets"/>
    <n v="9"/>
    <s v="N"/>
    <s v="Normal Match"/>
    <s v="SS Hazare"/>
    <s v="SJA Taufel"/>
    <x v="2"/>
    <x v="1"/>
  </r>
  <r>
    <s v="419154"/>
    <s v="Jaipur"/>
    <n v="2010"/>
    <d v="2010-04-14T00:00:00"/>
    <x v="81"/>
    <x v="5"/>
    <x v="5"/>
    <s v="Royal Challengers Bangalore"/>
    <x v="2"/>
    <x v="1"/>
    <x v="3"/>
    <s v="wickets"/>
    <n v="5"/>
    <s v="N"/>
    <s v="Normal Match"/>
    <s v="BR Doctrove"/>
    <s v="S Ravi"/>
    <x v="2"/>
    <x v="1"/>
  </r>
  <r>
    <s v="419155"/>
    <s v="Chennai"/>
    <n v="2010"/>
    <d v="2010-04-15T00:00:00"/>
    <x v="56"/>
    <x v="7"/>
    <x v="7"/>
    <s v="Delhi Capitals"/>
    <x v="1"/>
    <x v="1"/>
    <x v="2"/>
    <s v="wickets"/>
    <n v="6"/>
    <s v="N"/>
    <s v="Normal Match"/>
    <s v="HDPK Dharmasena"/>
    <s v="SS Hazare"/>
    <x v="2"/>
    <x v="1"/>
  </r>
  <r>
    <s v="419156"/>
    <s v="Dharamsala"/>
    <n v="2010"/>
    <d v="2010-04-16T00:00:00"/>
    <x v="57"/>
    <x v="21"/>
    <x v="1"/>
    <s v="Deccan Chargers"/>
    <x v="4"/>
    <x v="0"/>
    <x v="6"/>
    <s v="wickets"/>
    <n v="5"/>
    <s v="N"/>
    <s v="Normal Match"/>
    <s v="M Erasmus"/>
    <s v="AM Saheba"/>
    <x v="2"/>
    <x v="1"/>
  </r>
  <r>
    <s v="419157"/>
    <s v="Bangalore"/>
    <n v="2010"/>
    <d v="2010-04-17T00:00:00"/>
    <x v="91"/>
    <x v="0"/>
    <x v="0"/>
    <s v="Mumbai Indians"/>
    <x v="0"/>
    <x v="0"/>
    <x v="7"/>
    <s v="runs"/>
    <n v="57"/>
    <s v="N"/>
    <s v="Normal Match"/>
    <s v="HDPK Dharmasena"/>
    <s v="SJA Taufel"/>
    <x v="2"/>
    <x v="0"/>
  </r>
  <r>
    <s v="419158"/>
    <s v="Kolkata"/>
    <n v="2010"/>
    <d v="2010-04-17T00:00:00"/>
    <x v="92"/>
    <x v="4"/>
    <x v="4"/>
    <s v="Rajasthan Royals"/>
    <x v="2"/>
    <x v="1"/>
    <x v="0"/>
    <s v="wickets"/>
    <n v="8"/>
    <s v="N"/>
    <s v="Normal Match"/>
    <s v="BG Jerling"/>
    <s v="RB Tiffin"/>
    <x v="2"/>
    <x v="1"/>
  </r>
  <r>
    <s v="419159"/>
    <s v="Dharamsala"/>
    <n v="2010"/>
    <d v="2010-04-18T00:00:00"/>
    <x v="13"/>
    <x v="21"/>
    <x v="1"/>
    <s v="Chennai Super Kings"/>
    <x v="1"/>
    <x v="0"/>
    <x v="1"/>
    <s v="wickets"/>
    <n v="6"/>
    <s v="N"/>
    <s v="Normal Match"/>
    <s v="BF Bowden"/>
    <s v="AM Saheba"/>
    <x v="2"/>
    <x v="1"/>
  </r>
  <r>
    <s v="419160"/>
    <s v="Delhi"/>
    <n v="2010"/>
    <d v="2010-04-18T00:00:00"/>
    <x v="72"/>
    <x v="2"/>
    <x v="2"/>
    <s v="Deccan Chargers"/>
    <x v="4"/>
    <x v="1"/>
    <x v="6"/>
    <s v="runs"/>
    <n v="11"/>
    <s v="N"/>
    <s v="Normal Match"/>
    <s v="BR Doctrove"/>
    <s v="SK Tarapore"/>
    <x v="2"/>
    <x v="0"/>
  </r>
  <r>
    <s v="419161"/>
    <s v="Kolkata"/>
    <n v="2010"/>
    <d v="2010-04-19T00:00:00"/>
    <x v="93"/>
    <x v="4"/>
    <x v="4"/>
    <s v="Mumbai Indians"/>
    <x v="3"/>
    <x v="1"/>
    <x v="0"/>
    <s v="wickets"/>
    <n v="9"/>
    <s v="N"/>
    <s v="Normal Match"/>
    <s v="BG Jerling"/>
    <s v="RE Koertzen"/>
    <x v="2"/>
    <x v="1"/>
  </r>
  <r>
    <s v="419162"/>
    <s v="Mumbai"/>
    <n v="2010"/>
    <d v="2010-04-21T00:00:00"/>
    <x v="89"/>
    <x v="8"/>
    <x v="0"/>
    <s v="Mumbai Indians"/>
    <x v="3"/>
    <x v="1"/>
    <x v="7"/>
    <s v="runs"/>
    <n v="35"/>
    <s v="N"/>
    <s v="Normal Match"/>
    <s v="BR Doctrove"/>
    <s v="RB Tiffin"/>
    <x v="2"/>
    <x v="0"/>
  </r>
  <r>
    <s v="419163"/>
    <s v="Mumbai"/>
    <n v="2010"/>
    <d v="2010-04-22T00:00:00"/>
    <x v="94"/>
    <x v="8"/>
    <x v="7"/>
    <s v="Deccan Chargers"/>
    <x v="1"/>
    <x v="1"/>
    <x v="1"/>
    <s v="runs"/>
    <n v="38"/>
    <s v="N"/>
    <s v="Normal Match"/>
    <s v="BR Doctrove"/>
    <s v="RB Tiffin"/>
    <x v="2"/>
    <x v="0"/>
  </r>
  <r>
    <s v="419164"/>
    <s v="Mumbai"/>
    <n v="2010"/>
    <d v="2010-04-24T00:00:00"/>
    <x v="34"/>
    <x v="8"/>
    <x v="0"/>
    <s v="Deccan Chargers"/>
    <x v="4"/>
    <x v="1"/>
    <x v="3"/>
    <s v="wickets"/>
    <n v="9"/>
    <s v="N"/>
    <s v="Normal Match"/>
    <s v="RE Koertzen"/>
    <s v="SJA Taufel"/>
    <x v="2"/>
    <x v="1"/>
  </r>
  <r>
    <s v="419165"/>
    <s v="Mumbai"/>
    <n v="2010"/>
    <d v="2010-04-25T00:00:00"/>
    <x v="39"/>
    <x v="8"/>
    <x v="7"/>
    <s v="Mumbai Indians"/>
    <x v="1"/>
    <x v="1"/>
    <x v="1"/>
    <s v="runs"/>
    <n v="22"/>
    <s v="N"/>
    <s v="Normal Match"/>
    <s v="RE Koertzen"/>
    <s v="SJA Taufel"/>
    <x v="2"/>
    <x v="0"/>
  </r>
  <r>
    <s v="501198"/>
    <s v="Chennai"/>
    <n v="2011"/>
    <d v="2011-04-08T00:00:00"/>
    <x v="95"/>
    <x v="7"/>
    <x v="7"/>
    <s v="Kolkata Knight Riders"/>
    <x v="1"/>
    <x v="1"/>
    <x v="1"/>
    <s v="runs"/>
    <n v="2"/>
    <s v="N"/>
    <s v="Normal Match"/>
    <s v="BR Doctrove"/>
    <s v="PR Reiffel"/>
    <x v="3"/>
    <x v="0"/>
  </r>
  <r>
    <s v="501199"/>
    <s v="Hyderabad"/>
    <n v="2011"/>
    <d v="2011-04-09T00:00:00"/>
    <x v="96"/>
    <x v="6"/>
    <x v="6"/>
    <s v="Rajasthan Royals"/>
    <x v="2"/>
    <x v="0"/>
    <x v="4"/>
    <s v="wickets"/>
    <n v="8"/>
    <s v="N"/>
    <s v="Normal Match"/>
    <s v="RE Koertzen"/>
    <s v="SK Tarapore"/>
    <x v="3"/>
    <x v="1"/>
  </r>
  <r>
    <s v="501200"/>
    <s v="Kochi"/>
    <n v="2011"/>
    <d v="2011-04-09T00:00:00"/>
    <x v="46"/>
    <x v="22"/>
    <x v="8"/>
    <s v="Royal Challengers Bangalore"/>
    <x v="8"/>
    <x v="1"/>
    <x v="3"/>
    <s v="wickets"/>
    <n v="6"/>
    <s v="N"/>
    <s v="Normal Match"/>
    <s v="HDPK Dharmasena"/>
    <s v="K Hariharan"/>
    <x v="3"/>
    <x v="1"/>
  </r>
  <r>
    <s v="501201"/>
    <s v="Delhi"/>
    <n v="2011"/>
    <d v="2011-04-10T00:00:00"/>
    <x v="79"/>
    <x v="2"/>
    <x v="2"/>
    <s v="Mumbai Indians"/>
    <x v="7"/>
    <x v="1"/>
    <x v="7"/>
    <s v="wickets"/>
    <n v="8"/>
    <s v="N"/>
    <s v="Normal Match"/>
    <s v="AM Saheba"/>
    <s v="RB Tiffin"/>
    <x v="3"/>
    <x v="1"/>
  </r>
  <r>
    <s v="501202"/>
    <s v="Mumbai"/>
    <n v="2011"/>
    <d v="2011-04-10T00:00:00"/>
    <x v="97"/>
    <x v="8"/>
    <x v="9"/>
    <s v="Punjab Kings"/>
    <x v="5"/>
    <x v="1"/>
    <x v="8"/>
    <s v="wickets"/>
    <n v="7"/>
    <s v="N"/>
    <s v="Normal Match"/>
    <s v="BR Doctrove"/>
    <s v="PR Reiffel"/>
    <x v="3"/>
    <x v="1"/>
  </r>
  <r>
    <s v="501203"/>
    <s v="Kolkata"/>
    <n v="2011"/>
    <d v="2011-04-11T00:00:00"/>
    <x v="55"/>
    <x v="4"/>
    <x v="4"/>
    <s v="Deccan Chargers"/>
    <x v="6"/>
    <x v="1"/>
    <x v="0"/>
    <s v="runs"/>
    <n v="9"/>
    <s v="N"/>
    <s v="Normal Match"/>
    <s v="RE Koertzen"/>
    <s v="SK Tarapore"/>
    <x v="3"/>
    <x v="0"/>
  </r>
  <r>
    <s v="501204"/>
    <s v="Jaipur"/>
    <n v="2011"/>
    <d v="2011-04-12T00:00:00"/>
    <x v="64"/>
    <x v="5"/>
    <x v="5"/>
    <s v="Delhi Capitals"/>
    <x v="7"/>
    <x v="1"/>
    <x v="4"/>
    <s v="wickets"/>
    <n v="6"/>
    <s v="N"/>
    <s v="Normal Match"/>
    <s v="Aleem Dar"/>
    <s v="RB Tiffin"/>
    <x v="3"/>
    <x v="1"/>
  </r>
  <r>
    <s v="501205"/>
    <s v="Bangalore"/>
    <n v="2011"/>
    <d v="2011-04-12T00:00:00"/>
    <x v="40"/>
    <x v="0"/>
    <x v="0"/>
    <s v="Mumbai Indians"/>
    <x v="3"/>
    <x v="0"/>
    <x v="7"/>
    <s v="wickets"/>
    <n v="9"/>
    <s v="N"/>
    <s v="Normal Match"/>
    <s v="HDPK Dharmasena"/>
    <s v="AL Hill"/>
    <x v="3"/>
    <x v="1"/>
  </r>
  <r>
    <s v="501206"/>
    <s v="Chandigarh"/>
    <n v="2011"/>
    <d v="2011-04-13T00:00:00"/>
    <x v="98"/>
    <x v="1"/>
    <x v="1"/>
    <s v="Chennai Super Kings"/>
    <x v="5"/>
    <x v="0"/>
    <x v="5"/>
    <s v="wickets"/>
    <n v="6"/>
    <s v="N"/>
    <s v="Normal Match"/>
    <s v="Asad Rauf"/>
    <s v="SL Shastri"/>
    <x v="3"/>
    <x v="1"/>
  </r>
  <r>
    <s v="501207"/>
    <s v="Mumbai"/>
    <n v="2011"/>
    <d v="2011-04-13T00:00:00"/>
    <x v="99"/>
    <x v="8"/>
    <x v="9"/>
    <s v="Kochi Tuskers Kerala"/>
    <x v="8"/>
    <x v="1"/>
    <x v="8"/>
    <s v="wickets"/>
    <n v="4"/>
    <s v="N"/>
    <s v="Normal Match"/>
    <s v="S Asnani"/>
    <s v="PR Reiffel"/>
    <x v="3"/>
    <x v="1"/>
  </r>
  <r>
    <s v="501208"/>
    <s v="Hyderabad"/>
    <n v="2011"/>
    <d v="2011-04-14T00:00:00"/>
    <x v="100"/>
    <x v="6"/>
    <x v="6"/>
    <s v="Royal Challengers Bangalore"/>
    <x v="0"/>
    <x v="0"/>
    <x v="6"/>
    <s v="runs"/>
    <n v="33"/>
    <s v="N"/>
    <s v="Normal Match"/>
    <s v="RE Koertzen"/>
    <s v="S Ravi"/>
    <x v="3"/>
    <x v="0"/>
  </r>
  <r>
    <s v="501209"/>
    <s v="Jaipur"/>
    <n v="2011"/>
    <d v="2011-04-15T00:00:00"/>
    <x v="56"/>
    <x v="5"/>
    <x v="5"/>
    <s v="Kolkata Knight Riders"/>
    <x v="6"/>
    <x v="0"/>
    <x v="0"/>
    <s v="wickets"/>
    <n v="9"/>
    <s v="N"/>
    <s v="Normal Match"/>
    <s v="Aleem Dar"/>
    <s v="SS Hazare"/>
    <x v="3"/>
    <x v="1"/>
  </r>
  <r>
    <s v="501210"/>
    <s v="Mumbai"/>
    <n v="2011"/>
    <d v="2011-04-15T00:00:00"/>
    <x v="0"/>
    <x v="3"/>
    <x v="3"/>
    <s v="Kochi Tuskers Kerala"/>
    <x v="8"/>
    <x v="0"/>
    <x v="9"/>
    <s v="wickets"/>
    <n v="8"/>
    <s v="N"/>
    <s v="Normal Match"/>
    <s v="BR Doctrove"/>
    <s v="PR Reiffel"/>
    <x v="3"/>
    <x v="1"/>
  </r>
  <r>
    <s v="501211"/>
    <s v="Chennai"/>
    <n v="2011"/>
    <d v="2011-04-16T00:00:00"/>
    <x v="1"/>
    <x v="7"/>
    <x v="7"/>
    <s v="Royal Challengers Bangalore"/>
    <x v="1"/>
    <x v="1"/>
    <x v="1"/>
    <s v="runs"/>
    <n v="21"/>
    <s v="N"/>
    <s v="Normal Match"/>
    <s v="HDPK Dharmasena"/>
    <s v="AL Hill"/>
    <x v="3"/>
    <x v="0"/>
  </r>
  <r>
    <s v="501212"/>
    <s v="Hyderabad"/>
    <n v="2011"/>
    <d v="2011-04-16T00:00:00"/>
    <x v="98"/>
    <x v="6"/>
    <x v="6"/>
    <s v="Punjab Kings"/>
    <x v="5"/>
    <x v="0"/>
    <x v="5"/>
    <s v="wickets"/>
    <n v="8"/>
    <s v="N"/>
    <s v="Normal Match"/>
    <s v="RE Koertzen"/>
    <s v="S Ravi"/>
    <x v="3"/>
    <x v="1"/>
  </r>
  <r>
    <s v="501213"/>
    <s v="Mumbai"/>
    <n v="2011"/>
    <d v="2011-04-17T00:00:00"/>
    <x v="53"/>
    <x v="8"/>
    <x v="9"/>
    <s v="Delhi Capitals"/>
    <x v="7"/>
    <x v="0"/>
    <x v="2"/>
    <s v="wickets"/>
    <n v="3"/>
    <s v="N"/>
    <s v="Normal Match"/>
    <s v="Asad Rauf"/>
    <s v="AM Saheba"/>
    <x v="3"/>
    <x v="1"/>
  </r>
  <r>
    <s v="501214"/>
    <s v="Kolkata"/>
    <n v="2011"/>
    <d v="2011-04-17T00:00:00"/>
    <x v="26"/>
    <x v="4"/>
    <x v="4"/>
    <s v="Rajasthan Royals"/>
    <x v="6"/>
    <x v="0"/>
    <x v="0"/>
    <s v="wickets"/>
    <n v="8"/>
    <s v="N"/>
    <s v="Normal Match"/>
    <s v="Aleem Dar"/>
    <s v="RB Tiffin"/>
    <x v="3"/>
    <x v="1"/>
  </r>
  <r>
    <s v="501215"/>
    <s v="Kochi"/>
    <n v="2011"/>
    <d v="2011-04-18T00:00:00"/>
    <x v="0"/>
    <x v="22"/>
    <x v="8"/>
    <s v="Chennai Super Kings"/>
    <x v="8"/>
    <x v="0"/>
    <x v="9"/>
    <s v="wickets"/>
    <n v="7"/>
    <s v="N"/>
    <s v="D/L"/>
    <s v="K Hariharan"/>
    <s v="AL Hill"/>
    <x v="3"/>
    <x v="1"/>
  </r>
  <r>
    <s v="501216"/>
    <s v="Delhi"/>
    <n v="2011"/>
    <d v="2011-04-19T00:00:00"/>
    <x v="101"/>
    <x v="2"/>
    <x v="2"/>
    <s v="Deccan Chargers"/>
    <x v="4"/>
    <x v="1"/>
    <x v="6"/>
    <s v="runs"/>
    <n v="16"/>
    <s v="N"/>
    <s v="Normal Match"/>
    <s v="PR Reiffel"/>
    <s v="RJ Tucker"/>
    <x v="3"/>
    <x v="0"/>
  </r>
  <r>
    <s v="501218"/>
    <s v="Mumbai"/>
    <n v="2011"/>
    <d v="2011-04-20T00:00:00"/>
    <x v="102"/>
    <x v="3"/>
    <x v="3"/>
    <s v="Pune Warriors"/>
    <x v="9"/>
    <x v="1"/>
    <x v="7"/>
    <s v="wickets"/>
    <n v="7"/>
    <s v="N"/>
    <s v="Normal Match"/>
    <s v="Asad Rauf"/>
    <s v="AM Saheba"/>
    <x v="3"/>
    <x v="1"/>
  </r>
  <r>
    <s v="501219"/>
    <s v="Kolkata"/>
    <n v="2011"/>
    <d v="2011-04-20T00:00:00"/>
    <x v="29"/>
    <x v="4"/>
    <x v="4"/>
    <s v="Kochi Tuskers Kerala"/>
    <x v="6"/>
    <x v="0"/>
    <x v="9"/>
    <s v="runs"/>
    <n v="6"/>
    <s v="N"/>
    <s v="Normal Match"/>
    <s v="Aleem Dar"/>
    <s v="RB Tiffin"/>
    <x v="3"/>
    <x v="0"/>
  </r>
  <r>
    <s v="501220"/>
    <s v="Chandigarh"/>
    <n v="2011"/>
    <d v="2011-04-21T00:00:00"/>
    <x v="16"/>
    <x v="1"/>
    <x v="1"/>
    <s v="Rajasthan Royals"/>
    <x v="2"/>
    <x v="0"/>
    <x v="5"/>
    <s v="runs"/>
    <n v="48"/>
    <s v="N"/>
    <s v="Normal Match"/>
    <s v="S Asnani"/>
    <s v="PR Reiffel"/>
    <x v="3"/>
    <x v="0"/>
  </r>
  <r>
    <s v="501221"/>
    <s v="Mumbai"/>
    <n v="2011"/>
    <d v="2011-04-22T00:00:00"/>
    <x v="62"/>
    <x v="3"/>
    <x v="3"/>
    <s v="Chennai Super Kings"/>
    <x v="1"/>
    <x v="0"/>
    <x v="7"/>
    <s v="runs"/>
    <n v="8"/>
    <s v="N"/>
    <s v="Normal Match"/>
    <s v="Asad Rauf"/>
    <s v="AM Saheba"/>
    <x v="3"/>
    <x v="0"/>
  </r>
  <r>
    <s v="501222"/>
    <s v="Kolkata"/>
    <n v="2011"/>
    <d v="2011-04-22T00:00:00"/>
    <x v="45"/>
    <x v="4"/>
    <x v="4"/>
    <s v="Royal Challengers Bangalore"/>
    <x v="0"/>
    <x v="0"/>
    <x v="3"/>
    <s v="wickets"/>
    <n v="9"/>
    <s v="N"/>
    <s v="Normal Match"/>
    <s v="SS Hazare"/>
    <s v="RB Tiffin"/>
    <x v="3"/>
    <x v="1"/>
  </r>
  <r>
    <s v="501223"/>
    <s v="Delhi"/>
    <n v="2011"/>
    <d v="2011-04-23T00:00:00"/>
    <x v="78"/>
    <x v="2"/>
    <x v="2"/>
    <s v="Punjab Kings"/>
    <x v="5"/>
    <x v="0"/>
    <x v="2"/>
    <s v="runs"/>
    <n v="29"/>
    <s v="N"/>
    <s v="Normal Match"/>
    <s v="S Asnani"/>
    <s v="RE Koertzen"/>
    <x v="3"/>
    <x v="0"/>
  </r>
  <r>
    <s v="501224"/>
    <s v="Hyderabad"/>
    <n v="2011"/>
    <d v="2011-04-24T00:00:00"/>
    <x v="79"/>
    <x v="6"/>
    <x v="6"/>
    <s v="Mumbai Indians"/>
    <x v="4"/>
    <x v="0"/>
    <x v="7"/>
    <s v="runs"/>
    <n v="37"/>
    <s v="N"/>
    <s v="Normal Match"/>
    <s v="HDPK Dharmasena"/>
    <s v="AL Hill"/>
    <x v="3"/>
    <x v="0"/>
  </r>
  <r>
    <s v="501225"/>
    <s v="Jaipur"/>
    <n v="2011"/>
    <d v="2011-04-24T00:00:00"/>
    <x v="64"/>
    <x v="5"/>
    <x v="5"/>
    <s v="Kochi Tuskers Kerala"/>
    <x v="2"/>
    <x v="0"/>
    <x v="4"/>
    <s v="wickets"/>
    <n v="8"/>
    <s v="N"/>
    <s v="Normal Match"/>
    <s v="BR Doctrove"/>
    <s v="SK Tarapore"/>
    <x v="3"/>
    <x v="1"/>
  </r>
  <r>
    <s v="501226"/>
    <s v="Chennai"/>
    <n v="2011"/>
    <d v="2011-04-25T00:00:00"/>
    <x v="1"/>
    <x v="7"/>
    <x v="7"/>
    <s v="Pune Warriors"/>
    <x v="9"/>
    <x v="0"/>
    <x v="1"/>
    <s v="runs"/>
    <n v="25"/>
    <s v="N"/>
    <s v="Normal Match"/>
    <s v="Aleem Dar"/>
    <s v="RB Tiffin"/>
    <x v="3"/>
    <x v="0"/>
  </r>
  <r>
    <s v="501227"/>
    <s v="Delhi"/>
    <n v="2011"/>
    <d v="2011-04-26T00:00:00"/>
    <x v="103"/>
    <x v="2"/>
    <x v="2"/>
    <s v="Royal Challengers Bangalore"/>
    <x v="0"/>
    <x v="0"/>
    <x v="3"/>
    <s v="wickets"/>
    <n v="3"/>
    <s v="N"/>
    <s v="Normal Match"/>
    <s v="S Asnani"/>
    <s v="RJ Tucker"/>
    <x v="3"/>
    <x v="1"/>
  </r>
  <r>
    <s v="501228"/>
    <s v="Mumbai"/>
    <n v="2011"/>
    <d v="2011-04-27T00:00:00"/>
    <x v="94"/>
    <x v="8"/>
    <x v="9"/>
    <s v="Chennai Super Kings"/>
    <x v="9"/>
    <x v="1"/>
    <x v="1"/>
    <s v="wickets"/>
    <n v="8"/>
    <s v="N"/>
    <s v="Normal Match"/>
    <s v="Asad Rauf"/>
    <s v="SL Shastri"/>
    <x v="3"/>
    <x v="1"/>
  </r>
  <r>
    <s v="501229"/>
    <s v="Kochi"/>
    <n v="2011"/>
    <d v="2011-04-27T00:00:00"/>
    <x v="104"/>
    <x v="22"/>
    <x v="8"/>
    <s v="Deccan Chargers"/>
    <x v="8"/>
    <x v="0"/>
    <x v="6"/>
    <s v="runs"/>
    <n v="55"/>
    <s v="N"/>
    <s v="Normal Match"/>
    <s v="HDPK Dharmasena"/>
    <s v="AL Hill"/>
    <x v="3"/>
    <x v="0"/>
  </r>
  <r>
    <s v="501230"/>
    <s v="Delhi"/>
    <n v="2011"/>
    <d v="2011-04-28T00:00:00"/>
    <x v="70"/>
    <x v="2"/>
    <x v="2"/>
    <s v="Kolkata Knight Riders"/>
    <x v="7"/>
    <x v="0"/>
    <x v="0"/>
    <s v="runs"/>
    <n v="17"/>
    <s v="N"/>
    <s v="Normal Match"/>
    <s v="PR Reiffel"/>
    <s v="RJ Tucker"/>
    <x v="3"/>
    <x v="0"/>
  </r>
  <r>
    <s v="501231"/>
    <s v="Jaipur"/>
    <n v="2011"/>
    <d v="2011-04-29T00:00:00"/>
    <x v="105"/>
    <x v="5"/>
    <x v="5"/>
    <s v="Mumbai Indians"/>
    <x v="2"/>
    <x v="0"/>
    <x v="4"/>
    <s v="wickets"/>
    <n v="7"/>
    <s v="N"/>
    <s v="Normal Match"/>
    <s v="Asad Rauf"/>
    <s v="SK Tarapore"/>
    <x v="3"/>
    <x v="1"/>
  </r>
  <r>
    <s v="501232"/>
    <s v="Bangalore"/>
    <n v="2011"/>
    <d v="2011-04-29T00:00:00"/>
    <x v="103"/>
    <x v="0"/>
    <x v="0"/>
    <s v="Pune Warriors"/>
    <x v="9"/>
    <x v="0"/>
    <x v="3"/>
    <s v="runs"/>
    <n v="26"/>
    <s v="N"/>
    <s v="Normal Match"/>
    <s v="Aleem Dar"/>
    <s v="SS Hazare"/>
    <x v="3"/>
    <x v="0"/>
  </r>
  <r>
    <s v="501233"/>
    <s v="Kochi"/>
    <n v="2011"/>
    <d v="2011-04-30T00:00:00"/>
    <x v="6"/>
    <x v="22"/>
    <x v="8"/>
    <s v="Delhi Capitals"/>
    <x v="7"/>
    <x v="1"/>
    <x v="2"/>
    <s v="runs"/>
    <n v="38"/>
    <s v="N"/>
    <s v="Normal Match"/>
    <s v="HDPK Dharmasena"/>
    <s v="AL Hill"/>
    <x v="3"/>
    <x v="0"/>
  </r>
  <r>
    <s v="501234"/>
    <s v="Kolkata"/>
    <n v="2011"/>
    <d v="2011-04-30T00:00:00"/>
    <x v="106"/>
    <x v="4"/>
    <x v="4"/>
    <s v="Punjab Kings"/>
    <x v="6"/>
    <x v="0"/>
    <x v="0"/>
    <s v="wickets"/>
    <n v="8"/>
    <s v="N"/>
    <s v="Normal Match"/>
    <s v="AM Saheba"/>
    <s v="SL Shastri"/>
    <x v="3"/>
    <x v="1"/>
  </r>
  <r>
    <s v="501235"/>
    <s v="Jaipur"/>
    <n v="2011"/>
    <d v="2011-05-01T00:00:00"/>
    <x v="61"/>
    <x v="5"/>
    <x v="5"/>
    <s v="Pune Warriors"/>
    <x v="2"/>
    <x v="0"/>
    <x v="4"/>
    <s v="wickets"/>
    <n v="6"/>
    <s v="N"/>
    <s v="Normal Match"/>
    <s v="SK Tarapore"/>
    <s v="SJA Taufel"/>
    <x v="3"/>
    <x v="1"/>
  </r>
  <r>
    <s v="501236"/>
    <s v="Chennai"/>
    <n v="2011"/>
    <d v="2011-05-01T00:00:00"/>
    <x v="36"/>
    <x v="7"/>
    <x v="7"/>
    <s v="Deccan Chargers"/>
    <x v="1"/>
    <x v="1"/>
    <x v="1"/>
    <s v="runs"/>
    <n v="19"/>
    <s v="N"/>
    <s v="Normal Match"/>
    <s v="Aleem Dar"/>
    <s v="RB Tiffin"/>
    <x v="3"/>
    <x v="0"/>
  </r>
  <r>
    <s v="501237"/>
    <s v="Mumbai"/>
    <n v="2011"/>
    <d v="2011-05-02T00:00:00"/>
    <x v="89"/>
    <x v="3"/>
    <x v="3"/>
    <s v="Punjab Kings"/>
    <x v="5"/>
    <x v="0"/>
    <x v="7"/>
    <s v="runs"/>
    <n v="23"/>
    <s v="N"/>
    <s v="Normal Match"/>
    <s v="HDPK Dharmasena"/>
    <s v="PR Reiffel"/>
    <x v="3"/>
    <x v="0"/>
  </r>
  <r>
    <s v="501238"/>
    <s v="Delhi"/>
    <n v="2011"/>
    <d v="2011-05-02T00:00:00"/>
    <x v="107"/>
    <x v="2"/>
    <x v="2"/>
    <s v="Kochi Tuskers Kerala"/>
    <x v="8"/>
    <x v="0"/>
    <x v="9"/>
    <s v="wickets"/>
    <n v="7"/>
    <s v="N"/>
    <s v="Normal Match"/>
    <s v="Asad Rauf"/>
    <s v="SL Shastri"/>
    <x v="3"/>
    <x v="1"/>
  </r>
  <r>
    <s v="501239"/>
    <s v="Hyderabad"/>
    <n v="2011"/>
    <d v="2011-05-03T00:00:00"/>
    <x v="8"/>
    <x v="6"/>
    <x v="6"/>
    <s v="Kolkata Knight Riders"/>
    <x v="4"/>
    <x v="0"/>
    <x v="0"/>
    <s v="runs"/>
    <n v="20"/>
    <s v="N"/>
    <s v="Normal Match"/>
    <s v="S Asnani"/>
    <s v="RJ Tucker"/>
    <x v="3"/>
    <x v="0"/>
  </r>
  <r>
    <s v="501240"/>
    <s v="Chennai"/>
    <n v="2011"/>
    <d v="2011-05-04T00:00:00"/>
    <x v="1"/>
    <x v="7"/>
    <x v="7"/>
    <s v="Rajasthan Royals"/>
    <x v="2"/>
    <x v="1"/>
    <x v="1"/>
    <s v="wickets"/>
    <n v="8"/>
    <s v="N"/>
    <s v="Normal Match"/>
    <s v="SS Hazare"/>
    <s v="RB Tiffin"/>
    <x v="3"/>
    <x v="1"/>
  </r>
  <r>
    <s v="501241"/>
    <s v="Mumbai"/>
    <n v="2011"/>
    <d v="2011-05-04T00:00:00"/>
    <x v="108"/>
    <x v="8"/>
    <x v="9"/>
    <s v="Mumbai Indians"/>
    <x v="9"/>
    <x v="0"/>
    <x v="7"/>
    <s v="runs"/>
    <n v="21"/>
    <s v="N"/>
    <s v="Normal Match"/>
    <s v="HDPK Dharmasena"/>
    <s v="SJA Taufel"/>
    <x v="3"/>
    <x v="0"/>
  </r>
  <r>
    <s v="501242"/>
    <s v="Kochi"/>
    <n v="2011"/>
    <d v="2011-05-05T00:00:00"/>
    <x v="66"/>
    <x v="22"/>
    <x v="8"/>
    <s v="Kolkata Knight Riders"/>
    <x v="6"/>
    <x v="0"/>
    <x v="9"/>
    <s v="runs"/>
    <n v="17"/>
    <s v="N"/>
    <s v="Normal Match"/>
    <s v="S Ravi"/>
    <s v="RJ Tucker"/>
    <x v="3"/>
    <x v="0"/>
  </r>
  <r>
    <s v="501243"/>
    <s v="Hyderabad"/>
    <n v="2011"/>
    <d v="2011-05-05T00:00:00"/>
    <x v="6"/>
    <x v="6"/>
    <x v="6"/>
    <s v="Delhi Capitals"/>
    <x v="7"/>
    <x v="0"/>
    <x v="2"/>
    <s v="wickets"/>
    <n v="4"/>
    <s v="N"/>
    <s v="Normal Match"/>
    <s v="Asad Rauf"/>
    <s v="AM Saheba"/>
    <x v="3"/>
    <x v="1"/>
  </r>
  <r>
    <s v="501244"/>
    <s v="Bangalore"/>
    <n v="2011"/>
    <d v="2011-05-06T00:00:00"/>
    <x v="45"/>
    <x v="0"/>
    <x v="0"/>
    <s v="Punjab Kings"/>
    <x v="5"/>
    <x v="0"/>
    <x v="3"/>
    <s v="runs"/>
    <n v="85"/>
    <s v="N"/>
    <s v="Normal Match"/>
    <s v="Aleem Dar"/>
    <s v="RB Tiffin"/>
    <x v="3"/>
    <x v="0"/>
  </r>
  <r>
    <s v="501245"/>
    <s v="Kolkata"/>
    <n v="2011"/>
    <d v="2011-05-07T00:00:00"/>
    <x v="106"/>
    <x v="4"/>
    <x v="4"/>
    <s v="Chennai Super Kings"/>
    <x v="1"/>
    <x v="1"/>
    <x v="0"/>
    <s v="runs"/>
    <n v="10"/>
    <s v="N"/>
    <s v="D/L"/>
    <s v="Asad Rauf"/>
    <s v="PR Reiffel"/>
    <x v="3"/>
    <x v="0"/>
  </r>
  <r>
    <s v="501246"/>
    <s v="Mumbai"/>
    <n v="2011"/>
    <d v="2011-05-07T00:00:00"/>
    <x v="82"/>
    <x v="3"/>
    <x v="3"/>
    <s v="Delhi Capitals"/>
    <x v="7"/>
    <x v="0"/>
    <x v="7"/>
    <s v="runs"/>
    <n v="32"/>
    <s v="N"/>
    <s v="Normal Match"/>
    <s v="K Hariharan"/>
    <s v="SJA Taufel"/>
    <x v="3"/>
    <x v="0"/>
  </r>
  <r>
    <s v="501247"/>
    <s v="Bangalore"/>
    <n v="2011"/>
    <d v="2011-05-08T00:00:00"/>
    <x v="45"/>
    <x v="0"/>
    <x v="0"/>
    <s v="Kochi Tuskers Kerala"/>
    <x v="8"/>
    <x v="1"/>
    <x v="3"/>
    <s v="wickets"/>
    <n v="9"/>
    <s v="N"/>
    <s v="Normal Match"/>
    <s v="Aleem Dar"/>
    <s v="SS Hazare"/>
    <x v="3"/>
    <x v="1"/>
  </r>
  <r>
    <s v="501248"/>
    <s v="Chandigarh"/>
    <n v="2011"/>
    <d v="2011-05-08T00:00:00"/>
    <x v="108"/>
    <x v="1"/>
    <x v="1"/>
    <s v="Pune Warriors"/>
    <x v="5"/>
    <x v="1"/>
    <x v="8"/>
    <s v="wickets"/>
    <n v="5"/>
    <s v="N"/>
    <s v="Normal Match"/>
    <s v="SK Tarapore"/>
    <s v="RJ Tucker"/>
    <x v="3"/>
    <x v="1"/>
  </r>
  <r>
    <s v="501249"/>
    <s v="Jaipur"/>
    <n v="2011"/>
    <d v="2011-05-09T00:00:00"/>
    <x v="80"/>
    <x v="5"/>
    <x v="5"/>
    <s v="Chennai Super Kings"/>
    <x v="2"/>
    <x v="0"/>
    <x v="1"/>
    <s v="runs"/>
    <n v="63"/>
    <s v="N"/>
    <s v="Normal Match"/>
    <s v="K Hariharan"/>
    <s v="SJA Taufel"/>
    <x v="3"/>
    <x v="0"/>
  </r>
  <r>
    <s v="501250"/>
    <s v="Hyderabad"/>
    <n v="2011"/>
    <d v="2011-05-10T00:00:00"/>
    <x v="109"/>
    <x v="6"/>
    <x v="6"/>
    <s v="Pune Warriors"/>
    <x v="4"/>
    <x v="1"/>
    <x v="8"/>
    <s v="wickets"/>
    <n v="6"/>
    <s v="N"/>
    <s v="Normal Match"/>
    <s v="Asad Rauf"/>
    <s v="AM Saheba"/>
    <x v="3"/>
    <x v="1"/>
  </r>
  <r>
    <s v="501251"/>
    <s v="Chandigarh"/>
    <n v="2011"/>
    <d v="2011-05-10T00:00:00"/>
    <x v="110"/>
    <x v="1"/>
    <x v="1"/>
    <s v="Mumbai Indians"/>
    <x v="3"/>
    <x v="0"/>
    <x v="5"/>
    <s v="runs"/>
    <n v="76"/>
    <s v="N"/>
    <s v="Normal Match"/>
    <s v="SK Tarapore"/>
    <s v="RJ Tucker"/>
    <x v="3"/>
    <x v="0"/>
  </r>
  <r>
    <s v="501252"/>
    <s v="Jaipur"/>
    <n v="2011"/>
    <d v="2011-05-11T00:00:00"/>
    <x v="111"/>
    <x v="5"/>
    <x v="5"/>
    <s v="Royal Challengers Bangalore"/>
    <x v="0"/>
    <x v="0"/>
    <x v="3"/>
    <s v="wickets"/>
    <n v="9"/>
    <s v="N"/>
    <s v="Normal Match"/>
    <s v="HDPK Dharmasena"/>
    <s v="K Hariharan"/>
    <x v="3"/>
    <x v="1"/>
  </r>
  <r>
    <s v="501253"/>
    <s v="Chennai"/>
    <n v="2011"/>
    <d v="2011-05-12T00:00:00"/>
    <x v="13"/>
    <x v="7"/>
    <x v="7"/>
    <s v="Delhi Capitals"/>
    <x v="1"/>
    <x v="1"/>
    <x v="1"/>
    <s v="runs"/>
    <n v="18"/>
    <s v="N"/>
    <s v="Normal Match"/>
    <s v="AM Saheba"/>
    <s v="SL Shastri"/>
    <x v="3"/>
    <x v="0"/>
  </r>
  <r>
    <s v="501254"/>
    <s v="Indore"/>
    <n v="2011"/>
    <d v="2011-05-13T00:00:00"/>
    <x v="35"/>
    <x v="23"/>
    <x v="8"/>
    <s v="Punjab Kings"/>
    <x v="5"/>
    <x v="0"/>
    <x v="5"/>
    <s v="wickets"/>
    <n v="6"/>
    <s v="N"/>
    <s v="Normal Match"/>
    <s v="S Asnani"/>
    <s v="RJ Tucker"/>
    <x v="3"/>
    <x v="1"/>
  </r>
  <r>
    <s v="501255"/>
    <s v="Bangalore"/>
    <n v="2011"/>
    <d v="2011-05-14T00:00:00"/>
    <x v="45"/>
    <x v="0"/>
    <x v="0"/>
    <s v="Kolkata Knight Riders"/>
    <x v="0"/>
    <x v="0"/>
    <x v="3"/>
    <s v="wickets"/>
    <n v="4"/>
    <s v="N"/>
    <s v="D/L"/>
    <s v="RE Koertzen"/>
    <s v="RB Tiffin"/>
    <x v="3"/>
    <x v="1"/>
  </r>
  <r>
    <s v="501256"/>
    <s v="Mumbai"/>
    <n v="2011"/>
    <d v="2011-05-14T00:00:00"/>
    <x v="28"/>
    <x v="3"/>
    <x v="3"/>
    <s v="Deccan Chargers"/>
    <x v="4"/>
    <x v="1"/>
    <x v="6"/>
    <s v="runs"/>
    <n v="10"/>
    <s v="N"/>
    <s v="Normal Match"/>
    <s v="S Ravi"/>
    <s v="SK Tarapore"/>
    <x v="3"/>
    <x v="0"/>
  </r>
  <r>
    <s v="501257"/>
    <s v="Dharamsala"/>
    <n v="2011"/>
    <d v="2011-05-15T00:00:00"/>
    <x v="87"/>
    <x v="21"/>
    <x v="1"/>
    <s v="Delhi Capitals"/>
    <x v="7"/>
    <x v="0"/>
    <x v="5"/>
    <s v="runs"/>
    <n v="29"/>
    <s v="N"/>
    <s v="Normal Match"/>
    <s v="Asad Rauf"/>
    <s v="SL Shastri"/>
    <x v="3"/>
    <x v="0"/>
  </r>
  <r>
    <s v="501258"/>
    <s v="Indore"/>
    <n v="2011"/>
    <d v="2011-05-15T00:00:00"/>
    <x v="66"/>
    <x v="23"/>
    <x v="8"/>
    <s v="Rajasthan Royals"/>
    <x v="8"/>
    <x v="0"/>
    <x v="9"/>
    <s v="wickets"/>
    <n v="8"/>
    <s v="N"/>
    <s v="Normal Match"/>
    <s v="PR Reiffel"/>
    <s v="RJ Tucker"/>
    <x v="3"/>
    <x v="1"/>
  </r>
  <r>
    <s v="501259"/>
    <s v="Mumbai"/>
    <n v="2011"/>
    <d v="2011-05-16T00:00:00"/>
    <x v="28"/>
    <x v="8"/>
    <x v="9"/>
    <s v="Deccan Chargers"/>
    <x v="4"/>
    <x v="0"/>
    <x v="6"/>
    <s v="wickets"/>
    <n v="6"/>
    <s v="N"/>
    <s v="Normal Match"/>
    <s v="S Ravi"/>
    <s v="SK Tarapore"/>
    <x v="3"/>
    <x v="1"/>
  </r>
  <r>
    <s v="501260"/>
    <s v="Dharamsala"/>
    <n v="2011"/>
    <d v="2011-05-17T00:00:00"/>
    <x v="11"/>
    <x v="21"/>
    <x v="1"/>
    <s v="Royal Challengers Bangalore"/>
    <x v="5"/>
    <x v="1"/>
    <x v="5"/>
    <s v="runs"/>
    <n v="111"/>
    <s v="N"/>
    <s v="Normal Match"/>
    <s v="Asad Rauf"/>
    <s v="AM Saheba"/>
    <x v="3"/>
    <x v="0"/>
  </r>
  <r>
    <s v="501261"/>
    <s v="Chennai"/>
    <n v="2011"/>
    <d v="2011-05-18T00:00:00"/>
    <x v="112"/>
    <x v="7"/>
    <x v="7"/>
    <s v="Kochi Tuskers Kerala"/>
    <x v="1"/>
    <x v="1"/>
    <x v="1"/>
    <s v="runs"/>
    <n v="11"/>
    <s v="N"/>
    <s v="Normal Match"/>
    <s v="HDPK Dharmasena"/>
    <s v="RE Koertzen"/>
    <x v="3"/>
    <x v="0"/>
  </r>
  <r>
    <s v="501262"/>
    <s v="Mumbai"/>
    <n v="2011"/>
    <d v="2011-05-19T00:00:00"/>
    <x v="8"/>
    <x v="8"/>
    <x v="9"/>
    <s v="Kolkata Knight Riders"/>
    <x v="6"/>
    <x v="0"/>
    <x v="0"/>
    <s v="wickets"/>
    <n v="7"/>
    <s v="N"/>
    <s v="Normal Match"/>
    <s v="S Ravi"/>
    <s v="SJA Taufel"/>
    <x v="3"/>
    <x v="1"/>
  </r>
  <r>
    <s v="501263"/>
    <s v="Mumbai"/>
    <n v="2011"/>
    <d v="2011-05-20T00:00:00"/>
    <x v="5"/>
    <x v="3"/>
    <x v="3"/>
    <s v="Rajasthan Royals"/>
    <x v="3"/>
    <x v="1"/>
    <x v="4"/>
    <s v="wickets"/>
    <n v="10"/>
    <s v="N"/>
    <s v="Normal Match"/>
    <s v="RE Koertzen"/>
    <s v="PR Reiffel"/>
    <x v="3"/>
    <x v="1"/>
  </r>
  <r>
    <s v="501264"/>
    <s v="Dharamsala"/>
    <n v="2011"/>
    <d v="2011-05-21T00:00:00"/>
    <x v="113"/>
    <x v="21"/>
    <x v="1"/>
    <s v="Deccan Chargers"/>
    <x v="5"/>
    <x v="0"/>
    <x v="6"/>
    <s v="runs"/>
    <n v="82"/>
    <s v="N"/>
    <s v="Normal Match"/>
    <s v="Asad Rauf"/>
    <s v="AM Saheba"/>
    <x v="3"/>
    <x v="0"/>
  </r>
  <r>
    <s v="501266"/>
    <s v="Bangalore"/>
    <n v="2011"/>
    <d v="2011-05-22T00:00:00"/>
    <x v="45"/>
    <x v="0"/>
    <x v="0"/>
    <s v="Chennai Super Kings"/>
    <x v="0"/>
    <x v="0"/>
    <x v="3"/>
    <s v="wickets"/>
    <n v="8"/>
    <s v="N"/>
    <s v="Normal Match"/>
    <s v="K Hariharan"/>
    <s v="RE Koertzen"/>
    <x v="3"/>
    <x v="1"/>
  </r>
  <r>
    <s v="501267"/>
    <s v="Kolkata"/>
    <n v="2011"/>
    <d v="2011-05-22T00:00:00"/>
    <x v="114"/>
    <x v="4"/>
    <x v="4"/>
    <s v="Mumbai Indians"/>
    <x v="3"/>
    <x v="0"/>
    <x v="7"/>
    <s v="wickets"/>
    <n v="5"/>
    <s v="N"/>
    <s v="Normal Match"/>
    <s v="SK Tarapore"/>
    <s v="SJA Taufel"/>
    <x v="3"/>
    <x v="1"/>
  </r>
  <r>
    <s v="501268"/>
    <s v="Mumbai"/>
    <n v="2011"/>
    <d v="2011-05-24T00:00:00"/>
    <x v="39"/>
    <x v="3"/>
    <x v="0"/>
    <s v="Chennai Super Kings"/>
    <x v="1"/>
    <x v="0"/>
    <x v="1"/>
    <s v="wickets"/>
    <n v="6"/>
    <s v="N"/>
    <s v="Normal Match"/>
    <s v="Asad Rauf"/>
    <s v="SJA Taufel"/>
    <x v="3"/>
    <x v="1"/>
  </r>
  <r>
    <s v="501269"/>
    <s v="Mumbai"/>
    <n v="2011"/>
    <d v="2011-05-25T00:00:00"/>
    <x v="102"/>
    <x v="3"/>
    <x v="3"/>
    <s v="Kolkata Knight Riders"/>
    <x v="3"/>
    <x v="0"/>
    <x v="7"/>
    <s v="wickets"/>
    <n v="4"/>
    <s v="N"/>
    <s v="Normal Match"/>
    <s v="Asad Rauf"/>
    <s v="SJA Taufel"/>
    <x v="3"/>
    <x v="1"/>
  </r>
  <r>
    <s v="501270"/>
    <s v="Chennai"/>
    <n v="2011"/>
    <d v="2011-05-27T00:00:00"/>
    <x v="45"/>
    <x v="7"/>
    <x v="0"/>
    <s v="Mumbai Indians"/>
    <x v="3"/>
    <x v="0"/>
    <x v="3"/>
    <s v="runs"/>
    <n v="43"/>
    <s v="N"/>
    <s v="Normal Match"/>
    <s v="Asad Rauf"/>
    <s v="SJA Taufel"/>
    <x v="3"/>
    <x v="0"/>
  </r>
  <r>
    <s v="501271"/>
    <s v="Chennai"/>
    <n v="2011"/>
    <d v="2011-05-28T00:00:00"/>
    <x v="80"/>
    <x v="7"/>
    <x v="7"/>
    <s v="Royal Challengers Bangalore"/>
    <x v="1"/>
    <x v="1"/>
    <x v="1"/>
    <s v="runs"/>
    <n v="58"/>
    <s v="N"/>
    <s v="Normal Match"/>
    <s v="Asad Rauf"/>
    <s v="SJA Taufel"/>
    <x v="3"/>
    <x v="0"/>
  </r>
  <r>
    <s v="548306"/>
    <s v="Chennai"/>
    <n v="2012"/>
    <d v="2012-04-04T00:00:00"/>
    <x v="115"/>
    <x v="7"/>
    <x v="7"/>
    <s v="Mumbai Indians"/>
    <x v="3"/>
    <x v="0"/>
    <x v="7"/>
    <s v="wickets"/>
    <n v="8"/>
    <s v="N"/>
    <s v="Normal Match"/>
    <s v="JD Cloete"/>
    <s v="SJA Taufel"/>
    <x v="4"/>
    <x v="1"/>
  </r>
  <r>
    <s v="548307"/>
    <s v="Kolkata"/>
    <n v="2012"/>
    <d v="2012-04-05T00:00:00"/>
    <x v="19"/>
    <x v="4"/>
    <x v="4"/>
    <s v="Delhi Capitals"/>
    <x v="7"/>
    <x v="0"/>
    <x v="2"/>
    <s v="wickets"/>
    <n v="8"/>
    <s v="N"/>
    <s v="Normal Match"/>
    <s v="S Asnani"/>
    <s v="HDPK Dharmasena"/>
    <x v="4"/>
    <x v="1"/>
  </r>
  <r>
    <s v="548308"/>
    <s v="Mumbai"/>
    <n v="2012"/>
    <d v="2012-04-06T00:00:00"/>
    <x v="116"/>
    <x v="3"/>
    <x v="3"/>
    <s v="Pune Warriors"/>
    <x v="3"/>
    <x v="0"/>
    <x v="8"/>
    <s v="runs"/>
    <n v="28"/>
    <s v="N"/>
    <s v="Normal Match"/>
    <s v="AK Chaudhary"/>
    <s v="SJA Taufel"/>
    <x v="4"/>
    <x v="0"/>
  </r>
  <r>
    <s v="548309"/>
    <s v="Jaipur"/>
    <n v="2012"/>
    <d v="2012-04-06T00:00:00"/>
    <x v="117"/>
    <x v="5"/>
    <x v="5"/>
    <s v="Punjab Kings"/>
    <x v="5"/>
    <x v="0"/>
    <x v="4"/>
    <s v="runs"/>
    <n v="31"/>
    <s v="N"/>
    <s v="Normal Match"/>
    <s v="BF Bowden"/>
    <s v="SK Tarapore"/>
    <x v="4"/>
    <x v="0"/>
  </r>
  <r>
    <s v="548310"/>
    <s v="Bangalore"/>
    <n v="2012"/>
    <d v="2012-04-07T00:00:00"/>
    <x v="46"/>
    <x v="0"/>
    <x v="0"/>
    <s v="Delhi Capitals"/>
    <x v="7"/>
    <x v="0"/>
    <x v="3"/>
    <s v="runs"/>
    <n v="20"/>
    <s v="N"/>
    <s v="Normal Match"/>
    <s v="S Asnani"/>
    <s v="S Ravi"/>
    <x v="4"/>
    <x v="0"/>
  </r>
  <r>
    <s v="548311"/>
    <s v="Visakhapatnam"/>
    <n v="2012"/>
    <d v="2012-04-07T00:00:00"/>
    <x v="118"/>
    <x v="24"/>
    <x v="6"/>
    <s v="Chennai Super Kings"/>
    <x v="4"/>
    <x v="0"/>
    <x v="1"/>
    <s v="runs"/>
    <n v="74"/>
    <s v="N"/>
    <s v="Normal Match"/>
    <s v="JD Cloete"/>
    <s v="HDPK Dharmasena"/>
    <x v="4"/>
    <x v="0"/>
  </r>
  <r>
    <s v="548312"/>
    <s v="Jaipur"/>
    <n v="2012"/>
    <d v="2012-04-08T00:00:00"/>
    <x v="66"/>
    <x v="5"/>
    <x v="5"/>
    <s v="Kolkata Knight Riders"/>
    <x v="6"/>
    <x v="0"/>
    <x v="4"/>
    <s v="runs"/>
    <n v="22"/>
    <s v="N"/>
    <s v="Normal Match"/>
    <s v="BF Bowden"/>
    <s v="VA Kulkarni"/>
    <x v="4"/>
    <x v="0"/>
  </r>
  <r>
    <s v="548313"/>
    <s v="Pune"/>
    <n v="2012"/>
    <d v="2012-04-08T00:00:00"/>
    <x v="119"/>
    <x v="25"/>
    <x v="9"/>
    <s v="Punjab Kings"/>
    <x v="9"/>
    <x v="1"/>
    <x v="8"/>
    <s v="runs"/>
    <n v="22"/>
    <s v="N"/>
    <s v="Normal Match"/>
    <s v="S Das"/>
    <s v="SJA Taufel"/>
    <x v="4"/>
    <x v="0"/>
  </r>
  <r>
    <s v="548314"/>
    <s v="Visakhapatnam"/>
    <n v="2012"/>
    <d v="2012-04-09T00:00:00"/>
    <x v="57"/>
    <x v="24"/>
    <x v="6"/>
    <s v="Mumbai Indians"/>
    <x v="4"/>
    <x v="1"/>
    <x v="7"/>
    <s v="wickets"/>
    <n v="5"/>
    <s v="N"/>
    <s v="Normal Match"/>
    <s v="AK Chaudhary"/>
    <s v="JD Cloete"/>
    <x v="4"/>
    <x v="1"/>
  </r>
  <r>
    <s v="548315"/>
    <s v="Bangalore"/>
    <n v="2012"/>
    <d v="2012-04-10T00:00:00"/>
    <x v="26"/>
    <x v="0"/>
    <x v="0"/>
    <s v="Kolkata Knight Riders"/>
    <x v="0"/>
    <x v="0"/>
    <x v="0"/>
    <s v="runs"/>
    <n v="42"/>
    <s v="N"/>
    <s v="Normal Match"/>
    <s v="S Ravi"/>
    <s v="RJ Tucker"/>
    <x v="4"/>
    <x v="0"/>
  </r>
  <r>
    <s v="548316"/>
    <s v="Delhi"/>
    <n v="2012"/>
    <d v="2012-04-10T00:00:00"/>
    <x v="120"/>
    <x v="2"/>
    <x v="2"/>
    <s v="Chennai Super Kings"/>
    <x v="7"/>
    <x v="0"/>
    <x v="2"/>
    <s v="wickets"/>
    <n v="8"/>
    <s v="N"/>
    <s v="Normal Match"/>
    <s v="Asad Rauf"/>
    <s v="SK Tarapore"/>
    <x v="4"/>
    <x v="1"/>
  </r>
  <r>
    <s v="548317"/>
    <s v="Mumbai"/>
    <n v="2012"/>
    <d v="2012-04-11T00:00:00"/>
    <x v="89"/>
    <x v="3"/>
    <x v="3"/>
    <s v="Rajasthan Royals"/>
    <x v="2"/>
    <x v="0"/>
    <x v="7"/>
    <s v="runs"/>
    <n v="27"/>
    <s v="N"/>
    <s v="Normal Match"/>
    <s v="Aleem Dar"/>
    <s v="BNJ Oxenford"/>
    <x v="4"/>
    <x v="0"/>
  </r>
  <r>
    <s v="548318"/>
    <s v="Chennai"/>
    <n v="2012"/>
    <d v="2012-04-12T00:00:00"/>
    <x v="121"/>
    <x v="7"/>
    <x v="7"/>
    <s v="Royal Challengers Bangalore"/>
    <x v="0"/>
    <x v="1"/>
    <x v="1"/>
    <s v="wickets"/>
    <n v="5"/>
    <s v="N"/>
    <s v="Normal Match"/>
    <s v="HDPK Dharmasena"/>
    <s v="RJ Tucker"/>
    <x v="4"/>
    <x v="1"/>
  </r>
  <r>
    <s v="548319"/>
    <s v="Chandigarh"/>
    <n v="2012"/>
    <d v="2012-04-12T00:00:00"/>
    <x v="122"/>
    <x v="1"/>
    <x v="1"/>
    <s v="Pune Warriors"/>
    <x v="5"/>
    <x v="0"/>
    <x v="5"/>
    <s v="wickets"/>
    <n v="7"/>
    <s v="N"/>
    <s v="Normal Match"/>
    <s v="VA Kulkarni"/>
    <s v="SK Tarapore"/>
    <x v="4"/>
    <x v="1"/>
  </r>
  <r>
    <s v="548320"/>
    <s v="Kolkata"/>
    <n v="2012"/>
    <d v="2012-04-13T00:00:00"/>
    <x v="123"/>
    <x v="4"/>
    <x v="4"/>
    <s v="Rajasthan Royals"/>
    <x v="2"/>
    <x v="1"/>
    <x v="0"/>
    <s v="wickets"/>
    <n v="5"/>
    <s v="N"/>
    <s v="Normal Match"/>
    <s v="Asad Rauf"/>
    <s v="S Asnani"/>
    <x v="4"/>
    <x v="1"/>
  </r>
  <r>
    <s v="548321"/>
    <s v="Delhi"/>
    <n v="2012"/>
    <d v="2012-04-19T00:00:00"/>
    <x v="81"/>
    <x v="2"/>
    <x v="2"/>
    <s v="Deccan Chargers"/>
    <x v="4"/>
    <x v="1"/>
    <x v="2"/>
    <s v="wickets"/>
    <n v="5"/>
    <s v="N"/>
    <s v="Normal Match"/>
    <s v="BF Bowden"/>
    <s v="SK Tarapore"/>
    <x v="4"/>
    <x v="1"/>
  </r>
  <r>
    <s v="548322"/>
    <s v="Pune"/>
    <n v="2012"/>
    <d v="2012-04-14T00:00:00"/>
    <x v="124"/>
    <x v="25"/>
    <x v="9"/>
    <s v="Chennai Super Kings"/>
    <x v="1"/>
    <x v="1"/>
    <x v="8"/>
    <s v="wickets"/>
    <n v="7"/>
    <s v="N"/>
    <s v="Normal Match"/>
    <s v="Aleem Dar"/>
    <s v="BNJ Oxenford"/>
    <x v="4"/>
    <x v="1"/>
  </r>
  <r>
    <s v="548323"/>
    <s v="Kolkata"/>
    <n v="2012"/>
    <d v="2012-04-15T00:00:00"/>
    <x v="125"/>
    <x v="4"/>
    <x v="4"/>
    <s v="Punjab Kings"/>
    <x v="6"/>
    <x v="0"/>
    <x v="5"/>
    <s v="runs"/>
    <n v="2"/>
    <s v="N"/>
    <s v="Normal Match"/>
    <s v="Asad Rauf"/>
    <s v="S Asnani"/>
    <x v="4"/>
    <x v="0"/>
  </r>
  <r>
    <s v="548324"/>
    <s v="Bangalore"/>
    <n v="2012"/>
    <d v="2012-04-15T00:00:00"/>
    <x v="117"/>
    <x v="0"/>
    <x v="0"/>
    <s v="Rajasthan Royals"/>
    <x v="2"/>
    <x v="1"/>
    <x v="4"/>
    <s v="runs"/>
    <n v="59"/>
    <s v="N"/>
    <s v="Normal Match"/>
    <s v="JD Cloete"/>
    <s v="RJ Tucker"/>
    <x v="4"/>
    <x v="0"/>
  </r>
  <r>
    <s v="548325"/>
    <s v="Mumbai"/>
    <n v="2012"/>
    <d v="2012-04-16T00:00:00"/>
    <x v="126"/>
    <x v="3"/>
    <x v="3"/>
    <s v="Delhi Capitals"/>
    <x v="7"/>
    <x v="0"/>
    <x v="2"/>
    <s v="wickets"/>
    <n v="7"/>
    <s v="N"/>
    <s v="Normal Match"/>
    <s v="BF Bowden"/>
    <s v="SK Tarapore"/>
    <x v="4"/>
    <x v="1"/>
  </r>
  <r>
    <s v="548326"/>
    <s v="Jaipur"/>
    <n v="2012"/>
    <d v="2012-04-17T00:00:00"/>
    <x v="66"/>
    <x v="5"/>
    <x v="5"/>
    <s v="Deccan Chargers"/>
    <x v="4"/>
    <x v="1"/>
    <x v="4"/>
    <s v="wickets"/>
    <n v="5"/>
    <s v="N"/>
    <s v="Normal Match"/>
    <s v="Aleem Dar"/>
    <s v="BNJ Oxenford"/>
    <x v="4"/>
    <x v="1"/>
  </r>
  <r>
    <s v="548327"/>
    <s v="Bangalore"/>
    <n v="2012"/>
    <d v="2012-04-17T00:00:00"/>
    <x v="45"/>
    <x v="0"/>
    <x v="0"/>
    <s v="Pune Warriors"/>
    <x v="9"/>
    <x v="1"/>
    <x v="3"/>
    <s v="wickets"/>
    <n v="6"/>
    <s v="N"/>
    <s v="Normal Match"/>
    <s v="S Asnani"/>
    <s v="S Das"/>
    <x v="4"/>
    <x v="1"/>
  </r>
  <r>
    <s v="548328"/>
    <s v="Chandigarh"/>
    <n v="2012"/>
    <d v="2012-04-18T00:00:00"/>
    <x v="56"/>
    <x v="1"/>
    <x v="1"/>
    <s v="Kolkata Knight Riders"/>
    <x v="5"/>
    <x v="1"/>
    <x v="0"/>
    <s v="wickets"/>
    <n v="8"/>
    <s v="N"/>
    <s v="Normal Match"/>
    <s v="JD Cloete"/>
    <s v="RJ Tucker"/>
    <x v="4"/>
    <x v="1"/>
  </r>
  <r>
    <s v="548329"/>
    <s v="Hyderabad"/>
    <n v="2012"/>
    <d v="2012-05-10T00:00:00"/>
    <x v="78"/>
    <x v="6"/>
    <x v="6"/>
    <s v="Delhi Capitals"/>
    <x v="4"/>
    <x v="1"/>
    <x v="2"/>
    <s v="wickets"/>
    <n v="9"/>
    <s v="N"/>
    <s v="Normal Match"/>
    <s v="JD Cloete"/>
    <s v="SJA Taufel"/>
    <x v="4"/>
    <x v="1"/>
  </r>
  <r>
    <s v="548330"/>
    <s v="Chennai"/>
    <n v="2012"/>
    <d v="2012-04-19T00:00:00"/>
    <x v="127"/>
    <x v="7"/>
    <x v="7"/>
    <s v="Pune Warriors"/>
    <x v="9"/>
    <x v="0"/>
    <x v="1"/>
    <s v="runs"/>
    <n v="13"/>
    <s v="N"/>
    <s v="Normal Match"/>
    <s v="Asad Rauf"/>
    <s v="S Das"/>
    <x v="4"/>
    <x v="0"/>
  </r>
  <r>
    <s v="548331"/>
    <s v="Chandigarh"/>
    <n v="2012"/>
    <d v="2012-04-20T00:00:00"/>
    <x v="45"/>
    <x v="1"/>
    <x v="1"/>
    <s v="Royal Challengers Bangalore"/>
    <x v="0"/>
    <x v="0"/>
    <x v="3"/>
    <s v="wickets"/>
    <n v="5"/>
    <s v="N"/>
    <s v="Normal Match"/>
    <s v="S Ravi"/>
    <s v="RJ Tucker"/>
    <x v="4"/>
    <x v="1"/>
  </r>
  <r>
    <s v="548332"/>
    <s v="Chennai"/>
    <n v="2012"/>
    <d v="2012-04-21T00:00:00"/>
    <x v="121"/>
    <x v="7"/>
    <x v="7"/>
    <s v="Rajasthan Royals"/>
    <x v="2"/>
    <x v="1"/>
    <x v="1"/>
    <s v="wickets"/>
    <n v="7"/>
    <s v="N"/>
    <s v="Normal Match"/>
    <s v="Aleem Dar"/>
    <s v="BNJ Oxenford"/>
    <x v="4"/>
    <x v="1"/>
  </r>
  <r>
    <s v="548333"/>
    <s v="Delhi"/>
    <n v="2012"/>
    <d v="2012-04-21T00:00:00"/>
    <x v="24"/>
    <x v="2"/>
    <x v="2"/>
    <s v="Pune Warriors"/>
    <x v="7"/>
    <x v="0"/>
    <x v="8"/>
    <s v="runs"/>
    <n v="20"/>
    <s v="N"/>
    <s v="Normal Match"/>
    <s v="Asad Rauf"/>
    <s v="S Das"/>
    <x v="4"/>
    <x v="0"/>
  </r>
  <r>
    <s v="548334"/>
    <s v="Mumbai"/>
    <n v="2012"/>
    <d v="2012-04-22T00:00:00"/>
    <x v="16"/>
    <x v="3"/>
    <x v="3"/>
    <s v="Punjab Kings"/>
    <x v="3"/>
    <x v="1"/>
    <x v="5"/>
    <s v="wickets"/>
    <n v="6"/>
    <s v="N"/>
    <s v="Normal Match"/>
    <s v="S Ravi"/>
    <s v="RJ Tucker"/>
    <x v="4"/>
    <x v="1"/>
  </r>
  <r>
    <s v="548335"/>
    <s v="Cuttack"/>
    <n v="2012"/>
    <d v="2012-04-22T00:00:00"/>
    <x v="65"/>
    <x v="19"/>
    <x v="6"/>
    <s v="Kolkata Knight Riders"/>
    <x v="6"/>
    <x v="0"/>
    <x v="0"/>
    <s v="wickets"/>
    <n v="5"/>
    <s v="N"/>
    <s v="Normal Match"/>
    <s v="BF Bowden"/>
    <s v="SK Tarapore"/>
    <x v="4"/>
    <x v="1"/>
  </r>
  <r>
    <s v="548336"/>
    <s v="Jaipur"/>
    <n v="2012"/>
    <d v="2012-04-23T00:00:00"/>
    <x v="46"/>
    <x v="5"/>
    <x v="5"/>
    <s v="Royal Challengers Bangalore"/>
    <x v="2"/>
    <x v="0"/>
    <x v="3"/>
    <s v="runs"/>
    <n v="46"/>
    <s v="N"/>
    <s v="Normal Match"/>
    <s v="Asad Rauf"/>
    <s v="S Asnani"/>
    <x v="4"/>
    <x v="0"/>
  </r>
  <r>
    <s v="548337"/>
    <s v="Pune"/>
    <n v="2012"/>
    <d v="2012-04-24T00:00:00"/>
    <x v="6"/>
    <x v="25"/>
    <x v="9"/>
    <s v="Delhi Capitals"/>
    <x v="9"/>
    <x v="1"/>
    <x v="2"/>
    <s v="wickets"/>
    <n v="8"/>
    <s v="N"/>
    <s v="Normal Match"/>
    <s v="S Ravi"/>
    <s v="RJ Tucker"/>
    <x v="4"/>
    <x v="1"/>
  </r>
  <r>
    <s v="548339"/>
    <s v="Chandigarh"/>
    <n v="2012"/>
    <d v="2012-04-25T00:00:00"/>
    <x v="82"/>
    <x v="1"/>
    <x v="1"/>
    <s v="Mumbai Indians"/>
    <x v="5"/>
    <x v="1"/>
    <x v="7"/>
    <s v="wickets"/>
    <n v="4"/>
    <s v="N"/>
    <s v="Normal Match"/>
    <s v="Aleem Dar"/>
    <s v="BNJ Oxenford"/>
    <x v="4"/>
    <x v="1"/>
  </r>
  <r>
    <s v="548341"/>
    <s v="Pune"/>
    <n v="2012"/>
    <d v="2012-04-26T00:00:00"/>
    <x v="128"/>
    <x v="25"/>
    <x v="9"/>
    <s v="Deccan Chargers"/>
    <x v="4"/>
    <x v="1"/>
    <x v="6"/>
    <s v="runs"/>
    <n v="18"/>
    <s v="N"/>
    <s v="Normal Match"/>
    <s v="S Ravi"/>
    <s v="RJ Tucker"/>
    <x v="4"/>
    <x v="0"/>
  </r>
  <r>
    <s v="548342"/>
    <s v="Delhi"/>
    <n v="2012"/>
    <d v="2012-04-27T00:00:00"/>
    <x v="6"/>
    <x v="2"/>
    <x v="2"/>
    <s v="Mumbai Indians"/>
    <x v="3"/>
    <x v="0"/>
    <x v="2"/>
    <s v="runs"/>
    <n v="37"/>
    <s v="N"/>
    <s v="Normal Match"/>
    <s v="Aleem Dar"/>
    <s v="BNJ Oxenford"/>
    <x v="4"/>
    <x v="0"/>
  </r>
  <r>
    <s v="548343"/>
    <s v="Chennai"/>
    <n v="2012"/>
    <d v="2012-04-28T00:00:00"/>
    <x v="129"/>
    <x v="7"/>
    <x v="7"/>
    <s v="Punjab Kings"/>
    <x v="5"/>
    <x v="1"/>
    <x v="5"/>
    <s v="runs"/>
    <n v="7"/>
    <s v="N"/>
    <s v="Normal Match"/>
    <s v="BF Bowden"/>
    <s v="SK Tarapore"/>
    <x v="4"/>
    <x v="0"/>
  </r>
  <r>
    <s v="548344"/>
    <s v="Kolkata"/>
    <n v="2012"/>
    <d v="2012-04-28T00:00:00"/>
    <x v="56"/>
    <x v="4"/>
    <x v="4"/>
    <s v="Royal Challengers Bangalore"/>
    <x v="6"/>
    <x v="1"/>
    <x v="0"/>
    <s v="runs"/>
    <n v="47"/>
    <s v="N"/>
    <s v="Normal Match"/>
    <s v="Asad Rauf"/>
    <s v="BR Doctrove"/>
    <x v="4"/>
    <x v="0"/>
  </r>
  <r>
    <s v="548345"/>
    <s v="Delhi"/>
    <n v="2012"/>
    <d v="2012-04-29T00:00:00"/>
    <x v="6"/>
    <x v="2"/>
    <x v="2"/>
    <s v="Rajasthan Royals"/>
    <x v="7"/>
    <x v="1"/>
    <x v="2"/>
    <s v="runs"/>
    <n v="1"/>
    <s v="N"/>
    <s v="Normal Match"/>
    <s v="S Ravi"/>
    <s v="RJ Tucker"/>
    <x v="4"/>
    <x v="0"/>
  </r>
  <r>
    <s v="548346"/>
    <s v="Mumbai"/>
    <n v="2012"/>
    <d v="2012-04-29T00:00:00"/>
    <x v="100"/>
    <x v="3"/>
    <x v="3"/>
    <s v="Deccan Chargers"/>
    <x v="3"/>
    <x v="0"/>
    <x v="7"/>
    <s v="wickets"/>
    <n v="5"/>
    <s v="N"/>
    <s v="Normal Match"/>
    <s v="AK Chaudhary"/>
    <s v="BNJ Oxenford"/>
    <x v="4"/>
    <x v="1"/>
  </r>
  <r>
    <s v="548347"/>
    <s v="Chennai"/>
    <n v="2012"/>
    <d v="2012-04-30T00:00:00"/>
    <x v="56"/>
    <x v="7"/>
    <x v="7"/>
    <s v="Kolkata Knight Riders"/>
    <x v="1"/>
    <x v="1"/>
    <x v="0"/>
    <s v="wickets"/>
    <n v="5"/>
    <s v="N"/>
    <s v="Normal Match"/>
    <s v="BF Bowden"/>
    <s v="C Shamshuddin"/>
    <x v="4"/>
    <x v="1"/>
  </r>
  <r>
    <s v="548348"/>
    <s v="Cuttack"/>
    <n v="2012"/>
    <d v="2012-05-01T00:00:00"/>
    <x v="9"/>
    <x v="19"/>
    <x v="6"/>
    <s v="Pune Warriors"/>
    <x v="4"/>
    <x v="1"/>
    <x v="6"/>
    <s v="runs"/>
    <n v="13"/>
    <s v="N"/>
    <s v="Normal Match"/>
    <s v="Aleem Dar"/>
    <s v="AK Chaudhary"/>
    <x v="4"/>
    <x v="0"/>
  </r>
  <r>
    <s v="548349"/>
    <s v="Jaipur"/>
    <n v="2012"/>
    <d v="2012-05-01T00:00:00"/>
    <x v="130"/>
    <x v="5"/>
    <x v="5"/>
    <s v="Delhi Capitals"/>
    <x v="2"/>
    <x v="1"/>
    <x v="2"/>
    <s v="wickets"/>
    <n v="6"/>
    <s v="N"/>
    <s v="Normal Match"/>
    <s v="JD Cloete"/>
    <s v="SJA Taufel"/>
    <x v="4"/>
    <x v="1"/>
  </r>
  <r>
    <s v="548350"/>
    <s v="Bangalore"/>
    <n v="2012"/>
    <d v="2012-05-02T00:00:00"/>
    <x v="131"/>
    <x v="0"/>
    <x v="0"/>
    <s v="Punjab Kings"/>
    <x v="5"/>
    <x v="0"/>
    <x v="5"/>
    <s v="wickets"/>
    <n v="4"/>
    <s v="N"/>
    <s v="Normal Match"/>
    <s v="BF Bowden"/>
    <s v="C Shamshuddin"/>
    <x v="4"/>
    <x v="1"/>
  </r>
  <r>
    <s v="548351"/>
    <s v="Pune"/>
    <n v="2012"/>
    <d v="2012-05-03T00:00:00"/>
    <x v="79"/>
    <x v="25"/>
    <x v="9"/>
    <s v="Mumbai Indians"/>
    <x v="3"/>
    <x v="1"/>
    <x v="7"/>
    <s v="runs"/>
    <n v="1"/>
    <s v="N"/>
    <s v="Normal Match"/>
    <s v="Asad Rauf"/>
    <s v="S Asnani"/>
    <x v="4"/>
    <x v="0"/>
  </r>
  <r>
    <s v="548352"/>
    <s v="Chennai"/>
    <n v="2012"/>
    <d v="2012-05-04T00:00:00"/>
    <x v="39"/>
    <x v="7"/>
    <x v="7"/>
    <s v="Deccan Chargers"/>
    <x v="1"/>
    <x v="1"/>
    <x v="1"/>
    <s v="runs"/>
    <n v="10"/>
    <s v="N"/>
    <s v="Normal Match"/>
    <s v="HDPK Dharmasena"/>
    <s v="BNJ Oxenford"/>
    <x v="4"/>
    <x v="0"/>
  </r>
  <r>
    <s v="548353"/>
    <s v="Kolkata"/>
    <n v="2012"/>
    <d v="2012-05-05T00:00:00"/>
    <x v="125"/>
    <x v="4"/>
    <x v="4"/>
    <s v="Pune Warriors"/>
    <x v="6"/>
    <x v="1"/>
    <x v="0"/>
    <s v="runs"/>
    <n v="7"/>
    <s v="N"/>
    <s v="Normal Match"/>
    <s v="BF Bowden"/>
    <s v="SK Tarapore"/>
    <x v="4"/>
    <x v="0"/>
  </r>
  <r>
    <s v="548354"/>
    <s v="Chandigarh"/>
    <n v="2012"/>
    <d v="2012-05-05T00:00:00"/>
    <x v="5"/>
    <x v="1"/>
    <x v="1"/>
    <s v="Rajasthan Royals"/>
    <x v="2"/>
    <x v="1"/>
    <x v="4"/>
    <s v="runs"/>
    <n v="43"/>
    <s v="N"/>
    <s v="Normal Match"/>
    <s v="JD Cloete"/>
    <s v="SJA Taufel"/>
    <x v="4"/>
    <x v="0"/>
  </r>
  <r>
    <s v="548355"/>
    <s v="Mumbai"/>
    <n v="2012"/>
    <d v="2012-05-06T00:00:00"/>
    <x v="60"/>
    <x v="3"/>
    <x v="3"/>
    <s v="Chennai Super Kings"/>
    <x v="3"/>
    <x v="0"/>
    <x v="7"/>
    <s v="wickets"/>
    <n v="2"/>
    <s v="N"/>
    <s v="Normal Match"/>
    <s v="Asad Rauf"/>
    <s v="S Asnani"/>
    <x v="4"/>
    <x v="1"/>
  </r>
  <r>
    <s v="548356"/>
    <s v="Bangalore"/>
    <n v="2012"/>
    <d v="2012-05-06T00:00:00"/>
    <x v="46"/>
    <x v="0"/>
    <x v="0"/>
    <s v="Deccan Chargers"/>
    <x v="0"/>
    <x v="0"/>
    <x v="3"/>
    <s v="wickets"/>
    <n v="5"/>
    <s v="N"/>
    <s v="Normal Match"/>
    <s v="HDPK Dharmasena"/>
    <s v="BNJ Oxenford"/>
    <x v="4"/>
    <x v="1"/>
  </r>
  <r>
    <s v="548357"/>
    <s v="Delhi"/>
    <n v="2012"/>
    <d v="2012-05-07T00:00:00"/>
    <x v="55"/>
    <x v="2"/>
    <x v="2"/>
    <s v="Kolkata Knight Riders"/>
    <x v="7"/>
    <x v="1"/>
    <x v="0"/>
    <s v="wickets"/>
    <n v="6"/>
    <s v="N"/>
    <s v="Normal Match"/>
    <s v="JD Cloete"/>
    <s v="S Ravi"/>
    <x v="4"/>
    <x v="1"/>
  </r>
  <r>
    <s v="548358"/>
    <s v="Pune"/>
    <n v="2012"/>
    <d v="2012-05-08T00:00:00"/>
    <x v="5"/>
    <x v="25"/>
    <x v="9"/>
    <s v="Rajasthan Royals"/>
    <x v="9"/>
    <x v="1"/>
    <x v="4"/>
    <s v="wickets"/>
    <n v="7"/>
    <s v="N"/>
    <s v="Normal Match"/>
    <s v="Asad Rauf"/>
    <s v="BR Doctrove"/>
    <x v="4"/>
    <x v="1"/>
  </r>
  <r>
    <s v="548359"/>
    <s v="Hyderabad"/>
    <n v="2012"/>
    <d v="2012-05-08T00:00:00"/>
    <x v="129"/>
    <x v="6"/>
    <x v="6"/>
    <s v="Punjab Kings"/>
    <x v="4"/>
    <x v="0"/>
    <x v="5"/>
    <s v="runs"/>
    <n v="25"/>
    <s v="N"/>
    <s v="Normal Match"/>
    <s v="HDPK Dharmasena"/>
    <s v="BNJ Oxenford"/>
    <x v="4"/>
    <x v="0"/>
  </r>
  <r>
    <s v="548360"/>
    <s v="Mumbai"/>
    <n v="2012"/>
    <d v="2012-05-09T00:00:00"/>
    <x v="45"/>
    <x v="3"/>
    <x v="3"/>
    <s v="Royal Challengers Bangalore"/>
    <x v="0"/>
    <x v="0"/>
    <x v="3"/>
    <s v="wickets"/>
    <n v="9"/>
    <s v="N"/>
    <s v="Normal Match"/>
    <s v="BF Bowden"/>
    <s v="VA Kulkarni"/>
    <x v="4"/>
    <x v="1"/>
  </r>
  <r>
    <s v="548361"/>
    <s v="Jaipur"/>
    <n v="2012"/>
    <d v="2012-05-10T00:00:00"/>
    <x v="132"/>
    <x v="5"/>
    <x v="5"/>
    <s v="Chennai Super Kings"/>
    <x v="1"/>
    <x v="0"/>
    <x v="1"/>
    <s v="wickets"/>
    <n v="4"/>
    <s v="N"/>
    <s v="Normal Match"/>
    <s v="BNJ Oxenford"/>
    <s v="C Shamshuddin"/>
    <x v="4"/>
    <x v="1"/>
  </r>
  <r>
    <s v="548362"/>
    <s v="Pune"/>
    <n v="2012"/>
    <d v="2012-05-11T00:00:00"/>
    <x v="45"/>
    <x v="25"/>
    <x v="9"/>
    <s v="Royal Challengers Bangalore"/>
    <x v="9"/>
    <x v="0"/>
    <x v="3"/>
    <s v="runs"/>
    <n v="35"/>
    <s v="N"/>
    <s v="Normal Match"/>
    <s v="BF Bowden"/>
    <s v="SK Tarapore"/>
    <x v="4"/>
    <x v="0"/>
  </r>
  <r>
    <s v="548363"/>
    <s v="Kolkata"/>
    <n v="2012"/>
    <d v="2012-05-12T00:00:00"/>
    <x v="57"/>
    <x v="4"/>
    <x v="4"/>
    <s v="Mumbai Indians"/>
    <x v="3"/>
    <x v="1"/>
    <x v="7"/>
    <s v="runs"/>
    <n v="27"/>
    <s v="N"/>
    <s v="Normal Match"/>
    <s v="S Ravi"/>
    <s v="SJA Taufel"/>
    <x v="4"/>
    <x v="0"/>
  </r>
  <r>
    <s v="548364"/>
    <s v="Chennai"/>
    <n v="2012"/>
    <d v="2012-05-12T00:00:00"/>
    <x v="132"/>
    <x v="7"/>
    <x v="7"/>
    <s v="Delhi Capitals"/>
    <x v="1"/>
    <x v="0"/>
    <x v="1"/>
    <s v="wickets"/>
    <n v="9"/>
    <s v="N"/>
    <s v="Normal Match"/>
    <s v="S Das"/>
    <s v="BR Doctrove"/>
    <x v="4"/>
    <x v="1"/>
  </r>
  <r>
    <s v="548365"/>
    <s v="Jaipur"/>
    <n v="2012"/>
    <d v="2012-05-13T00:00:00"/>
    <x v="133"/>
    <x v="5"/>
    <x v="5"/>
    <s v="Pune Warriors"/>
    <x v="2"/>
    <x v="1"/>
    <x v="4"/>
    <s v="runs"/>
    <n v="45"/>
    <s v="N"/>
    <s v="Normal Match"/>
    <s v="BF Bowden"/>
    <s v="SK Tarapore"/>
    <x v="4"/>
    <x v="0"/>
  </r>
  <r>
    <s v="548366"/>
    <s v="Chandigarh"/>
    <n v="2012"/>
    <d v="2012-05-13T00:00:00"/>
    <x v="4"/>
    <x v="1"/>
    <x v="1"/>
    <s v="Deccan Chargers"/>
    <x v="4"/>
    <x v="1"/>
    <x v="5"/>
    <s v="wickets"/>
    <n v="4"/>
    <s v="N"/>
    <s v="Normal Match"/>
    <s v="HDPK Dharmasena"/>
    <s v="BNJ Oxenford"/>
    <x v="4"/>
    <x v="1"/>
  </r>
  <r>
    <s v="548367"/>
    <s v="Bangalore"/>
    <n v="2012"/>
    <d v="2012-05-14T00:00:00"/>
    <x v="82"/>
    <x v="0"/>
    <x v="0"/>
    <s v="Mumbai Indians"/>
    <x v="3"/>
    <x v="0"/>
    <x v="7"/>
    <s v="wickets"/>
    <n v="5"/>
    <s v="N"/>
    <s v="Normal Match"/>
    <s v="S Das"/>
    <s v="BR Doctrove"/>
    <x v="4"/>
    <x v="1"/>
  </r>
  <r>
    <s v="548368"/>
    <s v="Kolkata"/>
    <n v="2012"/>
    <d v="2012-05-14T00:00:00"/>
    <x v="1"/>
    <x v="4"/>
    <x v="4"/>
    <s v="Chennai Super Kings"/>
    <x v="1"/>
    <x v="0"/>
    <x v="1"/>
    <s v="wickets"/>
    <n v="5"/>
    <s v="N"/>
    <s v="Normal Match"/>
    <s v="JD Cloete"/>
    <s v="SJA Taufel"/>
    <x v="4"/>
    <x v="1"/>
  </r>
  <r>
    <s v="548369"/>
    <s v="Delhi"/>
    <n v="2012"/>
    <d v="2012-05-15T00:00:00"/>
    <x v="134"/>
    <x v="2"/>
    <x v="2"/>
    <s v="Punjab Kings"/>
    <x v="5"/>
    <x v="1"/>
    <x v="2"/>
    <s v="wickets"/>
    <n v="5"/>
    <s v="N"/>
    <s v="Normal Match"/>
    <s v="HDPK Dharmasena"/>
    <s v="BNJ Oxenford"/>
    <x v="4"/>
    <x v="1"/>
  </r>
  <r>
    <s v="548370"/>
    <s v="Mumbai"/>
    <n v="2012"/>
    <d v="2012-05-16T00:00:00"/>
    <x v="125"/>
    <x v="3"/>
    <x v="3"/>
    <s v="Kolkata Knight Riders"/>
    <x v="3"/>
    <x v="0"/>
    <x v="0"/>
    <s v="runs"/>
    <n v="32"/>
    <s v="N"/>
    <s v="Normal Match"/>
    <s v="S Das"/>
    <s v="BR Doctrove"/>
    <x v="4"/>
    <x v="0"/>
  </r>
  <r>
    <s v="548371"/>
    <s v="Dharamsala"/>
    <n v="2012"/>
    <d v="2012-05-17T00:00:00"/>
    <x v="11"/>
    <x v="21"/>
    <x v="1"/>
    <s v="Chennai Super Kings"/>
    <x v="5"/>
    <x v="0"/>
    <x v="5"/>
    <s v="wickets"/>
    <n v="6"/>
    <s v="N"/>
    <s v="Normal Match"/>
    <s v="VA Kulkarni"/>
    <s v="SK Tarapore"/>
    <x v="4"/>
    <x v="1"/>
  </r>
  <r>
    <s v="548372"/>
    <s v="Delhi"/>
    <n v="2012"/>
    <d v="2012-05-17T00:00:00"/>
    <x v="45"/>
    <x v="2"/>
    <x v="2"/>
    <s v="Royal Challengers Bangalore"/>
    <x v="7"/>
    <x v="0"/>
    <x v="3"/>
    <s v="runs"/>
    <n v="21"/>
    <s v="N"/>
    <s v="Normal Match"/>
    <s v="HDPK Dharmasena"/>
    <s v="C Shamshuddin"/>
    <x v="4"/>
    <x v="0"/>
  </r>
  <r>
    <s v="548373"/>
    <s v="Hyderabad"/>
    <n v="2012"/>
    <d v="2012-05-18T00:00:00"/>
    <x v="100"/>
    <x v="6"/>
    <x v="6"/>
    <s v="Rajasthan Royals"/>
    <x v="2"/>
    <x v="1"/>
    <x v="6"/>
    <s v="wickets"/>
    <n v="5"/>
    <s v="N"/>
    <s v="Normal Match"/>
    <s v="S Ravi"/>
    <s v="SJA Taufel"/>
    <x v="4"/>
    <x v="1"/>
  </r>
  <r>
    <s v="548374"/>
    <s v="Dharamsala"/>
    <n v="2012"/>
    <d v="2012-05-19T00:00:00"/>
    <x v="134"/>
    <x v="21"/>
    <x v="1"/>
    <s v="Delhi Capitals"/>
    <x v="7"/>
    <x v="0"/>
    <x v="2"/>
    <s v="wickets"/>
    <n v="6"/>
    <s v="N"/>
    <s v="Normal Match"/>
    <s v="BF Bowden"/>
    <s v="VA Kulkarni"/>
    <x v="4"/>
    <x v="1"/>
  </r>
  <r>
    <s v="548375"/>
    <s v="Pune"/>
    <n v="2012"/>
    <d v="2012-05-19T00:00:00"/>
    <x v="123"/>
    <x v="25"/>
    <x v="9"/>
    <s v="Kolkata Knight Riders"/>
    <x v="6"/>
    <x v="1"/>
    <x v="0"/>
    <s v="runs"/>
    <n v="34"/>
    <s v="N"/>
    <s v="Normal Match"/>
    <s v="S Asnani"/>
    <s v="BR Doctrove"/>
    <x v="4"/>
    <x v="0"/>
  </r>
  <r>
    <s v="548376"/>
    <s v="Hyderabad"/>
    <n v="2012"/>
    <d v="2012-05-20T00:00:00"/>
    <x v="100"/>
    <x v="6"/>
    <x v="6"/>
    <s v="Royal Challengers Bangalore"/>
    <x v="0"/>
    <x v="0"/>
    <x v="6"/>
    <s v="runs"/>
    <n v="9"/>
    <s v="N"/>
    <s v="Normal Match"/>
    <s v="S Ravi"/>
    <s v="SJA Taufel"/>
    <x v="4"/>
    <x v="0"/>
  </r>
  <r>
    <s v="548377"/>
    <s v="Jaipur"/>
    <n v="2012"/>
    <d v="2012-05-20T00:00:00"/>
    <x v="60"/>
    <x v="5"/>
    <x v="5"/>
    <s v="Mumbai Indians"/>
    <x v="2"/>
    <x v="1"/>
    <x v="7"/>
    <s v="wickets"/>
    <n v="10"/>
    <s v="N"/>
    <s v="Normal Match"/>
    <s v="HDPK Dharmasena"/>
    <s v="C Shamshuddin"/>
    <x v="4"/>
    <x v="1"/>
  </r>
  <r>
    <s v="548378"/>
    <s v="Pune"/>
    <n v="2012"/>
    <d v="2012-05-22T00:00:00"/>
    <x v="8"/>
    <x v="25"/>
    <x v="2"/>
    <s v="Kolkata Knight Riders"/>
    <x v="6"/>
    <x v="1"/>
    <x v="0"/>
    <s v="runs"/>
    <n v="18"/>
    <s v="N"/>
    <s v="Normal Match"/>
    <s v="BR Doctrove"/>
    <s v="SJA Taufel"/>
    <x v="4"/>
    <x v="0"/>
  </r>
  <r>
    <s v="548379"/>
    <s v="Bangalore"/>
    <n v="2012"/>
    <d v="2012-05-23T00:00:00"/>
    <x v="13"/>
    <x v="0"/>
    <x v="7"/>
    <s v="Mumbai Indians"/>
    <x v="3"/>
    <x v="0"/>
    <x v="1"/>
    <s v="runs"/>
    <n v="38"/>
    <s v="N"/>
    <s v="Normal Match"/>
    <s v="BF Bowden"/>
    <s v="HDPK Dharmasena"/>
    <x v="4"/>
    <x v="0"/>
  </r>
  <r>
    <s v="548380"/>
    <s v="Chennai"/>
    <n v="2012"/>
    <d v="2012-05-25T00:00:00"/>
    <x v="80"/>
    <x v="7"/>
    <x v="2"/>
    <s v="Chennai Super Kings"/>
    <x v="7"/>
    <x v="0"/>
    <x v="1"/>
    <s v="runs"/>
    <n v="86"/>
    <s v="N"/>
    <s v="Normal Match"/>
    <s v="BR Doctrove"/>
    <s v="SJA Taufel"/>
    <x v="4"/>
    <x v="0"/>
  </r>
  <r>
    <s v="548381"/>
    <s v="Chennai"/>
    <n v="2012"/>
    <d v="2012-05-27T00:00:00"/>
    <x v="135"/>
    <x v="7"/>
    <x v="4"/>
    <s v="Chennai Super Kings"/>
    <x v="1"/>
    <x v="1"/>
    <x v="0"/>
    <s v="wickets"/>
    <n v="5"/>
    <s v="N"/>
    <s v="Normal Match"/>
    <s v="BF Bowden"/>
    <s v="SJA Taufel"/>
    <x v="4"/>
    <x v="1"/>
  </r>
  <r>
    <s v="597998"/>
    <s v="Kolkata"/>
    <n v="2013"/>
    <d v="2013-04-03T00:00:00"/>
    <x v="125"/>
    <x v="4"/>
    <x v="4"/>
    <s v="Delhi Capitals"/>
    <x v="6"/>
    <x v="0"/>
    <x v="0"/>
    <s v="wickets"/>
    <n v="6"/>
    <s v="N"/>
    <s v="Normal Match"/>
    <s v="S Ravi"/>
    <s v="SJA Taufel"/>
    <x v="5"/>
    <x v="1"/>
  </r>
  <r>
    <s v="597999"/>
    <s v="Bangalore"/>
    <n v="2013"/>
    <d v="2013-04-04T00:00:00"/>
    <x v="45"/>
    <x v="0"/>
    <x v="0"/>
    <s v="Mumbai Indians"/>
    <x v="3"/>
    <x v="0"/>
    <x v="3"/>
    <s v="runs"/>
    <n v="2"/>
    <s v="N"/>
    <s v="Normal Match"/>
    <s v="VA Kulkarni"/>
    <s v="C Shamshuddin"/>
    <x v="5"/>
    <x v="0"/>
  </r>
  <r>
    <s v="598000"/>
    <s v="Hyderabad"/>
    <n v="2013"/>
    <d v="2013-04-05T00:00:00"/>
    <x v="28"/>
    <x v="6"/>
    <x v="10"/>
    <s v="Pune Warriors"/>
    <x v="9"/>
    <x v="0"/>
    <x v="10"/>
    <s v="runs"/>
    <n v="22"/>
    <s v="N"/>
    <s v="Normal Match"/>
    <s v="S Ravi"/>
    <s v="SJA Taufel"/>
    <x v="5"/>
    <x v="0"/>
  </r>
  <r>
    <s v="598001"/>
    <s v="Delhi"/>
    <n v="2013"/>
    <d v="2013-04-06T00:00:00"/>
    <x v="41"/>
    <x v="2"/>
    <x v="2"/>
    <s v="Rajasthan Royals"/>
    <x v="2"/>
    <x v="1"/>
    <x v="4"/>
    <s v="runs"/>
    <n v="5"/>
    <s v="N"/>
    <s v="Normal Match"/>
    <s v="S Das"/>
    <s v="C Shamshuddin"/>
    <x v="5"/>
    <x v="0"/>
  </r>
  <r>
    <s v="598002"/>
    <s v="Chennai"/>
    <n v="2013"/>
    <d v="2013-04-06T00:00:00"/>
    <x v="89"/>
    <x v="7"/>
    <x v="7"/>
    <s v="Mumbai Indians"/>
    <x v="3"/>
    <x v="1"/>
    <x v="7"/>
    <s v="runs"/>
    <n v="9"/>
    <s v="N"/>
    <s v="Normal Match"/>
    <s v="M Erasmus"/>
    <s v="VA Kulkarni"/>
    <x v="5"/>
    <x v="0"/>
  </r>
  <r>
    <s v="598003"/>
    <s v="Pune"/>
    <n v="2013"/>
    <d v="2013-04-07T00:00:00"/>
    <x v="136"/>
    <x v="25"/>
    <x v="9"/>
    <s v="Punjab Kings"/>
    <x v="9"/>
    <x v="1"/>
    <x v="5"/>
    <s v="wickets"/>
    <n v="8"/>
    <s v="N"/>
    <s v="Normal Match"/>
    <s v="S Asnani"/>
    <s v="SJA Taufel"/>
    <x v="5"/>
    <x v="1"/>
  </r>
  <r>
    <s v="598005"/>
    <s v="Jaipur"/>
    <n v="2013"/>
    <d v="2013-04-08T00:00:00"/>
    <x v="96"/>
    <x v="5"/>
    <x v="5"/>
    <s v="Kolkata Knight Riders"/>
    <x v="6"/>
    <x v="0"/>
    <x v="4"/>
    <s v="runs"/>
    <n v="19"/>
    <s v="N"/>
    <s v="Normal Match"/>
    <s v="Aleem Dar"/>
    <s v="S Das"/>
    <x v="5"/>
    <x v="0"/>
  </r>
  <r>
    <s v="598006"/>
    <s v="Mumbai"/>
    <n v="2013"/>
    <d v="2013-04-09T00:00:00"/>
    <x v="35"/>
    <x v="3"/>
    <x v="3"/>
    <s v="Delhi Capitals"/>
    <x v="3"/>
    <x v="1"/>
    <x v="7"/>
    <s v="runs"/>
    <n v="44"/>
    <s v="N"/>
    <s v="Normal Match"/>
    <s v="M Erasmus"/>
    <s v="VA Kulkarni"/>
    <x v="5"/>
    <x v="0"/>
  </r>
  <r>
    <s v="598007"/>
    <s v="Chandigarh"/>
    <n v="2013"/>
    <d v="2013-04-10T00:00:00"/>
    <x v="1"/>
    <x v="1"/>
    <x v="1"/>
    <s v="Chennai Super Kings"/>
    <x v="1"/>
    <x v="0"/>
    <x v="1"/>
    <s v="wickets"/>
    <n v="10"/>
    <s v="N"/>
    <s v="Normal Match"/>
    <s v="Aleem Dar"/>
    <s v="C Shamshuddin"/>
    <x v="5"/>
    <x v="1"/>
  </r>
  <r>
    <s v="598008"/>
    <s v="Bangalore"/>
    <n v="2013"/>
    <d v="2013-04-11T00:00:00"/>
    <x v="45"/>
    <x v="0"/>
    <x v="0"/>
    <s v="Kolkata Knight Riders"/>
    <x v="0"/>
    <x v="0"/>
    <x v="3"/>
    <s v="wickets"/>
    <n v="8"/>
    <s v="N"/>
    <s v="Normal Match"/>
    <s v="Asad Rauf"/>
    <s v="AK Chaudhary"/>
    <x v="5"/>
    <x v="1"/>
  </r>
  <r>
    <s v="598009"/>
    <s v="Pune"/>
    <n v="2013"/>
    <d v="2013-04-11T00:00:00"/>
    <x v="137"/>
    <x v="25"/>
    <x v="9"/>
    <s v="Rajasthan Royals"/>
    <x v="2"/>
    <x v="1"/>
    <x v="8"/>
    <s v="wickets"/>
    <n v="7"/>
    <s v="N"/>
    <s v="Normal Match"/>
    <s v="M Erasmus"/>
    <s v="K Srinath"/>
    <x v="5"/>
    <x v="1"/>
  </r>
  <r>
    <s v="598010"/>
    <s v="Delhi"/>
    <n v="2013"/>
    <d v="2013-04-12T00:00:00"/>
    <x v="28"/>
    <x v="2"/>
    <x v="2"/>
    <s v="Sunrisers Hyderabad"/>
    <x v="7"/>
    <x v="1"/>
    <x v="10"/>
    <s v="wickets"/>
    <n v="3"/>
    <s v="N"/>
    <s v="Normal Match"/>
    <s v="Aleem Dar"/>
    <s v="Subroto Das"/>
    <x v="5"/>
    <x v="1"/>
  </r>
  <r>
    <s v="598011"/>
    <s v="Mumbai"/>
    <n v="2013"/>
    <d v="2013-04-13T00:00:00"/>
    <x v="57"/>
    <x v="3"/>
    <x v="3"/>
    <s v="Pune Warriors"/>
    <x v="3"/>
    <x v="1"/>
    <x v="7"/>
    <s v="runs"/>
    <n v="41"/>
    <s v="N"/>
    <s v="Normal Match"/>
    <s v="S Ravi"/>
    <s v="SJA Taufel"/>
    <x v="5"/>
    <x v="0"/>
  </r>
  <r>
    <s v="598012"/>
    <s v="Chennai"/>
    <n v="2013"/>
    <d v="2013-04-13T00:00:00"/>
    <x v="118"/>
    <x v="7"/>
    <x v="7"/>
    <s v="Royal Challengers Bangalore"/>
    <x v="1"/>
    <x v="0"/>
    <x v="1"/>
    <s v="wickets"/>
    <n v="4"/>
    <s v="N"/>
    <s v="Normal Match"/>
    <s v="Asad Rauf"/>
    <s v="AK Chaudhary"/>
    <x v="5"/>
    <x v="1"/>
  </r>
  <r>
    <s v="598013"/>
    <s v="Kolkata"/>
    <n v="2013"/>
    <d v="2013-04-14T00:00:00"/>
    <x v="56"/>
    <x v="4"/>
    <x v="4"/>
    <s v="Sunrisers Hyderabad"/>
    <x v="6"/>
    <x v="1"/>
    <x v="0"/>
    <s v="runs"/>
    <n v="48"/>
    <s v="N"/>
    <s v="Normal Match"/>
    <s v="M Erasmus"/>
    <s v="VA Kulkarni"/>
    <x v="5"/>
    <x v="0"/>
  </r>
  <r>
    <s v="598014"/>
    <s v="Jaipur"/>
    <n v="2013"/>
    <d v="2013-04-14T00:00:00"/>
    <x v="138"/>
    <x v="5"/>
    <x v="5"/>
    <s v="Punjab Kings"/>
    <x v="2"/>
    <x v="0"/>
    <x v="4"/>
    <s v="wickets"/>
    <n v="6"/>
    <s v="N"/>
    <s v="Normal Match"/>
    <s v="Aleem Dar"/>
    <s v="C Shamshuddin"/>
    <x v="5"/>
    <x v="1"/>
  </r>
  <r>
    <s v="598015"/>
    <s v="Chennai"/>
    <n v="2013"/>
    <d v="2013-04-15T00:00:00"/>
    <x v="116"/>
    <x v="7"/>
    <x v="7"/>
    <s v="Pune Warriors"/>
    <x v="9"/>
    <x v="1"/>
    <x v="8"/>
    <s v="runs"/>
    <n v="24"/>
    <s v="N"/>
    <s v="Normal Match"/>
    <s v="Asad Rauf"/>
    <s v="AK Chaudhary"/>
    <x v="5"/>
    <x v="0"/>
  </r>
  <r>
    <s v="598016"/>
    <s v="Chandigarh"/>
    <n v="2013"/>
    <d v="2013-04-16T00:00:00"/>
    <x v="139"/>
    <x v="1"/>
    <x v="1"/>
    <s v="Kolkata Knight Riders"/>
    <x v="6"/>
    <x v="0"/>
    <x v="5"/>
    <s v="runs"/>
    <n v="4"/>
    <s v="N"/>
    <s v="Normal Match"/>
    <s v="CK Nandan"/>
    <s v="SJA Taufel"/>
    <x v="5"/>
    <x v="0"/>
  </r>
  <r>
    <s v="598018"/>
    <s v="Pune"/>
    <n v="2013"/>
    <d v="2013-04-17T00:00:00"/>
    <x v="28"/>
    <x v="25"/>
    <x v="9"/>
    <s v="Sunrisers Hyderabad"/>
    <x v="9"/>
    <x v="0"/>
    <x v="10"/>
    <s v="runs"/>
    <n v="11"/>
    <s v="N"/>
    <s v="Normal Match"/>
    <s v="Asad Rauf"/>
    <s v="AK Chaudhary"/>
    <x v="5"/>
    <x v="0"/>
  </r>
  <r>
    <s v="598019"/>
    <s v="Jaipur"/>
    <n v="2013"/>
    <d v="2013-04-17T00:00:00"/>
    <x v="117"/>
    <x v="5"/>
    <x v="5"/>
    <s v="Mumbai Indians"/>
    <x v="2"/>
    <x v="1"/>
    <x v="4"/>
    <s v="runs"/>
    <n v="87"/>
    <s v="N"/>
    <s v="Normal Match"/>
    <s v="Aleem Dar"/>
    <s v="C Shamshuddin"/>
    <x v="5"/>
    <x v="0"/>
  </r>
  <r>
    <s v="598020"/>
    <s v="Delhi"/>
    <n v="2013"/>
    <d v="2013-04-18T00:00:00"/>
    <x v="1"/>
    <x v="2"/>
    <x v="2"/>
    <s v="Chennai Super Kings"/>
    <x v="1"/>
    <x v="1"/>
    <x v="1"/>
    <s v="runs"/>
    <n v="86"/>
    <s v="N"/>
    <s v="Normal Match"/>
    <s v="M Erasmus"/>
    <s v="VA Kulkarni"/>
    <x v="5"/>
    <x v="0"/>
  </r>
  <r>
    <s v="598021"/>
    <s v="Hyderabad"/>
    <n v="2013"/>
    <d v="2013-04-19T00:00:00"/>
    <x v="140"/>
    <x v="6"/>
    <x v="10"/>
    <s v="Punjab Kings"/>
    <x v="5"/>
    <x v="1"/>
    <x v="10"/>
    <s v="wickets"/>
    <n v="5"/>
    <s v="N"/>
    <s v="Normal Match"/>
    <s v="HDPK Dharmasena"/>
    <s v="CK Nandan"/>
    <x v="5"/>
    <x v="1"/>
  </r>
  <r>
    <s v="598022"/>
    <s v="Kolkata"/>
    <n v="2013"/>
    <d v="2013-04-20T00:00:00"/>
    <x v="118"/>
    <x v="4"/>
    <x v="4"/>
    <s v="Chennai Super Kings"/>
    <x v="6"/>
    <x v="1"/>
    <x v="1"/>
    <s v="wickets"/>
    <n v="4"/>
    <s v="N"/>
    <s v="Normal Match"/>
    <s v="Asad Rauf"/>
    <s v="AK Chaudhary"/>
    <x v="5"/>
    <x v="1"/>
  </r>
  <r>
    <s v="598023"/>
    <s v="Bangalore"/>
    <n v="2013"/>
    <d v="2013-04-20T00:00:00"/>
    <x v="18"/>
    <x v="0"/>
    <x v="0"/>
    <s v="Rajasthan Royals"/>
    <x v="0"/>
    <x v="0"/>
    <x v="3"/>
    <s v="wickets"/>
    <n v="7"/>
    <s v="N"/>
    <s v="Normal Match"/>
    <s v="Aleem Dar"/>
    <s v="C Shamshuddin"/>
    <x v="5"/>
    <x v="1"/>
  </r>
  <r>
    <s v="598024"/>
    <s v="Delhi"/>
    <n v="2013"/>
    <d v="2013-04-21T00:00:00"/>
    <x v="6"/>
    <x v="2"/>
    <x v="2"/>
    <s v="Mumbai Indians"/>
    <x v="3"/>
    <x v="1"/>
    <x v="2"/>
    <s v="wickets"/>
    <n v="9"/>
    <s v="N"/>
    <s v="Normal Match"/>
    <s v="HDPK Dharmasena"/>
    <s v="S Ravi"/>
    <x v="5"/>
    <x v="1"/>
  </r>
  <r>
    <s v="598025"/>
    <s v="Chandigarh"/>
    <n v="2013"/>
    <d v="2013-04-21T00:00:00"/>
    <x v="141"/>
    <x v="1"/>
    <x v="1"/>
    <s v="Pune Warriors"/>
    <x v="5"/>
    <x v="0"/>
    <x v="5"/>
    <s v="wickets"/>
    <n v="7"/>
    <s v="N"/>
    <s v="Normal Match"/>
    <s v="M Erasmus"/>
    <s v="K Srinath"/>
    <x v="5"/>
    <x v="1"/>
  </r>
  <r>
    <s v="598026"/>
    <s v="Chennai"/>
    <n v="2013"/>
    <d v="2013-04-22T00:00:00"/>
    <x v="1"/>
    <x v="7"/>
    <x v="7"/>
    <s v="Rajasthan Royals"/>
    <x v="2"/>
    <x v="1"/>
    <x v="1"/>
    <s v="wickets"/>
    <n v="5"/>
    <s v="N"/>
    <s v="Normal Match"/>
    <s v="S Asnani"/>
    <s v="AK Chaudhary"/>
    <x v="5"/>
    <x v="1"/>
  </r>
  <r>
    <s v="598027"/>
    <s v="Bangalore"/>
    <n v="2013"/>
    <d v="2013-04-23T00:00:00"/>
    <x v="45"/>
    <x v="0"/>
    <x v="0"/>
    <s v="Pune Warriors"/>
    <x v="9"/>
    <x v="0"/>
    <x v="3"/>
    <s v="runs"/>
    <n v="130"/>
    <s v="N"/>
    <s v="Normal Match"/>
    <s v="Aleem Dar"/>
    <s v="C Shamshuddin"/>
    <x v="5"/>
    <x v="0"/>
  </r>
  <r>
    <s v="598028"/>
    <s v="Dharamsala"/>
    <n v="2013"/>
    <d v="2013-05-16T00:00:00"/>
    <x v="141"/>
    <x v="21"/>
    <x v="1"/>
    <s v="Delhi Capitals"/>
    <x v="7"/>
    <x v="0"/>
    <x v="5"/>
    <s v="runs"/>
    <n v="7"/>
    <s v="N"/>
    <s v="Normal Match"/>
    <s v="HDPK Dharmasena"/>
    <s v="S Ravi"/>
    <x v="5"/>
    <x v="0"/>
  </r>
  <r>
    <s v="598029"/>
    <s v="Kolkata"/>
    <n v="2013"/>
    <d v="2013-04-24T00:00:00"/>
    <x v="60"/>
    <x v="4"/>
    <x v="4"/>
    <s v="Mumbai Indians"/>
    <x v="6"/>
    <x v="1"/>
    <x v="7"/>
    <s v="wickets"/>
    <n v="5"/>
    <s v="N"/>
    <s v="Normal Match"/>
    <s v="HDPK Dharmasena"/>
    <s v="S Ravi"/>
    <x v="5"/>
    <x v="1"/>
  </r>
  <r>
    <s v="598030"/>
    <s v="Chennai"/>
    <n v="2013"/>
    <d v="2013-04-25T00:00:00"/>
    <x v="13"/>
    <x v="7"/>
    <x v="7"/>
    <s v="Sunrisers Hyderabad"/>
    <x v="10"/>
    <x v="1"/>
    <x v="1"/>
    <s v="wickets"/>
    <n v="5"/>
    <s v="N"/>
    <s v="Normal Match"/>
    <s v="Aleem Dar"/>
    <s v="S Das"/>
    <x v="5"/>
    <x v="1"/>
  </r>
  <r>
    <s v="598031"/>
    <s v="Kolkata"/>
    <n v="2013"/>
    <d v="2013-04-26T00:00:00"/>
    <x v="55"/>
    <x v="4"/>
    <x v="4"/>
    <s v="Punjab Kings"/>
    <x v="5"/>
    <x v="1"/>
    <x v="0"/>
    <s v="wickets"/>
    <n v="6"/>
    <s v="N"/>
    <s v="Normal Match"/>
    <s v="CK Nandan"/>
    <s v="S Ravi"/>
    <x v="5"/>
    <x v="1"/>
  </r>
  <r>
    <s v="598032"/>
    <s v="Jaipur"/>
    <n v="2013"/>
    <d v="2013-04-27T00:00:00"/>
    <x v="138"/>
    <x v="5"/>
    <x v="5"/>
    <s v="Sunrisers Hyderabad"/>
    <x v="10"/>
    <x v="1"/>
    <x v="4"/>
    <s v="wickets"/>
    <n v="8"/>
    <s v="N"/>
    <s v="Normal Match"/>
    <s v="VA Kulkarni"/>
    <s v="K Srinath"/>
    <x v="5"/>
    <x v="1"/>
  </r>
  <r>
    <s v="598033"/>
    <s v="Mumbai"/>
    <n v="2013"/>
    <d v="2013-04-27T00:00:00"/>
    <x v="60"/>
    <x v="3"/>
    <x v="3"/>
    <s v="Royal Challengers Bangalore"/>
    <x v="3"/>
    <x v="1"/>
    <x v="7"/>
    <s v="runs"/>
    <n v="58"/>
    <s v="N"/>
    <s v="Normal Match"/>
    <s v="Asad Rauf"/>
    <s v="S Asnani"/>
    <x v="5"/>
    <x v="0"/>
  </r>
  <r>
    <s v="598034"/>
    <s v="Chennai"/>
    <n v="2013"/>
    <d v="2013-04-28T00:00:00"/>
    <x v="1"/>
    <x v="7"/>
    <x v="7"/>
    <s v="Kolkata Knight Riders"/>
    <x v="6"/>
    <x v="0"/>
    <x v="1"/>
    <s v="runs"/>
    <n v="14"/>
    <s v="N"/>
    <s v="Normal Match"/>
    <s v="Aleem Dar"/>
    <s v="SJA Taufel"/>
    <x v="5"/>
    <x v="0"/>
  </r>
  <r>
    <s v="598035"/>
    <s v="Raipur"/>
    <n v="2013"/>
    <d v="2013-04-28T00:00:00"/>
    <x v="78"/>
    <x v="26"/>
    <x v="2"/>
    <s v="Pune Warriors"/>
    <x v="9"/>
    <x v="0"/>
    <x v="2"/>
    <s v="runs"/>
    <n v="15"/>
    <s v="N"/>
    <s v="Normal Match"/>
    <s v="CK Nandan"/>
    <s v="S Ravi"/>
    <x v="5"/>
    <x v="0"/>
  </r>
  <r>
    <s v="598036"/>
    <s v="Jaipur"/>
    <n v="2013"/>
    <d v="2013-04-29T00:00:00"/>
    <x v="142"/>
    <x v="5"/>
    <x v="5"/>
    <s v="Royal Challengers Bangalore"/>
    <x v="2"/>
    <x v="0"/>
    <x v="4"/>
    <s v="wickets"/>
    <n v="4"/>
    <s v="N"/>
    <s v="Normal Match"/>
    <s v="M Erasmus"/>
    <s v="K Srinath"/>
    <x v="5"/>
    <x v="1"/>
  </r>
  <r>
    <s v="598037"/>
    <s v="Mumbai"/>
    <n v="2013"/>
    <d v="2013-04-29T00:00:00"/>
    <x v="57"/>
    <x v="3"/>
    <x v="3"/>
    <s v="Punjab Kings"/>
    <x v="3"/>
    <x v="1"/>
    <x v="7"/>
    <s v="runs"/>
    <n v="4"/>
    <s v="N"/>
    <s v="Normal Match"/>
    <s v="Asad Rauf"/>
    <s v="AK Chaudhary"/>
    <x v="5"/>
    <x v="0"/>
  </r>
  <r>
    <s v="598038"/>
    <s v="Pune"/>
    <n v="2013"/>
    <d v="2013-04-30T00:00:00"/>
    <x v="13"/>
    <x v="25"/>
    <x v="9"/>
    <s v="Chennai Super Kings"/>
    <x v="1"/>
    <x v="1"/>
    <x v="1"/>
    <s v="runs"/>
    <n v="37"/>
    <s v="N"/>
    <s v="Normal Match"/>
    <s v="S Das"/>
    <s v="SJA Taufel"/>
    <x v="5"/>
    <x v="0"/>
  </r>
  <r>
    <s v="598039"/>
    <s v="Hyderabad"/>
    <n v="2013"/>
    <d v="2013-05-01T00:00:00"/>
    <x v="104"/>
    <x v="6"/>
    <x v="10"/>
    <s v="Mumbai Indians"/>
    <x v="3"/>
    <x v="1"/>
    <x v="10"/>
    <s v="wickets"/>
    <n v="7"/>
    <s v="N"/>
    <s v="Normal Match"/>
    <s v="Asad Rauf"/>
    <s v="S Asnani"/>
    <x v="5"/>
    <x v="1"/>
  </r>
  <r>
    <s v="598040"/>
    <s v="Raipur"/>
    <n v="2013"/>
    <d v="2013-05-01T00:00:00"/>
    <x v="78"/>
    <x v="26"/>
    <x v="2"/>
    <s v="Kolkata Knight Riders"/>
    <x v="6"/>
    <x v="1"/>
    <x v="2"/>
    <s v="wickets"/>
    <n v="7"/>
    <s v="N"/>
    <s v="Normal Match"/>
    <s v="HDPK Dharmasena"/>
    <s v="CK Nandan"/>
    <x v="5"/>
    <x v="1"/>
  </r>
  <r>
    <s v="598041"/>
    <s v="Chennai"/>
    <n v="2013"/>
    <d v="2013-05-02T00:00:00"/>
    <x v="39"/>
    <x v="7"/>
    <x v="7"/>
    <s v="Punjab Kings"/>
    <x v="1"/>
    <x v="1"/>
    <x v="1"/>
    <s v="runs"/>
    <n v="15"/>
    <s v="N"/>
    <s v="Normal Match"/>
    <s v="M Erasmus"/>
    <s v="VA Kulkarni"/>
    <x v="5"/>
    <x v="0"/>
  </r>
  <r>
    <s v="598042"/>
    <s v="Pune"/>
    <n v="2013"/>
    <d v="2013-05-02T00:00:00"/>
    <x v="46"/>
    <x v="25"/>
    <x v="9"/>
    <s v="Royal Challengers Bangalore"/>
    <x v="0"/>
    <x v="1"/>
    <x v="3"/>
    <s v="runs"/>
    <n v="17"/>
    <s v="N"/>
    <s v="Normal Match"/>
    <s v="Aleem Dar"/>
    <s v="C Shamshuddin"/>
    <x v="5"/>
    <x v="0"/>
  </r>
  <r>
    <s v="598043"/>
    <s v="Kolkata"/>
    <n v="2013"/>
    <d v="2013-05-03T00:00:00"/>
    <x v="8"/>
    <x v="4"/>
    <x v="4"/>
    <s v="Rajasthan Royals"/>
    <x v="2"/>
    <x v="1"/>
    <x v="0"/>
    <s v="wickets"/>
    <n v="8"/>
    <s v="N"/>
    <s v="Normal Match"/>
    <s v="HDPK Dharmasena"/>
    <s v="CK Nandan"/>
    <x v="5"/>
    <x v="1"/>
  </r>
  <r>
    <s v="598044"/>
    <s v="Hyderabad"/>
    <n v="2013"/>
    <d v="2013-05-04T00:00:00"/>
    <x v="143"/>
    <x v="6"/>
    <x v="10"/>
    <s v="Delhi Capitals"/>
    <x v="7"/>
    <x v="1"/>
    <x v="10"/>
    <s v="wickets"/>
    <n v="6"/>
    <s v="N"/>
    <s v="Normal Match"/>
    <s v="Asad Rauf"/>
    <s v="S Asnani"/>
    <x v="5"/>
    <x v="1"/>
  </r>
  <r>
    <s v="598045"/>
    <s v="Bangalore"/>
    <n v="2013"/>
    <d v="2013-05-14T00:00:00"/>
    <x v="11"/>
    <x v="0"/>
    <x v="0"/>
    <s v="Punjab Kings"/>
    <x v="5"/>
    <x v="0"/>
    <x v="5"/>
    <s v="wickets"/>
    <n v="7"/>
    <s v="N"/>
    <s v="Normal Match"/>
    <s v="HDPK Dharmasena"/>
    <s v="S Ravi"/>
    <x v="5"/>
    <x v="1"/>
  </r>
  <r>
    <s v="598046"/>
    <s v="Mumbai"/>
    <n v="2013"/>
    <d v="2013-05-05T00:00:00"/>
    <x v="144"/>
    <x v="3"/>
    <x v="3"/>
    <s v="Chennai Super Kings"/>
    <x v="3"/>
    <x v="1"/>
    <x v="7"/>
    <s v="runs"/>
    <n v="60"/>
    <s v="N"/>
    <s v="Normal Match"/>
    <s v="HDPK Dharmasena"/>
    <s v="CK Nandan"/>
    <x v="5"/>
    <x v="0"/>
  </r>
  <r>
    <s v="598047"/>
    <s v="Jaipur"/>
    <n v="2013"/>
    <d v="2013-05-05T00:00:00"/>
    <x v="117"/>
    <x v="5"/>
    <x v="5"/>
    <s v="Pune Warriors"/>
    <x v="9"/>
    <x v="1"/>
    <x v="4"/>
    <s v="wickets"/>
    <n v="5"/>
    <s v="N"/>
    <s v="Normal Match"/>
    <s v="C Shamshuddin"/>
    <s v="RJ Tucker"/>
    <x v="5"/>
    <x v="1"/>
  </r>
  <r>
    <s v="598048"/>
    <s v="Bangalore"/>
    <n v="2013"/>
    <d v="2013-04-09T00:00:00"/>
    <x v="103"/>
    <x v="0"/>
    <x v="0"/>
    <s v="Sunrisers Hyderabad"/>
    <x v="10"/>
    <x v="1"/>
    <x v="3"/>
    <s v="wickets"/>
    <n v="7"/>
    <s v="N"/>
    <s v="Normal Match"/>
    <s v="S Ravi"/>
    <s v="SJA Taufel"/>
    <x v="5"/>
    <x v="1"/>
  </r>
  <r>
    <s v="598049"/>
    <s v="Jaipur"/>
    <n v="2013"/>
    <d v="2013-05-07T00:00:00"/>
    <x v="117"/>
    <x v="5"/>
    <x v="5"/>
    <s v="Delhi Capitals"/>
    <x v="7"/>
    <x v="1"/>
    <x v="4"/>
    <s v="wickets"/>
    <n v="9"/>
    <s v="N"/>
    <s v="Normal Match"/>
    <s v="Aleem Dar"/>
    <s v="RJ Tucker"/>
    <x v="5"/>
    <x v="1"/>
  </r>
  <r>
    <s v="598050"/>
    <s v="Mumbai"/>
    <n v="2013"/>
    <d v="2013-05-07T00:00:00"/>
    <x v="40"/>
    <x v="3"/>
    <x v="3"/>
    <s v="Kolkata Knight Riders"/>
    <x v="3"/>
    <x v="1"/>
    <x v="7"/>
    <s v="runs"/>
    <n v="65"/>
    <s v="N"/>
    <s v="Normal Match"/>
    <s v="HDPK Dharmasena"/>
    <s v="S Ravi"/>
    <x v="5"/>
    <x v="0"/>
  </r>
  <r>
    <s v="598051"/>
    <s v="Hyderabad"/>
    <n v="2013"/>
    <d v="2013-05-08T00:00:00"/>
    <x v="39"/>
    <x v="6"/>
    <x v="10"/>
    <s v="Chennai Super Kings"/>
    <x v="10"/>
    <x v="0"/>
    <x v="1"/>
    <s v="runs"/>
    <n v="77"/>
    <s v="N"/>
    <s v="Normal Match"/>
    <s v="S Das"/>
    <s v="NJ Llong"/>
    <x v="5"/>
    <x v="0"/>
  </r>
  <r>
    <s v="598052"/>
    <s v="Chandigarh"/>
    <n v="2013"/>
    <d v="2013-05-09T00:00:00"/>
    <x v="145"/>
    <x v="1"/>
    <x v="1"/>
    <s v="Rajasthan Royals"/>
    <x v="2"/>
    <x v="0"/>
    <x v="4"/>
    <s v="wickets"/>
    <n v="8"/>
    <s v="N"/>
    <s v="Normal Match"/>
    <s v="HDPK Dharmasena"/>
    <s v="S Ravi"/>
    <x v="5"/>
    <x v="1"/>
  </r>
  <r>
    <s v="598053"/>
    <s v="Pune"/>
    <n v="2013"/>
    <d v="2013-05-09T00:00:00"/>
    <x v="56"/>
    <x v="25"/>
    <x v="9"/>
    <s v="Kolkata Knight Riders"/>
    <x v="6"/>
    <x v="1"/>
    <x v="0"/>
    <s v="runs"/>
    <n v="46"/>
    <s v="N"/>
    <s v="Normal Match"/>
    <s v="Asad Rauf"/>
    <s v="S Asnani"/>
    <x v="5"/>
    <x v="0"/>
  </r>
  <r>
    <s v="598054"/>
    <s v="Delhi"/>
    <n v="2013"/>
    <d v="2013-05-10T00:00:00"/>
    <x v="92"/>
    <x v="2"/>
    <x v="2"/>
    <s v="Royal Challengers Bangalore"/>
    <x v="7"/>
    <x v="0"/>
    <x v="3"/>
    <s v="runs"/>
    <n v="4"/>
    <s v="N"/>
    <s v="Normal Match"/>
    <s v="NJ Llong"/>
    <s v="K Srinath"/>
    <x v="5"/>
    <x v="0"/>
  </r>
  <r>
    <s v="598055"/>
    <s v="Pune"/>
    <n v="2013"/>
    <d v="2013-05-11T00:00:00"/>
    <x v="144"/>
    <x v="25"/>
    <x v="9"/>
    <s v="Mumbai Indians"/>
    <x v="9"/>
    <x v="1"/>
    <x v="7"/>
    <s v="wickets"/>
    <n v="5"/>
    <s v="N"/>
    <s v="Normal Match"/>
    <s v="Asad Rauf"/>
    <s v="AK Chaudhary"/>
    <x v="5"/>
    <x v="1"/>
  </r>
  <r>
    <s v="598056"/>
    <s v="Chandigarh"/>
    <n v="2013"/>
    <d v="2013-05-11T00:00:00"/>
    <x v="146"/>
    <x v="1"/>
    <x v="1"/>
    <s v="Sunrisers Hyderabad"/>
    <x v="5"/>
    <x v="0"/>
    <x v="10"/>
    <s v="runs"/>
    <n v="30"/>
    <s v="N"/>
    <s v="Normal Match"/>
    <s v="S Das"/>
    <s v="RJ Tucker"/>
    <x v="5"/>
    <x v="0"/>
  </r>
  <r>
    <s v="598057"/>
    <s v="Ranchi"/>
    <n v="2013"/>
    <d v="2013-05-12T00:00:00"/>
    <x v="55"/>
    <x v="27"/>
    <x v="4"/>
    <s v="Royal Challengers Bangalore"/>
    <x v="6"/>
    <x v="0"/>
    <x v="0"/>
    <s v="wickets"/>
    <n v="5"/>
    <s v="N"/>
    <s v="Normal Match"/>
    <s v="NJ Llong"/>
    <s v="K Srinath"/>
    <x v="5"/>
    <x v="1"/>
  </r>
  <r>
    <s v="598058"/>
    <s v="Jaipur"/>
    <n v="2013"/>
    <d v="2013-05-12T00:00:00"/>
    <x v="5"/>
    <x v="5"/>
    <x v="5"/>
    <s v="Chennai Super Kings"/>
    <x v="2"/>
    <x v="0"/>
    <x v="4"/>
    <s v="wickets"/>
    <n v="5"/>
    <s v="N"/>
    <s v="Normal Match"/>
    <s v="HDPK Dharmasena"/>
    <s v="CK Nandan"/>
    <x v="5"/>
    <x v="1"/>
  </r>
  <r>
    <s v="598059"/>
    <s v="Delhi"/>
    <n v="2013"/>
    <d v="2013-04-23T00:00:00"/>
    <x v="88"/>
    <x v="2"/>
    <x v="2"/>
    <s v="Punjab Kings"/>
    <x v="5"/>
    <x v="0"/>
    <x v="5"/>
    <s v="wickets"/>
    <n v="5"/>
    <s v="N"/>
    <s v="Normal Match"/>
    <s v="VA Kulkarni"/>
    <s v="K Srinath"/>
    <x v="5"/>
    <x v="1"/>
  </r>
  <r>
    <s v="598060"/>
    <s v="Mumbai"/>
    <n v="2013"/>
    <d v="2013-05-13T00:00:00"/>
    <x v="89"/>
    <x v="3"/>
    <x v="3"/>
    <s v="Sunrisers Hyderabad"/>
    <x v="10"/>
    <x v="1"/>
    <x v="7"/>
    <s v="wickets"/>
    <n v="7"/>
    <s v="N"/>
    <s v="Normal Match"/>
    <s v="AK Chaudhary"/>
    <s v="SJA Taufel"/>
    <x v="5"/>
    <x v="1"/>
  </r>
  <r>
    <s v="598061"/>
    <s v="Ranchi"/>
    <n v="2013"/>
    <d v="2013-05-15T00:00:00"/>
    <x v="68"/>
    <x v="27"/>
    <x v="4"/>
    <s v="Pune Warriors"/>
    <x v="6"/>
    <x v="0"/>
    <x v="8"/>
    <s v="runs"/>
    <n v="7"/>
    <s v="N"/>
    <s v="Normal Match"/>
    <s v="NJ Llong"/>
    <s v="K Srinath"/>
    <x v="5"/>
    <x v="0"/>
  </r>
  <r>
    <s v="598062"/>
    <s v="Chennai"/>
    <n v="2013"/>
    <d v="2013-05-14T00:00:00"/>
    <x v="13"/>
    <x v="7"/>
    <x v="7"/>
    <s v="Delhi Capitals"/>
    <x v="1"/>
    <x v="1"/>
    <x v="1"/>
    <s v="runs"/>
    <n v="33"/>
    <s v="N"/>
    <s v="Normal Match"/>
    <s v="C Shamshuddin"/>
    <s v="RJ Tucker"/>
    <x v="5"/>
    <x v="0"/>
  </r>
  <r>
    <s v="598063"/>
    <s v="Mumbai"/>
    <n v="2013"/>
    <d v="2013-05-15T00:00:00"/>
    <x v="147"/>
    <x v="3"/>
    <x v="3"/>
    <s v="Rajasthan Royals"/>
    <x v="2"/>
    <x v="0"/>
    <x v="7"/>
    <s v="runs"/>
    <n v="14"/>
    <s v="N"/>
    <s v="Normal Match"/>
    <s v="Asad Rauf"/>
    <s v="S Asnani"/>
    <x v="5"/>
    <x v="0"/>
  </r>
  <r>
    <s v="598064"/>
    <s v="Chandigarh"/>
    <n v="2013"/>
    <d v="2013-05-06T00:00:00"/>
    <x v="141"/>
    <x v="1"/>
    <x v="1"/>
    <s v="Royal Challengers Bangalore"/>
    <x v="5"/>
    <x v="0"/>
    <x v="5"/>
    <s v="wickets"/>
    <n v="6"/>
    <s v="N"/>
    <s v="Normal Match"/>
    <s v="VA Kulkarni"/>
    <s v="NJ Llong"/>
    <x v="5"/>
    <x v="1"/>
  </r>
  <r>
    <s v="598065"/>
    <s v="Hyderabad"/>
    <n v="2013"/>
    <d v="2013-05-17T00:00:00"/>
    <x v="28"/>
    <x v="6"/>
    <x v="10"/>
    <s v="Rajasthan Royals"/>
    <x v="10"/>
    <x v="1"/>
    <x v="10"/>
    <s v="runs"/>
    <n v="23"/>
    <s v="N"/>
    <s v="Normal Match"/>
    <s v="Asad Rauf"/>
    <s v="AK Chaudhary"/>
    <x v="5"/>
    <x v="0"/>
  </r>
  <r>
    <s v="598066"/>
    <s v="Dharamsala"/>
    <n v="2013"/>
    <d v="2013-05-18T00:00:00"/>
    <x v="131"/>
    <x v="21"/>
    <x v="1"/>
    <s v="Mumbai Indians"/>
    <x v="3"/>
    <x v="0"/>
    <x v="5"/>
    <s v="runs"/>
    <n v="50"/>
    <s v="N"/>
    <s v="Normal Match"/>
    <s v="HDPK Dharmasena"/>
    <s v="CK Nandan"/>
    <x v="5"/>
    <x v="0"/>
  </r>
  <r>
    <s v="598067"/>
    <s v="Pune"/>
    <n v="2013"/>
    <d v="2013-05-19T00:00:00"/>
    <x v="148"/>
    <x v="25"/>
    <x v="9"/>
    <s v="Delhi Capitals"/>
    <x v="9"/>
    <x v="1"/>
    <x v="8"/>
    <s v="runs"/>
    <n v="38"/>
    <s v="N"/>
    <s v="Normal Match"/>
    <s v="NJ Llong"/>
    <s v="SJA Taufel"/>
    <x v="5"/>
    <x v="0"/>
  </r>
  <r>
    <s v="598068"/>
    <s v="Bangalore"/>
    <n v="2013"/>
    <d v="2013-05-18T00:00:00"/>
    <x v="103"/>
    <x v="0"/>
    <x v="0"/>
    <s v="Chennai Super Kings"/>
    <x v="1"/>
    <x v="0"/>
    <x v="3"/>
    <s v="runs"/>
    <n v="24"/>
    <s v="N"/>
    <s v="Normal Match"/>
    <s v="C Shamshuddin"/>
    <s v="RJ Tucker"/>
    <x v="5"/>
    <x v="0"/>
  </r>
  <r>
    <s v="598069"/>
    <s v="Hyderabad"/>
    <n v="2013"/>
    <d v="2013-05-19T00:00:00"/>
    <x v="146"/>
    <x v="6"/>
    <x v="10"/>
    <s v="Kolkata Knight Riders"/>
    <x v="6"/>
    <x v="1"/>
    <x v="10"/>
    <s v="wickets"/>
    <n v="5"/>
    <s v="N"/>
    <s v="Normal Match"/>
    <s v="Asad Rauf"/>
    <s v="S Asnani"/>
    <x v="5"/>
    <x v="1"/>
  </r>
  <r>
    <s v="598070"/>
    <s v="Delhi"/>
    <n v="2013"/>
    <d v="2013-05-21T00:00:00"/>
    <x v="1"/>
    <x v="2"/>
    <x v="7"/>
    <s v="Mumbai Indians"/>
    <x v="1"/>
    <x v="1"/>
    <x v="1"/>
    <s v="runs"/>
    <n v="48"/>
    <s v="N"/>
    <s v="Normal Match"/>
    <s v="NJ Llong"/>
    <s v="RJ Tucker"/>
    <x v="5"/>
    <x v="0"/>
  </r>
  <r>
    <s v="598071"/>
    <s v="Delhi"/>
    <n v="2013"/>
    <d v="2013-05-22T00:00:00"/>
    <x v="66"/>
    <x v="2"/>
    <x v="5"/>
    <s v="Sunrisers Hyderabad"/>
    <x v="10"/>
    <x v="1"/>
    <x v="4"/>
    <s v="wickets"/>
    <n v="4"/>
    <s v="N"/>
    <s v="Normal Match"/>
    <s v="S Ravi"/>
    <s v="RJ Tucker"/>
    <x v="5"/>
    <x v="1"/>
  </r>
  <r>
    <s v="598072"/>
    <s v="Kolkata"/>
    <n v="2013"/>
    <d v="2013-05-24T00:00:00"/>
    <x v="62"/>
    <x v="4"/>
    <x v="3"/>
    <s v="Rajasthan Royals"/>
    <x v="2"/>
    <x v="1"/>
    <x v="7"/>
    <s v="wickets"/>
    <n v="4"/>
    <s v="N"/>
    <s v="Normal Match"/>
    <s v="C Shamshuddin"/>
    <s v="SJA Taufel"/>
    <x v="5"/>
    <x v="1"/>
  </r>
  <r>
    <s v="598073"/>
    <s v="Kolkata"/>
    <n v="2013"/>
    <d v="2013-05-26T00:00:00"/>
    <x v="89"/>
    <x v="4"/>
    <x v="7"/>
    <s v="Mumbai Indians"/>
    <x v="3"/>
    <x v="1"/>
    <x v="7"/>
    <s v="runs"/>
    <n v="23"/>
    <s v="N"/>
    <s v="Normal Match"/>
    <s v="HDPK Dharmasena"/>
    <s v="SJA Taufel"/>
    <x v="5"/>
    <x v="0"/>
  </r>
  <r>
    <s v="729279"/>
    <s v="Abu Dhabi"/>
    <n v="2014"/>
    <d v="2014-04-16T00:00:00"/>
    <x v="55"/>
    <x v="28"/>
    <x v="3"/>
    <s v="Kolkata Knight Riders"/>
    <x v="6"/>
    <x v="1"/>
    <x v="0"/>
    <s v="runs"/>
    <n v="41"/>
    <s v="N"/>
    <s v="Normal Match"/>
    <s v="M Erasmus"/>
    <s v="RK Illingworth"/>
    <x v="6"/>
    <x v="0"/>
  </r>
  <r>
    <s v="729281"/>
    <s v="Unknown"/>
    <n v="2014"/>
    <d v="2014-04-17T00:00:00"/>
    <x v="149"/>
    <x v="29"/>
    <x v="2"/>
    <s v="Royal Challengers Bangalore"/>
    <x v="0"/>
    <x v="0"/>
    <x v="3"/>
    <s v="wickets"/>
    <n v="8"/>
    <s v="N"/>
    <s v="Normal Match"/>
    <s v="Aleem Dar"/>
    <s v="S Ravi"/>
    <x v="6"/>
    <x v="1"/>
  </r>
  <r>
    <s v="729283"/>
    <s v="Abu Dhabi"/>
    <n v="2014"/>
    <d v="2014-04-18T00:00:00"/>
    <x v="150"/>
    <x v="28"/>
    <x v="7"/>
    <s v="Punjab Kings"/>
    <x v="1"/>
    <x v="1"/>
    <x v="5"/>
    <s v="wickets"/>
    <n v="6"/>
    <s v="N"/>
    <s v="Normal Match"/>
    <s v="RK Illingworth"/>
    <s v="C Shamshuddin"/>
    <x v="6"/>
    <x v="1"/>
  </r>
  <r>
    <s v="729285"/>
    <s v="Abu Dhabi"/>
    <n v="2014"/>
    <d v="2014-04-18T00:00:00"/>
    <x v="117"/>
    <x v="28"/>
    <x v="10"/>
    <s v="Rajasthan Royals"/>
    <x v="2"/>
    <x v="0"/>
    <x v="4"/>
    <s v="wickets"/>
    <n v="4"/>
    <s v="N"/>
    <s v="Normal Match"/>
    <s v="BF Bowden"/>
    <s v="RK Illingworth"/>
    <x v="6"/>
    <x v="1"/>
  </r>
  <r>
    <s v="729287"/>
    <s v="Unknown"/>
    <n v="2014"/>
    <d v="2014-04-19T00:00:00"/>
    <x v="146"/>
    <x v="30"/>
    <x v="0"/>
    <s v="Mumbai Indians"/>
    <x v="0"/>
    <x v="0"/>
    <x v="3"/>
    <s v="wickets"/>
    <n v="7"/>
    <s v="N"/>
    <s v="Normal Match"/>
    <s v="Aleem Dar"/>
    <s v="AK Chaudhary"/>
    <x v="6"/>
    <x v="1"/>
  </r>
  <r>
    <s v="729289"/>
    <s v="Unknown"/>
    <n v="2014"/>
    <d v="2014-04-19T00:00:00"/>
    <x v="52"/>
    <x v="30"/>
    <x v="4"/>
    <s v="Delhi Capitals"/>
    <x v="6"/>
    <x v="1"/>
    <x v="2"/>
    <s v="wickets"/>
    <n v="4"/>
    <s v="N"/>
    <s v="Normal Match"/>
    <s v="Aleem Dar"/>
    <s v="VA Kulkarni"/>
    <x v="6"/>
    <x v="1"/>
  </r>
  <r>
    <s v="729291"/>
    <s v="Unknown"/>
    <n v="2014"/>
    <d v="2014-04-20T00:00:00"/>
    <x v="150"/>
    <x v="29"/>
    <x v="5"/>
    <s v="Punjab Kings"/>
    <x v="5"/>
    <x v="0"/>
    <x v="5"/>
    <s v="wickets"/>
    <n v="7"/>
    <s v="N"/>
    <s v="Normal Match"/>
    <s v="BF Bowden"/>
    <s v="M Erasmus"/>
    <x v="6"/>
    <x v="1"/>
  </r>
  <r>
    <s v="729293"/>
    <s v="Abu Dhabi"/>
    <n v="2014"/>
    <d v="2014-04-21T00:00:00"/>
    <x v="39"/>
    <x v="28"/>
    <x v="7"/>
    <s v="Delhi Capitals"/>
    <x v="1"/>
    <x v="1"/>
    <x v="1"/>
    <s v="runs"/>
    <n v="93"/>
    <s v="N"/>
    <s v="Normal Match"/>
    <s v="RK Illingworth"/>
    <s v="C Shamshuddin"/>
    <x v="6"/>
    <x v="0"/>
  </r>
  <r>
    <s v="729295"/>
    <s v="Unknown"/>
    <n v="2014"/>
    <d v="2014-04-22T00:00:00"/>
    <x v="150"/>
    <x v="29"/>
    <x v="1"/>
    <s v="Sunrisers Hyderabad"/>
    <x v="10"/>
    <x v="0"/>
    <x v="5"/>
    <s v="runs"/>
    <n v="72"/>
    <s v="N"/>
    <s v="Normal Match"/>
    <s v="M Erasmus"/>
    <s v="S Ravi"/>
    <x v="6"/>
    <x v="0"/>
  </r>
  <r>
    <s v="729297"/>
    <s v="Unknown"/>
    <n v="2014"/>
    <d v="2014-04-23T00:00:00"/>
    <x v="118"/>
    <x v="30"/>
    <x v="5"/>
    <s v="Chennai Super Kings"/>
    <x v="2"/>
    <x v="0"/>
    <x v="1"/>
    <s v="runs"/>
    <n v="7"/>
    <s v="N"/>
    <s v="Normal Match"/>
    <s v="HDPK Dharmasena"/>
    <s v="RK Illingworth"/>
    <x v="6"/>
    <x v="0"/>
  </r>
  <r>
    <s v="729299"/>
    <s v="Unknown"/>
    <n v="2014"/>
    <d v="2014-04-24T00:00:00"/>
    <x v="151"/>
    <x v="29"/>
    <x v="0"/>
    <s v="Kolkata Knight Riders"/>
    <x v="0"/>
    <x v="0"/>
    <x v="0"/>
    <s v="runs"/>
    <n v="2"/>
    <s v="N"/>
    <s v="Normal Match"/>
    <s v="Aleem Dar"/>
    <s v="VA Kulkarni"/>
    <x v="6"/>
    <x v="0"/>
  </r>
  <r>
    <s v="729301"/>
    <s v="Unknown"/>
    <n v="2014"/>
    <d v="2014-04-25T00:00:00"/>
    <x v="137"/>
    <x v="30"/>
    <x v="10"/>
    <s v="Delhi Capitals"/>
    <x v="10"/>
    <x v="1"/>
    <x v="10"/>
    <s v="runs"/>
    <n v="4"/>
    <s v="N"/>
    <s v="Normal Match"/>
    <s v="M Erasmus"/>
    <s v="S Ravi"/>
    <x v="6"/>
    <x v="0"/>
  </r>
  <r>
    <s v="729303"/>
    <s v="Unknown"/>
    <n v="2014"/>
    <d v="2014-04-25T00:00:00"/>
    <x v="152"/>
    <x v="30"/>
    <x v="7"/>
    <s v="Mumbai Indians"/>
    <x v="3"/>
    <x v="1"/>
    <x v="1"/>
    <s v="wickets"/>
    <n v="7"/>
    <s v="N"/>
    <s v="Normal Match"/>
    <s v="BF Bowden"/>
    <s v="M Erasmus"/>
    <x v="6"/>
    <x v="1"/>
  </r>
  <r>
    <s v="729305"/>
    <s v="Abu Dhabi"/>
    <n v="2014"/>
    <d v="2014-04-26T00:00:00"/>
    <x v="153"/>
    <x v="28"/>
    <x v="5"/>
    <s v="Royal Challengers Bangalore"/>
    <x v="2"/>
    <x v="0"/>
    <x v="4"/>
    <s v="wickets"/>
    <n v="6"/>
    <s v="N"/>
    <s v="Normal Match"/>
    <s v="HDPK Dharmasena"/>
    <s v="C Shamshuddin"/>
    <x v="6"/>
    <x v="1"/>
  </r>
  <r>
    <s v="729307"/>
    <s v="Abu Dhabi"/>
    <n v="2014"/>
    <d v="2014-04-26T00:00:00"/>
    <x v="154"/>
    <x v="28"/>
    <x v="4"/>
    <s v="Punjab Kings"/>
    <x v="6"/>
    <x v="0"/>
    <x v="5"/>
    <s v="runs"/>
    <n v="23"/>
    <s v="N"/>
    <s v="Normal Match"/>
    <s v="HDPK Dharmasena"/>
    <s v="RK Illingworth"/>
    <x v="6"/>
    <x v="0"/>
  </r>
  <r>
    <s v="729309"/>
    <s v="Unknown"/>
    <n v="2014"/>
    <d v="2014-04-27T00:00:00"/>
    <x v="80"/>
    <x v="29"/>
    <x v="2"/>
    <s v="Mumbai Indians"/>
    <x v="3"/>
    <x v="1"/>
    <x v="2"/>
    <s v="wickets"/>
    <n v="6"/>
    <s v="N"/>
    <s v="Normal Match"/>
    <s v="Aleem Dar"/>
    <s v="VA Kulkarni"/>
    <x v="6"/>
    <x v="1"/>
  </r>
  <r>
    <s v="729311"/>
    <s v="Unknown"/>
    <n v="2014"/>
    <d v="2014-04-27T00:00:00"/>
    <x v="60"/>
    <x v="29"/>
    <x v="10"/>
    <s v="Chennai Super Kings"/>
    <x v="10"/>
    <x v="1"/>
    <x v="1"/>
    <s v="wickets"/>
    <n v="5"/>
    <s v="N"/>
    <s v="Normal Match"/>
    <s v="AK Chaudhary"/>
    <s v="VA Kulkarni"/>
    <x v="6"/>
    <x v="1"/>
  </r>
  <r>
    <s v="729313"/>
    <s v="Unknown"/>
    <n v="2014"/>
    <d v="2014-04-28T00:00:00"/>
    <x v="154"/>
    <x v="30"/>
    <x v="1"/>
    <s v="Royal Challengers Bangalore"/>
    <x v="5"/>
    <x v="0"/>
    <x v="5"/>
    <s v="wickets"/>
    <n v="5"/>
    <s v="N"/>
    <s v="Normal Match"/>
    <s v="BF Bowden"/>
    <s v="S Ravi"/>
    <x v="6"/>
    <x v="1"/>
  </r>
  <r>
    <s v="729317"/>
    <s v="Unknown"/>
    <n v="2014"/>
    <d v="2014-04-30T00:00:00"/>
    <x v="155"/>
    <x v="30"/>
    <x v="3"/>
    <s v="Sunrisers Hyderabad"/>
    <x v="3"/>
    <x v="0"/>
    <x v="10"/>
    <s v="runs"/>
    <n v="15"/>
    <s v="N"/>
    <s v="Normal Match"/>
    <s v="HDPK Dharmasena"/>
    <s v="M Erasmus"/>
    <x v="6"/>
    <x v="0"/>
  </r>
  <r>
    <s v="733971"/>
    <s v="Ranchi"/>
    <n v="2014"/>
    <d v="2014-05-02T00:00:00"/>
    <x v="118"/>
    <x v="27"/>
    <x v="7"/>
    <s v="Kolkata Knight Riders"/>
    <x v="1"/>
    <x v="1"/>
    <x v="1"/>
    <s v="runs"/>
    <n v="34"/>
    <s v="N"/>
    <s v="Normal Match"/>
    <s v="AK Chaudhary"/>
    <s v="NJ Llong"/>
    <x v="6"/>
    <x v="0"/>
  </r>
  <r>
    <s v="733973"/>
    <s v="Mumbai"/>
    <n v="2014"/>
    <d v="2014-05-03T00:00:00"/>
    <x v="156"/>
    <x v="3"/>
    <x v="3"/>
    <s v="Punjab Kings"/>
    <x v="5"/>
    <x v="1"/>
    <x v="7"/>
    <s v="wickets"/>
    <n v="5"/>
    <s v="N"/>
    <s v="Normal Match"/>
    <s v="BNJ Oxenford"/>
    <s v="C Shamshuddin"/>
    <x v="6"/>
    <x v="1"/>
  </r>
  <r>
    <s v="733975"/>
    <s v="Delhi"/>
    <n v="2014"/>
    <d v="2014-05-03T00:00:00"/>
    <x v="157"/>
    <x v="2"/>
    <x v="2"/>
    <s v="Rajasthan Royals"/>
    <x v="2"/>
    <x v="0"/>
    <x v="4"/>
    <s v="wickets"/>
    <n v="7"/>
    <s v="N"/>
    <s v="Normal Match"/>
    <s v="SS Hazare"/>
    <s v="S Ravi"/>
    <x v="6"/>
    <x v="1"/>
  </r>
  <r>
    <s v="733977"/>
    <s v="Bangalore"/>
    <n v="2014"/>
    <d v="2014-05-04T00:00:00"/>
    <x v="46"/>
    <x v="0"/>
    <x v="0"/>
    <s v="Sunrisers Hyderabad"/>
    <x v="0"/>
    <x v="0"/>
    <x v="3"/>
    <s v="wickets"/>
    <n v="4"/>
    <s v="N"/>
    <s v="Normal Match"/>
    <s v="HDPK Dharmasena"/>
    <s v="VA Kulkarni"/>
    <x v="6"/>
    <x v="1"/>
  </r>
  <r>
    <s v="733979"/>
    <s v="Ahmedabad"/>
    <n v="2014"/>
    <d v="2014-05-05T00:00:00"/>
    <x v="153"/>
    <x v="18"/>
    <x v="5"/>
    <s v="Kolkata Knight Riders"/>
    <x v="6"/>
    <x v="0"/>
    <x v="4"/>
    <s v="runs"/>
    <n v="10"/>
    <s v="N"/>
    <s v="Normal Match"/>
    <s v="NJ Llong"/>
    <s v="CK Nandan"/>
    <x v="6"/>
    <x v="0"/>
  </r>
  <r>
    <s v="733981"/>
    <s v="Delhi"/>
    <n v="2014"/>
    <d v="2014-05-05T00:00:00"/>
    <x v="60"/>
    <x v="2"/>
    <x v="2"/>
    <s v="Chennai Super Kings"/>
    <x v="1"/>
    <x v="0"/>
    <x v="1"/>
    <s v="wickets"/>
    <n v="8"/>
    <s v="N"/>
    <s v="Normal Match"/>
    <s v="RM Deshpande"/>
    <s v="BNJ Oxenford"/>
    <x v="6"/>
    <x v="1"/>
  </r>
  <r>
    <s v="733983"/>
    <s v="Mumbai"/>
    <n v="2014"/>
    <d v="2014-05-06T00:00:00"/>
    <x v="57"/>
    <x v="3"/>
    <x v="3"/>
    <s v="Royal Challengers Bangalore"/>
    <x v="0"/>
    <x v="0"/>
    <x v="7"/>
    <s v="runs"/>
    <n v="19"/>
    <s v="N"/>
    <s v="Normal Match"/>
    <s v="S Ravi"/>
    <s v="K Srinath"/>
    <x v="6"/>
    <x v="0"/>
  </r>
  <r>
    <s v="733985"/>
    <s v="Delhi"/>
    <n v="2014"/>
    <d v="2014-05-07T00:00:00"/>
    <x v="56"/>
    <x v="2"/>
    <x v="2"/>
    <s v="Kolkata Knight Riders"/>
    <x v="7"/>
    <x v="1"/>
    <x v="0"/>
    <s v="wickets"/>
    <n v="8"/>
    <s v="N"/>
    <s v="Normal Match"/>
    <s v="BNJ Oxenford"/>
    <s v="C Shamshuddin"/>
    <x v="6"/>
    <x v="1"/>
  </r>
  <r>
    <s v="733987"/>
    <s v="Cuttack"/>
    <n v="2014"/>
    <d v="2014-05-07T00:00:00"/>
    <x v="150"/>
    <x v="19"/>
    <x v="1"/>
    <s v="Chennai Super Kings"/>
    <x v="1"/>
    <x v="0"/>
    <x v="5"/>
    <s v="runs"/>
    <n v="44"/>
    <s v="N"/>
    <s v="Normal Match"/>
    <s v="HDPK Dharmasena"/>
    <s v="PG Pathak"/>
    <x v="6"/>
    <x v="0"/>
  </r>
  <r>
    <s v="733989"/>
    <s v="Ahmedabad"/>
    <n v="2014"/>
    <d v="2014-05-08T00:00:00"/>
    <x v="155"/>
    <x v="18"/>
    <x v="5"/>
    <s v="Sunrisers Hyderabad"/>
    <x v="2"/>
    <x v="0"/>
    <x v="10"/>
    <s v="runs"/>
    <n v="32"/>
    <s v="N"/>
    <s v="Normal Match"/>
    <s v="AK Chaudhary"/>
    <s v="NJ Llong"/>
    <x v="6"/>
    <x v="0"/>
  </r>
  <r>
    <s v="733991"/>
    <s v="Bangalore"/>
    <n v="2014"/>
    <d v="2014-05-09T00:00:00"/>
    <x v="154"/>
    <x v="0"/>
    <x v="0"/>
    <s v="Punjab Kings"/>
    <x v="0"/>
    <x v="0"/>
    <x v="5"/>
    <s v="runs"/>
    <n v="32"/>
    <s v="N"/>
    <s v="Normal Match"/>
    <s v="S Ravi"/>
    <s v="K Srinath"/>
    <x v="6"/>
    <x v="0"/>
  </r>
  <r>
    <s v="733993"/>
    <s v="Delhi"/>
    <n v="2014"/>
    <d v="2014-05-10T00:00:00"/>
    <x v="100"/>
    <x v="2"/>
    <x v="2"/>
    <s v="Sunrisers Hyderabad"/>
    <x v="10"/>
    <x v="0"/>
    <x v="10"/>
    <s v="wickets"/>
    <n v="8"/>
    <s v="N"/>
    <s v="D/L"/>
    <s v="RM Deshpande"/>
    <s v="BNJ Oxenford"/>
    <x v="6"/>
    <x v="1"/>
  </r>
  <r>
    <s v="733995"/>
    <s v="Mumbai"/>
    <n v="2014"/>
    <d v="2014-05-10T00:00:00"/>
    <x v="60"/>
    <x v="3"/>
    <x v="3"/>
    <s v="Chennai Super Kings"/>
    <x v="1"/>
    <x v="0"/>
    <x v="1"/>
    <s v="wickets"/>
    <n v="4"/>
    <s v="N"/>
    <s v="Normal Match"/>
    <s v="HDPK Dharmasena"/>
    <s v="VA Kulkarni"/>
    <x v="6"/>
    <x v="1"/>
  </r>
  <r>
    <s v="733997"/>
    <s v="Cuttack"/>
    <n v="2014"/>
    <d v="2014-05-11T00:00:00"/>
    <x v="56"/>
    <x v="19"/>
    <x v="1"/>
    <s v="Kolkata Knight Riders"/>
    <x v="6"/>
    <x v="0"/>
    <x v="0"/>
    <s v="wickets"/>
    <n v="9"/>
    <s v="N"/>
    <s v="Normal Match"/>
    <s v="NJ Llong"/>
    <s v="CK Nandan"/>
    <x v="6"/>
    <x v="1"/>
  </r>
  <r>
    <s v="733999"/>
    <s v="Bangalore"/>
    <n v="2014"/>
    <d v="2014-05-11T00:00:00"/>
    <x v="138"/>
    <x v="0"/>
    <x v="0"/>
    <s v="Rajasthan Royals"/>
    <x v="0"/>
    <x v="1"/>
    <x v="4"/>
    <s v="wickets"/>
    <n v="5"/>
    <s v="N"/>
    <s v="Normal Match"/>
    <s v="S Ravi"/>
    <s v="RJ Tucker"/>
    <x v="6"/>
    <x v="1"/>
  </r>
  <r>
    <s v="734001"/>
    <s v="Hyderabad"/>
    <n v="2014"/>
    <d v="2014-05-12T00:00:00"/>
    <x v="82"/>
    <x v="6"/>
    <x v="10"/>
    <s v="Mumbai Indians"/>
    <x v="10"/>
    <x v="1"/>
    <x v="7"/>
    <s v="wickets"/>
    <n v="7"/>
    <s v="N"/>
    <s v="Normal Match"/>
    <s v="HDPK Dharmasena"/>
    <s v="VA Kulkarni"/>
    <x v="6"/>
    <x v="1"/>
  </r>
  <r>
    <s v="734003"/>
    <s v="Ranchi"/>
    <n v="2014"/>
    <d v="2014-05-13T00:00:00"/>
    <x v="118"/>
    <x v="27"/>
    <x v="7"/>
    <s v="Rajasthan Royals"/>
    <x v="2"/>
    <x v="1"/>
    <x v="1"/>
    <s v="wickets"/>
    <n v="5"/>
    <s v="N"/>
    <s v="Normal Match"/>
    <s v="BNJ Oxenford"/>
    <s v="C Shamshuddin"/>
    <x v="6"/>
    <x v="1"/>
  </r>
  <r>
    <s v="734005"/>
    <s v="Bangalore"/>
    <n v="2014"/>
    <d v="2014-05-13T00:00:00"/>
    <x v="53"/>
    <x v="0"/>
    <x v="0"/>
    <s v="Delhi Capitals"/>
    <x v="7"/>
    <x v="0"/>
    <x v="3"/>
    <s v="runs"/>
    <n v="16"/>
    <s v="N"/>
    <s v="Normal Match"/>
    <s v="K Srinath"/>
    <s v="RJ Tucker"/>
    <x v="6"/>
    <x v="0"/>
  </r>
  <r>
    <s v="734007"/>
    <s v="Hyderabad"/>
    <n v="2014"/>
    <d v="2014-05-14T00:00:00"/>
    <x v="112"/>
    <x v="6"/>
    <x v="10"/>
    <s v="Punjab Kings"/>
    <x v="5"/>
    <x v="0"/>
    <x v="5"/>
    <s v="wickets"/>
    <n v="6"/>
    <s v="N"/>
    <s v="Normal Match"/>
    <s v="VA Kulkarni"/>
    <s v="PG Pathak"/>
    <x v="6"/>
    <x v="1"/>
  </r>
  <r>
    <s v="734009"/>
    <s v="Cuttack"/>
    <n v="2014"/>
    <d v="2014-05-14T00:00:00"/>
    <x v="74"/>
    <x v="19"/>
    <x v="4"/>
    <s v="Mumbai Indians"/>
    <x v="6"/>
    <x v="0"/>
    <x v="0"/>
    <s v="wickets"/>
    <n v="6"/>
    <s v="N"/>
    <s v="Normal Match"/>
    <s v="AK Chaudhary"/>
    <s v="NJ Llong"/>
    <x v="6"/>
    <x v="1"/>
  </r>
  <r>
    <s v="734011"/>
    <s v="Ahmedabad"/>
    <n v="2014"/>
    <d v="2014-05-15T00:00:00"/>
    <x v="117"/>
    <x v="18"/>
    <x v="5"/>
    <s v="Delhi Capitals"/>
    <x v="7"/>
    <x v="0"/>
    <x v="4"/>
    <s v="runs"/>
    <n v="62"/>
    <s v="N"/>
    <s v="Normal Match"/>
    <s v="S Ravi"/>
    <s v="RJ Tucker"/>
    <x v="6"/>
    <x v="0"/>
  </r>
  <r>
    <s v="734013"/>
    <s v="Ranchi"/>
    <n v="2014"/>
    <d v="2014-05-18T00:00:00"/>
    <x v="46"/>
    <x v="27"/>
    <x v="7"/>
    <s v="Royal Challengers Bangalore"/>
    <x v="1"/>
    <x v="1"/>
    <x v="3"/>
    <s v="wickets"/>
    <n v="5"/>
    <s v="N"/>
    <s v="Normal Match"/>
    <s v="BNJ Oxenford"/>
    <s v="C Shamshuddin"/>
    <x v="6"/>
    <x v="1"/>
  </r>
  <r>
    <s v="734015"/>
    <s v="Hyderabad"/>
    <n v="2014"/>
    <d v="2014-05-18T00:00:00"/>
    <x v="134"/>
    <x v="6"/>
    <x v="10"/>
    <s v="Kolkata Knight Riders"/>
    <x v="10"/>
    <x v="1"/>
    <x v="0"/>
    <s v="wickets"/>
    <n v="7"/>
    <s v="N"/>
    <s v="Normal Match"/>
    <s v="NJ Llong"/>
    <s v="CK Nandan"/>
    <x v="6"/>
    <x v="1"/>
  </r>
  <r>
    <s v="734017"/>
    <s v="Ahmedabad"/>
    <n v="2014"/>
    <d v="2014-05-19T00:00:00"/>
    <x v="1"/>
    <x v="18"/>
    <x v="5"/>
    <s v="Mumbai Indians"/>
    <x v="3"/>
    <x v="1"/>
    <x v="7"/>
    <s v="runs"/>
    <n v="25"/>
    <s v="N"/>
    <s v="Normal Match"/>
    <s v="S Ravi"/>
    <s v="RJ Tucker"/>
    <x v="6"/>
    <x v="0"/>
  </r>
  <r>
    <s v="734019"/>
    <s v="Delhi"/>
    <n v="2014"/>
    <d v="2014-05-19T00:00:00"/>
    <x v="158"/>
    <x v="2"/>
    <x v="2"/>
    <s v="Punjab Kings"/>
    <x v="5"/>
    <x v="0"/>
    <x v="5"/>
    <s v="wickets"/>
    <n v="4"/>
    <s v="N"/>
    <s v="Normal Match"/>
    <s v="HDPK Dharmasena"/>
    <s v="PG Pathak"/>
    <x v="6"/>
    <x v="1"/>
  </r>
  <r>
    <s v="734021"/>
    <s v="Hyderabad"/>
    <n v="2014"/>
    <d v="2014-05-20T00:00:00"/>
    <x v="78"/>
    <x v="6"/>
    <x v="10"/>
    <s v="Royal Challengers Bangalore"/>
    <x v="0"/>
    <x v="1"/>
    <x v="10"/>
    <s v="wickets"/>
    <n v="7"/>
    <s v="N"/>
    <s v="Normal Match"/>
    <s v="AK Chaudhary"/>
    <s v="NJ Llong"/>
    <x v="6"/>
    <x v="1"/>
  </r>
  <r>
    <s v="734023"/>
    <s v="Kolkata"/>
    <n v="2014"/>
    <d v="2014-05-20T00:00:00"/>
    <x v="74"/>
    <x v="4"/>
    <x v="4"/>
    <s v="Chennai Super Kings"/>
    <x v="6"/>
    <x v="0"/>
    <x v="0"/>
    <s v="wickets"/>
    <n v="8"/>
    <s v="N"/>
    <s v="Normal Match"/>
    <s v="RM Deshpande"/>
    <s v="C Shamshuddin"/>
    <x v="6"/>
    <x v="1"/>
  </r>
  <r>
    <s v="734025"/>
    <s v="Chandigarh"/>
    <n v="2014"/>
    <d v="2014-05-21T00:00:00"/>
    <x v="159"/>
    <x v="1"/>
    <x v="1"/>
    <s v="Mumbai Indians"/>
    <x v="3"/>
    <x v="0"/>
    <x v="7"/>
    <s v="wickets"/>
    <n v="7"/>
    <s v="N"/>
    <s v="Normal Match"/>
    <s v="HDPK Dharmasena"/>
    <s v="VA Kulkarni"/>
    <x v="6"/>
    <x v="1"/>
  </r>
  <r>
    <s v="734027"/>
    <s v="Kolkata"/>
    <n v="2014"/>
    <d v="2014-05-22T00:00:00"/>
    <x v="74"/>
    <x v="4"/>
    <x v="4"/>
    <s v="Royal Challengers Bangalore"/>
    <x v="0"/>
    <x v="0"/>
    <x v="0"/>
    <s v="runs"/>
    <n v="30"/>
    <s v="N"/>
    <s v="Normal Match"/>
    <s v="AK Chaudhary"/>
    <s v="CK Nandan"/>
    <x v="6"/>
    <x v="0"/>
  </r>
  <r>
    <s v="734029"/>
    <s v="Ranchi"/>
    <n v="2014"/>
    <d v="2014-05-22T00:00:00"/>
    <x v="78"/>
    <x v="27"/>
    <x v="7"/>
    <s v="Sunrisers Hyderabad"/>
    <x v="10"/>
    <x v="0"/>
    <x v="10"/>
    <s v="wickets"/>
    <n v="6"/>
    <s v="N"/>
    <s v="Normal Match"/>
    <s v="BNJ Oxenford"/>
    <s v="C Shamshuddin"/>
    <x v="6"/>
    <x v="1"/>
  </r>
  <r>
    <s v="734031"/>
    <s v="Mumbai"/>
    <n v="2014"/>
    <d v="2014-05-23T00:00:00"/>
    <x v="1"/>
    <x v="3"/>
    <x v="3"/>
    <s v="Delhi Capitals"/>
    <x v="7"/>
    <x v="0"/>
    <x v="7"/>
    <s v="runs"/>
    <n v="15"/>
    <s v="N"/>
    <s v="Normal Match"/>
    <s v="S Ravi"/>
    <s v="RJ Tucker"/>
    <x v="6"/>
    <x v="0"/>
  </r>
  <r>
    <s v="734033"/>
    <s v="Chandigarh"/>
    <n v="2014"/>
    <d v="2014-05-23T00:00:00"/>
    <x v="16"/>
    <x v="1"/>
    <x v="1"/>
    <s v="Rajasthan Royals"/>
    <x v="2"/>
    <x v="0"/>
    <x v="5"/>
    <s v="runs"/>
    <n v="16"/>
    <s v="N"/>
    <s v="Normal Match"/>
    <s v="HDPK Dharmasena"/>
    <s v="PG Pathak"/>
    <x v="6"/>
    <x v="0"/>
  </r>
  <r>
    <s v="734035"/>
    <s v="Bangalore"/>
    <n v="2014"/>
    <d v="2014-05-24T00:00:00"/>
    <x v="13"/>
    <x v="0"/>
    <x v="0"/>
    <s v="Chennai Super Kings"/>
    <x v="1"/>
    <x v="0"/>
    <x v="1"/>
    <s v="wickets"/>
    <n v="8"/>
    <s v="N"/>
    <s v="Normal Match"/>
    <s v="AK Chaudhary"/>
    <s v="NJ Llong"/>
    <x v="6"/>
    <x v="1"/>
  </r>
  <r>
    <s v="734037"/>
    <s v="Kolkata"/>
    <n v="2014"/>
    <d v="2014-05-24T00:00:00"/>
    <x v="8"/>
    <x v="4"/>
    <x v="4"/>
    <s v="Sunrisers Hyderabad"/>
    <x v="6"/>
    <x v="0"/>
    <x v="0"/>
    <s v="wickets"/>
    <n v="4"/>
    <s v="N"/>
    <s v="Normal Match"/>
    <s v="RM Deshpande"/>
    <s v="BNJ Oxenford"/>
    <x v="6"/>
    <x v="1"/>
  </r>
  <r>
    <s v="734039"/>
    <s v="Chandigarh"/>
    <n v="2014"/>
    <d v="2014-05-25T00:00:00"/>
    <x v="136"/>
    <x v="1"/>
    <x v="1"/>
    <s v="Delhi Capitals"/>
    <x v="5"/>
    <x v="0"/>
    <x v="5"/>
    <s v="wickets"/>
    <n v="7"/>
    <s v="N"/>
    <s v="Normal Match"/>
    <s v="HDPK Dharmasena"/>
    <s v="VA Kulkarni"/>
    <x v="6"/>
    <x v="1"/>
  </r>
  <r>
    <s v="734041"/>
    <s v="Mumbai"/>
    <n v="2014"/>
    <d v="2014-05-25T00:00:00"/>
    <x v="156"/>
    <x v="3"/>
    <x v="3"/>
    <s v="Rajasthan Royals"/>
    <x v="3"/>
    <x v="0"/>
    <x v="7"/>
    <s v="wickets"/>
    <n v="5"/>
    <s v="N"/>
    <s v="Normal Match"/>
    <s v="K Srinath"/>
    <s v="RJ Tucker"/>
    <x v="6"/>
    <x v="1"/>
  </r>
  <r>
    <s v="734043"/>
    <s v="Kolkata"/>
    <n v="2014"/>
    <d v="2014-05-27T00:00:00"/>
    <x v="134"/>
    <x v="4"/>
    <x v="1"/>
    <s v="Kolkata Knight Riders"/>
    <x v="5"/>
    <x v="0"/>
    <x v="0"/>
    <s v="runs"/>
    <n v="28"/>
    <s v="N"/>
    <s v="Normal Match"/>
    <s v="NJ Llong"/>
    <s v="S Ravi"/>
    <x v="6"/>
    <x v="0"/>
  </r>
  <r>
    <s v="734045"/>
    <s v="Mumbai"/>
    <n v="2014"/>
    <d v="2014-05-28T00:00:00"/>
    <x v="39"/>
    <x v="17"/>
    <x v="7"/>
    <s v="Mumbai Indians"/>
    <x v="1"/>
    <x v="0"/>
    <x v="1"/>
    <s v="wickets"/>
    <n v="7"/>
    <s v="N"/>
    <s v="Normal Match"/>
    <s v="VA Kulkarni"/>
    <s v="BNJ Oxenford"/>
    <x v="6"/>
    <x v="1"/>
  </r>
  <r>
    <s v="734047"/>
    <s v="Mumbai"/>
    <n v="2014"/>
    <d v="2014-05-30T00:00:00"/>
    <x v="6"/>
    <x v="3"/>
    <x v="7"/>
    <s v="Punjab Kings"/>
    <x v="1"/>
    <x v="0"/>
    <x v="5"/>
    <s v="runs"/>
    <n v="24"/>
    <s v="N"/>
    <s v="Normal Match"/>
    <s v="HDPK Dharmasena"/>
    <s v="RJ Tucker"/>
    <x v="6"/>
    <x v="0"/>
  </r>
  <r>
    <s v="734049"/>
    <s v="Bangalore"/>
    <n v="2014"/>
    <d v="2014-06-01T00:00:00"/>
    <x v="68"/>
    <x v="0"/>
    <x v="4"/>
    <s v="Punjab Kings"/>
    <x v="6"/>
    <x v="0"/>
    <x v="0"/>
    <s v="wickets"/>
    <n v="3"/>
    <s v="N"/>
    <s v="Normal Match"/>
    <s v="HDPK Dharmasena"/>
    <s v="BNJ Oxenford"/>
    <x v="6"/>
    <x v="1"/>
  </r>
  <r>
    <s v="829705"/>
    <s v="Kolkata"/>
    <n v="2015"/>
    <d v="2015-04-08T00:00:00"/>
    <x v="120"/>
    <x v="4"/>
    <x v="4"/>
    <s v="Mumbai Indians"/>
    <x v="6"/>
    <x v="0"/>
    <x v="0"/>
    <s v="wickets"/>
    <n v="7"/>
    <s v="N"/>
    <s v="Normal Match"/>
    <s v="S Ravi"/>
    <s v="C Shamshuddin"/>
    <x v="7"/>
    <x v="1"/>
  </r>
  <r>
    <s v="829707"/>
    <s v="Chennai"/>
    <n v="2015"/>
    <d v="2015-04-09T00:00:00"/>
    <x v="23"/>
    <x v="7"/>
    <x v="7"/>
    <s v="Delhi Capitals"/>
    <x v="7"/>
    <x v="0"/>
    <x v="1"/>
    <s v="runs"/>
    <n v="1"/>
    <s v="N"/>
    <s v="Normal Match"/>
    <s v="RK Illingworth"/>
    <s v="VA Kulkarni"/>
    <x v="7"/>
    <x v="0"/>
  </r>
  <r>
    <s v="829709"/>
    <s v="Pune"/>
    <n v="2015"/>
    <d v="2015-04-10T00:00:00"/>
    <x v="138"/>
    <x v="31"/>
    <x v="1"/>
    <s v="Rajasthan Royals"/>
    <x v="5"/>
    <x v="0"/>
    <x v="4"/>
    <s v="runs"/>
    <n v="26"/>
    <s v="N"/>
    <s v="Normal Match"/>
    <s v="SD Fry"/>
    <s v="CB Gaffaney"/>
    <x v="7"/>
    <x v="0"/>
  </r>
  <r>
    <s v="829711"/>
    <s v="Chennai"/>
    <n v="2015"/>
    <d v="2015-04-11T00:00:00"/>
    <x v="0"/>
    <x v="7"/>
    <x v="7"/>
    <s v="Sunrisers Hyderabad"/>
    <x v="1"/>
    <x v="1"/>
    <x v="1"/>
    <s v="runs"/>
    <n v="45"/>
    <s v="N"/>
    <s v="Normal Match"/>
    <s v="RK Illingworth"/>
    <s v="VA Kulkarni"/>
    <x v="7"/>
    <x v="0"/>
  </r>
  <r>
    <s v="829713"/>
    <s v="Kolkata"/>
    <n v="2015"/>
    <d v="2015-04-11T00:00:00"/>
    <x v="45"/>
    <x v="4"/>
    <x v="4"/>
    <s v="Royal Challengers Bangalore"/>
    <x v="0"/>
    <x v="0"/>
    <x v="3"/>
    <s v="wickets"/>
    <n v="3"/>
    <s v="N"/>
    <s v="Normal Match"/>
    <s v="S Ravi"/>
    <s v="C Shamshuddin"/>
    <x v="7"/>
    <x v="1"/>
  </r>
  <r>
    <s v="829715"/>
    <s v="Delhi"/>
    <n v="2015"/>
    <d v="2015-04-12T00:00:00"/>
    <x v="160"/>
    <x v="2"/>
    <x v="2"/>
    <s v="Rajasthan Royals"/>
    <x v="2"/>
    <x v="0"/>
    <x v="4"/>
    <s v="wickets"/>
    <n v="3"/>
    <s v="N"/>
    <s v="Normal Match"/>
    <s v="SD Fry"/>
    <s v="CB Gaffaney"/>
    <x v="7"/>
    <x v="1"/>
  </r>
  <r>
    <s v="829717"/>
    <s v="Mumbai"/>
    <n v="2015"/>
    <d v="2015-04-12T00:00:00"/>
    <x v="161"/>
    <x v="3"/>
    <x v="3"/>
    <s v="Punjab Kings"/>
    <x v="3"/>
    <x v="0"/>
    <x v="5"/>
    <s v="runs"/>
    <n v="18"/>
    <s v="N"/>
    <s v="Normal Match"/>
    <s v="AK Chaudhary"/>
    <s v="K Srinivasan"/>
    <x v="7"/>
    <x v="0"/>
  </r>
  <r>
    <s v="829719"/>
    <s v="Bangalore"/>
    <n v="2015"/>
    <d v="2015-04-13T00:00:00"/>
    <x v="78"/>
    <x v="0"/>
    <x v="0"/>
    <s v="Sunrisers Hyderabad"/>
    <x v="10"/>
    <x v="0"/>
    <x v="10"/>
    <s v="wickets"/>
    <n v="8"/>
    <s v="N"/>
    <s v="Normal Match"/>
    <s v="RM Deshpande"/>
    <s v="RK Illingworth"/>
    <x v="7"/>
    <x v="1"/>
  </r>
  <r>
    <s v="829721"/>
    <s v="Ahmedabad"/>
    <n v="2015"/>
    <d v="2015-04-14T00:00:00"/>
    <x v="116"/>
    <x v="18"/>
    <x v="5"/>
    <s v="Mumbai Indians"/>
    <x v="3"/>
    <x v="1"/>
    <x v="4"/>
    <s v="wickets"/>
    <n v="7"/>
    <s v="N"/>
    <s v="Normal Match"/>
    <s v="AK Chaudhary"/>
    <s v="SD Fry"/>
    <x v="7"/>
    <x v="1"/>
  </r>
  <r>
    <s v="829723"/>
    <s v="Kolkata"/>
    <n v="2015"/>
    <d v="2015-04-30T00:00:00"/>
    <x v="162"/>
    <x v="4"/>
    <x v="4"/>
    <s v="Chennai Super Kings"/>
    <x v="6"/>
    <x v="0"/>
    <x v="0"/>
    <s v="wickets"/>
    <n v="7"/>
    <s v="N"/>
    <s v="Normal Match"/>
    <s v="AK Chaudhary"/>
    <s v="M Erasmus"/>
    <x v="7"/>
    <x v="1"/>
  </r>
  <r>
    <s v="829725"/>
    <s v="Pune"/>
    <n v="2015"/>
    <d v="2015-04-15T00:00:00"/>
    <x v="163"/>
    <x v="31"/>
    <x v="1"/>
    <s v="Delhi Capitals"/>
    <x v="5"/>
    <x v="1"/>
    <x v="2"/>
    <s v="wickets"/>
    <n v="5"/>
    <s v="N"/>
    <s v="Normal Match"/>
    <s v="CB Gaffaney"/>
    <s v="K Srinath"/>
    <x v="7"/>
    <x v="1"/>
  </r>
  <r>
    <s v="829727"/>
    <s v="Visakhapatnam"/>
    <n v="2015"/>
    <d v="2015-04-16T00:00:00"/>
    <x v="117"/>
    <x v="24"/>
    <x v="10"/>
    <s v="Rajasthan Royals"/>
    <x v="2"/>
    <x v="0"/>
    <x v="4"/>
    <s v="wickets"/>
    <n v="6"/>
    <s v="N"/>
    <s v="Normal Match"/>
    <s v="PG Pathak"/>
    <s v="S Ravi"/>
    <x v="7"/>
    <x v="1"/>
  </r>
  <r>
    <s v="829729"/>
    <s v="Mumbai"/>
    <n v="2015"/>
    <d v="2015-04-17T00:00:00"/>
    <x v="23"/>
    <x v="3"/>
    <x v="3"/>
    <s v="Chennai Super Kings"/>
    <x v="3"/>
    <x v="1"/>
    <x v="1"/>
    <s v="wickets"/>
    <n v="6"/>
    <s v="N"/>
    <s v="Normal Match"/>
    <s v="AK Chaudhary"/>
    <s v="M Erasmus"/>
    <x v="7"/>
    <x v="1"/>
  </r>
  <r>
    <s v="829731"/>
    <s v="Visakhapatnam"/>
    <n v="2015"/>
    <d v="2015-04-18T00:00:00"/>
    <x v="52"/>
    <x v="24"/>
    <x v="10"/>
    <s v="Delhi Capitals"/>
    <x v="7"/>
    <x v="1"/>
    <x v="2"/>
    <s v="runs"/>
    <n v="4"/>
    <s v="N"/>
    <s v="Normal Match"/>
    <s v="PG Pathak"/>
    <s v="S Ravi"/>
    <x v="7"/>
    <x v="0"/>
  </r>
  <r>
    <s v="829733"/>
    <s v="Pune"/>
    <n v="2015"/>
    <d v="2015-04-18T00:00:00"/>
    <x v="162"/>
    <x v="31"/>
    <x v="1"/>
    <s v="Kolkata Knight Riders"/>
    <x v="6"/>
    <x v="0"/>
    <x v="0"/>
    <s v="wickets"/>
    <n v="4"/>
    <s v="N"/>
    <s v="Normal Match"/>
    <s v="SD Fry"/>
    <s v="CK Nandan"/>
    <x v="7"/>
    <x v="1"/>
  </r>
  <r>
    <s v="829735"/>
    <s v="Ahmedabad"/>
    <n v="2015"/>
    <d v="2015-04-19T00:00:00"/>
    <x v="117"/>
    <x v="18"/>
    <x v="5"/>
    <s v="Chennai Super Kings"/>
    <x v="1"/>
    <x v="1"/>
    <x v="4"/>
    <s v="wickets"/>
    <n v="8"/>
    <s v="N"/>
    <s v="Normal Match"/>
    <s v="AK Chaudhary"/>
    <s v="M Erasmus"/>
    <x v="7"/>
    <x v="1"/>
  </r>
  <r>
    <s v="829737"/>
    <s v="Bangalore"/>
    <n v="2015"/>
    <d v="2015-04-19T00:00:00"/>
    <x v="62"/>
    <x v="0"/>
    <x v="0"/>
    <s v="Mumbai Indians"/>
    <x v="0"/>
    <x v="0"/>
    <x v="7"/>
    <s v="runs"/>
    <n v="18"/>
    <s v="N"/>
    <s v="Normal Match"/>
    <s v="RK Illingworth"/>
    <s v="VA Kulkarni"/>
    <x v="7"/>
    <x v="0"/>
  </r>
  <r>
    <s v="829739"/>
    <s v="Delhi"/>
    <n v="2015"/>
    <d v="2015-04-20T00:00:00"/>
    <x v="134"/>
    <x v="2"/>
    <x v="2"/>
    <s v="Kolkata Knight Riders"/>
    <x v="6"/>
    <x v="0"/>
    <x v="0"/>
    <s v="wickets"/>
    <n v="6"/>
    <s v="N"/>
    <s v="Normal Match"/>
    <s v="SD Fry"/>
    <s v="CB Gaffaney"/>
    <x v="7"/>
    <x v="1"/>
  </r>
  <r>
    <s v="829743"/>
    <s v="Visakhapatnam"/>
    <n v="2015"/>
    <d v="2015-04-22T00:00:00"/>
    <x v="78"/>
    <x v="24"/>
    <x v="10"/>
    <s v="Kolkata Knight Riders"/>
    <x v="6"/>
    <x v="0"/>
    <x v="10"/>
    <s v="runs"/>
    <n v="16"/>
    <s v="N"/>
    <s v="D/L"/>
    <s v="RK Illingworth"/>
    <s v="VA Kulkarni"/>
    <x v="7"/>
    <x v="0"/>
  </r>
  <r>
    <s v="829745"/>
    <s v="Bangalore"/>
    <n v="2015"/>
    <d v="2015-04-22T00:00:00"/>
    <x v="39"/>
    <x v="0"/>
    <x v="0"/>
    <s v="Chennai Super Kings"/>
    <x v="0"/>
    <x v="0"/>
    <x v="1"/>
    <s v="runs"/>
    <n v="27"/>
    <s v="N"/>
    <s v="Normal Match"/>
    <s v="JD Cloete"/>
    <s v="C Shamshuddin"/>
    <x v="7"/>
    <x v="0"/>
  </r>
  <r>
    <s v="829747"/>
    <s v="Delhi"/>
    <n v="2015"/>
    <d v="2015-04-23T00:00:00"/>
    <x v="164"/>
    <x v="2"/>
    <x v="2"/>
    <s v="Mumbai Indians"/>
    <x v="3"/>
    <x v="0"/>
    <x v="2"/>
    <s v="runs"/>
    <n v="37"/>
    <s v="N"/>
    <s v="Normal Match"/>
    <s v="SD Fry"/>
    <s v="CK Nandan"/>
    <x v="7"/>
    <x v="0"/>
  </r>
  <r>
    <s v="829749"/>
    <s v="Ahmedabad"/>
    <n v="2015"/>
    <d v="2015-04-24T00:00:00"/>
    <x v="165"/>
    <x v="18"/>
    <x v="5"/>
    <s v="Royal Challengers Bangalore"/>
    <x v="0"/>
    <x v="0"/>
    <x v="3"/>
    <s v="wickets"/>
    <n v="9"/>
    <s v="N"/>
    <s v="Normal Match"/>
    <s v="M Erasmus"/>
    <s v="S Ravi"/>
    <x v="7"/>
    <x v="1"/>
  </r>
  <r>
    <s v="829751"/>
    <s v="Mumbai"/>
    <n v="2015"/>
    <d v="2015-04-25T00:00:00"/>
    <x v="79"/>
    <x v="3"/>
    <x v="3"/>
    <s v="Sunrisers Hyderabad"/>
    <x v="3"/>
    <x v="1"/>
    <x v="7"/>
    <s v="runs"/>
    <n v="20"/>
    <s v="N"/>
    <s v="Normal Match"/>
    <s v="HDPK Dharmasena"/>
    <s v="CB Gaffaney"/>
    <x v="7"/>
    <x v="0"/>
  </r>
  <r>
    <s v="829753"/>
    <s v="Chennai"/>
    <n v="2015"/>
    <d v="2015-04-25T00:00:00"/>
    <x v="0"/>
    <x v="7"/>
    <x v="7"/>
    <s v="Punjab Kings"/>
    <x v="1"/>
    <x v="1"/>
    <x v="1"/>
    <s v="runs"/>
    <n v="97"/>
    <s v="N"/>
    <s v="Normal Match"/>
    <s v="JD Cloete"/>
    <s v="C Shamshuddin"/>
    <x v="7"/>
    <x v="0"/>
  </r>
  <r>
    <s v="829757"/>
    <s v="Delhi"/>
    <n v="2015"/>
    <d v="2015-04-26T00:00:00"/>
    <x v="166"/>
    <x v="2"/>
    <x v="2"/>
    <s v="Royal Challengers Bangalore"/>
    <x v="0"/>
    <x v="0"/>
    <x v="3"/>
    <s v="wickets"/>
    <n v="10"/>
    <s v="N"/>
    <s v="Normal Match"/>
    <s v="M Erasmus"/>
    <s v="S Ravi"/>
    <x v="7"/>
    <x v="1"/>
  </r>
  <r>
    <s v="829759"/>
    <s v="Chandigarh"/>
    <n v="2015"/>
    <d v="2015-04-27T00:00:00"/>
    <x v="167"/>
    <x v="1"/>
    <x v="1"/>
    <s v="Sunrisers Hyderabad"/>
    <x v="5"/>
    <x v="0"/>
    <x v="10"/>
    <s v="runs"/>
    <n v="20"/>
    <s v="N"/>
    <s v="Normal Match"/>
    <s v="HDPK Dharmasena"/>
    <s v="CB Gaffaney"/>
    <x v="7"/>
    <x v="0"/>
  </r>
  <r>
    <s v="829761"/>
    <s v="Kolkata"/>
    <n v="2015"/>
    <d v="2015-05-07T00:00:00"/>
    <x v="87"/>
    <x v="4"/>
    <x v="4"/>
    <s v="Delhi Capitals"/>
    <x v="6"/>
    <x v="1"/>
    <x v="0"/>
    <s v="runs"/>
    <n v="13"/>
    <s v="N"/>
    <s v="Normal Match"/>
    <s v="AK Chaudhary"/>
    <s v="M Erasmus"/>
    <x v="7"/>
    <x v="0"/>
  </r>
  <r>
    <s v="829765"/>
    <s v="Chennai"/>
    <n v="2015"/>
    <d v="2015-04-28T00:00:00"/>
    <x v="31"/>
    <x v="7"/>
    <x v="7"/>
    <s v="Kolkata Knight Riders"/>
    <x v="6"/>
    <x v="0"/>
    <x v="1"/>
    <s v="runs"/>
    <n v="2"/>
    <s v="N"/>
    <s v="Normal Match"/>
    <s v="RM Deshpande"/>
    <s v="VA Kulkarni"/>
    <x v="7"/>
    <x v="0"/>
  </r>
  <r>
    <s v="829767"/>
    <s v="Delhi"/>
    <n v="2015"/>
    <d v="2015-05-01T00:00:00"/>
    <x v="168"/>
    <x v="2"/>
    <x v="2"/>
    <s v="Punjab Kings"/>
    <x v="7"/>
    <x v="0"/>
    <x v="2"/>
    <s v="wickets"/>
    <n v="9"/>
    <s v="N"/>
    <s v="Normal Match"/>
    <s v="RK Illingworth"/>
    <s v="S Ravi"/>
    <x v="7"/>
    <x v="1"/>
  </r>
  <r>
    <s v="829769"/>
    <s v="Mumbai"/>
    <n v="2015"/>
    <d v="2015-05-01T00:00:00"/>
    <x v="82"/>
    <x v="3"/>
    <x v="3"/>
    <s v="Rajasthan Royals"/>
    <x v="2"/>
    <x v="0"/>
    <x v="7"/>
    <s v="runs"/>
    <n v="8"/>
    <s v="N"/>
    <s v="Normal Match"/>
    <s v="HDPK Dharmasena"/>
    <s v="CK Nandan"/>
    <x v="7"/>
    <x v="0"/>
  </r>
  <r>
    <s v="829771"/>
    <s v="Bangalore"/>
    <n v="2015"/>
    <d v="2015-05-02T00:00:00"/>
    <x v="129"/>
    <x v="0"/>
    <x v="0"/>
    <s v="Kolkata Knight Riders"/>
    <x v="0"/>
    <x v="0"/>
    <x v="3"/>
    <s v="wickets"/>
    <n v="7"/>
    <s v="N"/>
    <s v="Normal Match"/>
    <s v="JD Cloete"/>
    <s v="PG Pathak"/>
    <x v="7"/>
    <x v="1"/>
  </r>
  <r>
    <s v="829773"/>
    <s v="Hyderabad"/>
    <n v="2015"/>
    <d v="2015-05-02T00:00:00"/>
    <x v="78"/>
    <x v="6"/>
    <x v="10"/>
    <s v="Chennai Super Kings"/>
    <x v="1"/>
    <x v="0"/>
    <x v="10"/>
    <s v="runs"/>
    <n v="22"/>
    <s v="N"/>
    <s v="Normal Match"/>
    <s v="AK Chaudhary"/>
    <s v="K Srinivasan"/>
    <x v="7"/>
    <x v="0"/>
  </r>
  <r>
    <s v="829775"/>
    <s v="Chandigarh"/>
    <n v="2015"/>
    <d v="2015-05-03T00:00:00"/>
    <x v="159"/>
    <x v="1"/>
    <x v="1"/>
    <s v="Mumbai Indians"/>
    <x v="3"/>
    <x v="1"/>
    <x v="7"/>
    <s v="runs"/>
    <n v="23"/>
    <s v="N"/>
    <s v="Normal Match"/>
    <s v="RK Illingworth"/>
    <s v="VA Kulkarni"/>
    <x v="7"/>
    <x v="0"/>
  </r>
  <r>
    <s v="829777"/>
    <s v="Mumbai"/>
    <n v="2015"/>
    <d v="2015-05-03T00:00:00"/>
    <x v="117"/>
    <x v="17"/>
    <x v="5"/>
    <s v="Delhi Capitals"/>
    <x v="7"/>
    <x v="0"/>
    <x v="4"/>
    <s v="runs"/>
    <n v="14"/>
    <s v="N"/>
    <s v="Normal Match"/>
    <s v="HDPK Dharmasena"/>
    <s v="CB Gaffaney"/>
    <x v="7"/>
    <x v="0"/>
  </r>
  <r>
    <s v="829779"/>
    <s v="Chennai"/>
    <n v="2015"/>
    <d v="2015-05-04T00:00:00"/>
    <x v="39"/>
    <x v="7"/>
    <x v="7"/>
    <s v="Royal Challengers Bangalore"/>
    <x v="1"/>
    <x v="1"/>
    <x v="1"/>
    <s v="runs"/>
    <n v="24"/>
    <s v="N"/>
    <s v="Normal Match"/>
    <s v="C Shamshuddin"/>
    <s v="K Srinath"/>
    <x v="7"/>
    <x v="0"/>
  </r>
  <r>
    <s v="829781"/>
    <s v="Kolkata"/>
    <n v="2015"/>
    <d v="2015-05-04T00:00:00"/>
    <x v="134"/>
    <x v="4"/>
    <x v="4"/>
    <s v="Sunrisers Hyderabad"/>
    <x v="10"/>
    <x v="0"/>
    <x v="0"/>
    <s v="runs"/>
    <n v="35"/>
    <s v="N"/>
    <s v="Normal Match"/>
    <s v="AK Chaudhary"/>
    <s v="M Erasmus"/>
    <x v="7"/>
    <x v="0"/>
  </r>
  <r>
    <s v="829783"/>
    <s v="Mumbai"/>
    <n v="2015"/>
    <d v="2015-05-05T00:00:00"/>
    <x v="62"/>
    <x v="3"/>
    <x v="3"/>
    <s v="Delhi Capitals"/>
    <x v="7"/>
    <x v="1"/>
    <x v="7"/>
    <s v="wickets"/>
    <n v="5"/>
    <s v="N"/>
    <s v="Normal Match"/>
    <s v="HDPK Dharmasena"/>
    <s v="CB Gaffaney"/>
    <x v="7"/>
    <x v="1"/>
  </r>
  <r>
    <s v="829785"/>
    <s v="Bangalore"/>
    <n v="2015"/>
    <d v="2015-05-06T00:00:00"/>
    <x v="45"/>
    <x v="0"/>
    <x v="0"/>
    <s v="Punjab Kings"/>
    <x v="5"/>
    <x v="0"/>
    <x v="3"/>
    <s v="runs"/>
    <n v="138"/>
    <s v="N"/>
    <s v="Normal Match"/>
    <s v="RK Illingworth"/>
    <s v="VA Kulkarni"/>
    <x v="7"/>
    <x v="0"/>
  </r>
  <r>
    <s v="829787"/>
    <s v="Mumbai"/>
    <n v="2015"/>
    <d v="2015-05-07T00:00:00"/>
    <x v="169"/>
    <x v="17"/>
    <x v="5"/>
    <s v="Sunrisers Hyderabad"/>
    <x v="2"/>
    <x v="0"/>
    <x v="10"/>
    <s v="runs"/>
    <n v="7"/>
    <s v="N"/>
    <s v="Normal Match"/>
    <s v="JD Cloete"/>
    <s v="C Shamshuddin"/>
    <x v="7"/>
    <x v="0"/>
  </r>
  <r>
    <s v="829789"/>
    <s v="Chennai"/>
    <n v="2015"/>
    <d v="2015-05-08T00:00:00"/>
    <x v="170"/>
    <x v="7"/>
    <x v="7"/>
    <s v="Mumbai Indians"/>
    <x v="1"/>
    <x v="1"/>
    <x v="7"/>
    <s v="wickets"/>
    <n v="6"/>
    <s v="N"/>
    <s v="Normal Match"/>
    <s v="CB Gaffaney"/>
    <s v="CK Nandan"/>
    <x v="7"/>
    <x v="1"/>
  </r>
  <r>
    <s v="829791"/>
    <s v="Kolkata"/>
    <n v="2015"/>
    <d v="2015-05-09T00:00:00"/>
    <x v="162"/>
    <x v="4"/>
    <x v="4"/>
    <s v="Punjab Kings"/>
    <x v="5"/>
    <x v="1"/>
    <x v="0"/>
    <s v="wickets"/>
    <n v="1"/>
    <s v="N"/>
    <s v="Normal Match"/>
    <s v="AK Chaudhary"/>
    <s v="HDPK Dharmasena"/>
    <x v="7"/>
    <x v="1"/>
  </r>
  <r>
    <s v="829793"/>
    <s v="Raipur"/>
    <n v="2015"/>
    <d v="2015-05-09T00:00:00"/>
    <x v="171"/>
    <x v="26"/>
    <x v="2"/>
    <s v="Sunrisers Hyderabad"/>
    <x v="10"/>
    <x v="1"/>
    <x v="10"/>
    <s v="runs"/>
    <n v="6"/>
    <s v="N"/>
    <s v="Normal Match"/>
    <s v="VA Kulkarni"/>
    <s v="S Ravi"/>
    <x v="7"/>
    <x v="0"/>
  </r>
  <r>
    <s v="829795"/>
    <s v="Mumbai"/>
    <n v="2015"/>
    <d v="2015-05-10T00:00:00"/>
    <x v="46"/>
    <x v="3"/>
    <x v="3"/>
    <s v="Royal Challengers Bangalore"/>
    <x v="0"/>
    <x v="1"/>
    <x v="3"/>
    <s v="runs"/>
    <n v="39"/>
    <s v="N"/>
    <s v="Normal Match"/>
    <s v="JD Cloete"/>
    <s v="C Shamshuddin"/>
    <x v="7"/>
    <x v="0"/>
  </r>
  <r>
    <s v="829797"/>
    <s v="Chennai"/>
    <n v="2015"/>
    <d v="2015-05-10T00:00:00"/>
    <x v="118"/>
    <x v="7"/>
    <x v="7"/>
    <s v="Rajasthan Royals"/>
    <x v="1"/>
    <x v="1"/>
    <x v="1"/>
    <s v="runs"/>
    <n v="12"/>
    <s v="N"/>
    <s v="Normal Match"/>
    <s v="M Erasmus"/>
    <s v="CK Nandan"/>
    <x v="7"/>
    <x v="0"/>
  </r>
  <r>
    <s v="829799"/>
    <s v="Hyderabad"/>
    <n v="2015"/>
    <d v="2015-05-11T00:00:00"/>
    <x v="78"/>
    <x v="6"/>
    <x v="10"/>
    <s v="Punjab Kings"/>
    <x v="10"/>
    <x v="1"/>
    <x v="10"/>
    <s v="runs"/>
    <n v="5"/>
    <s v="N"/>
    <s v="Normal Match"/>
    <s v="AK Chaudhary"/>
    <s v="HDPK Dharmasena"/>
    <x v="7"/>
    <x v="0"/>
  </r>
  <r>
    <s v="829801"/>
    <s v="Raipur"/>
    <n v="2015"/>
    <d v="2015-05-12T00:00:00"/>
    <x v="172"/>
    <x v="26"/>
    <x v="2"/>
    <s v="Chennai Super Kings"/>
    <x v="1"/>
    <x v="1"/>
    <x v="2"/>
    <s v="wickets"/>
    <n v="6"/>
    <s v="N"/>
    <s v="Normal Match"/>
    <s v="RK Illingworth"/>
    <s v="VA Kulkarni"/>
    <x v="7"/>
    <x v="1"/>
  </r>
  <r>
    <s v="829803"/>
    <s v="Chandigarh"/>
    <n v="2015"/>
    <d v="2015-05-13T00:00:00"/>
    <x v="158"/>
    <x v="1"/>
    <x v="1"/>
    <s v="Royal Challengers Bangalore"/>
    <x v="0"/>
    <x v="0"/>
    <x v="5"/>
    <s v="runs"/>
    <n v="22"/>
    <s v="N"/>
    <s v="Normal Match"/>
    <s v="JD Cloete"/>
    <s v="C Shamshuddin"/>
    <x v="7"/>
    <x v="0"/>
  </r>
  <r>
    <s v="829805"/>
    <s v="Mumbai"/>
    <n v="2015"/>
    <d v="2015-05-14T00:00:00"/>
    <x v="170"/>
    <x v="3"/>
    <x v="3"/>
    <s v="Kolkata Knight Riders"/>
    <x v="6"/>
    <x v="0"/>
    <x v="7"/>
    <s v="runs"/>
    <n v="5"/>
    <s v="N"/>
    <s v="Normal Match"/>
    <s v="RK Illingworth"/>
    <s v="VA Kulkarni"/>
    <x v="7"/>
    <x v="0"/>
  </r>
  <r>
    <s v="829807"/>
    <s v="Hyderabad"/>
    <n v="2015"/>
    <d v="2015-05-15T00:00:00"/>
    <x v="103"/>
    <x v="6"/>
    <x v="10"/>
    <s v="Royal Challengers Bangalore"/>
    <x v="10"/>
    <x v="1"/>
    <x v="3"/>
    <s v="wickets"/>
    <n v="6"/>
    <s v="N"/>
    <s v="D/L"/>
    <s v="AK Chaudhary"/>
    <s v="HDPK Dharmasena"/>
    <x v="7"/>
    <x v="1"/>
  </r>
  <r>
    <s v="829809"/>
    <s v="Chandigarh"/>
    <n v="2015"/>
    <d v="2015-05-16T00:00:00"/>
    <x v="130"/>
    <x v="1"/>
    <x v="1"/>
    <s v="Chennai Super Kings"/>
    <x v="5"/>
    <x v="1"/>
    <x v="1"/>
    <s v="wickets"/>
    <n v="7"/>
    <s v="N"/>
    <s v="Normal Match"/>
    <s v="CK Nandan"/>
    <s v="C Shamshuddin"/>
    <x v="7"/>
    <x v="1"/>
  </r>
  <r>
    <s v="829811"/>
    <s v="Mumbai"/>
    <n v="2015"/>
    <d v="2015-05-16T00:00:00"/>
    <x v="5"/>
    <x v="17"/>
    <x v="5"/>
    <s v="Kolkata Knight Riders"/>
    <x v="2"/>
    <x v="1"/>
    <x v="4"/>
    <s v="runs"/>
    <n v="9"/>
    <s v="N"/>
    <s v="Normal Match"/>
    <s v="RM Deshpande"/>
    <s v="RK Illingworth"/>
    <x v="7"/>
    <x v="0"/>
  </r>
  <r>
    <s v="829815"/>
    <s v="Hyderabad"/>
    <n v="2015"/>
    <d v="2015-05-17T00:00:00"/>
    <x v="173"/>
    <x v="6"/>
    <x v="10"/>
    <s v="Mumbai Indians"/>
    <x v="10"/>
    <x v="1"/>
    <x v="7"/>
    <s v="wickets"/>
    <n v="9"/>
    <s v="N"/>
    <s v="Normal Match"/>
    <s v="CB Gaffaney"/>
    <s v="K Srinath"/>
    <x v="7"/>
    <x v="1"/>
  </r>
  <r>
    <s v="829817"/>
    <s v="Mumbai"/>
    <n v="2015"/>
    <d v="2015-05-19T00:00:00"/>
    <x v="89"/>
    <x v="3"/>
    <x v="7"/>
    <s v="Mumbai Indians"/>
    <x v="3"/>
    <x v="1"/>
    <x v="7"/>
    <s v="runs"/>
    <n v="25"/>
    <s v="N"/>
    <s v="Normal Match"/>
    <s v="HDPK Dharmasena"/>
    <s v="RK Illingworth"/>
    <x v="7"/>
    <x v="0"/>
  </r>
  <r>
    <s v="829819"/>
    <s v="Pune"/>
    <n v="2015"/>
    <d v="2015-05-20T00:00:00"/>
    <x v="46"/>
    <x v="31"/>
    <x v="0"/>
    <s v="Rajasthan Royals"/>
    <x v="0"/>
    <x v="1"/>
    <x v="3"/>
    <s v="runs"/>
    <n v="71"/>
    <s v="N"/>
    <s v="Normal Match"/>
    <s v="AK Chaudhary"/>
    <s v="C Shamshuddin"/>
    <x v="7"/>
    <x v="0"/>
  </r>
  <r>
    <s v="829821"/>
    <s v="Ranchi"/>
    <n v="2015"/>
    <d v="2015-05-22T00:00:00"/>
    <x v="23"/>
    <x v="27"/>
    <x v="7"/>
    <s v="Royal Challengers Bangalore"/>
    <x v="1"/>
    <x v="0"/>
    <x v="1"/>
    <s v="wickets"/>
    <n v="3"/>
    <s v="N"/>
    <s v="Normal Match"/>
    <s v="AK Chaudhary"/>
    <s v="CB Gaffaney"/>
    <x v="7"/>
    <x v="1"/>
  </r>
  <r>
    <s v="829823"/>
    <s v="Kolkata"/>
    <n v="2015"/>
    <d v="2015-05-24T00:00:00"/>
    <x v="57"/>
    <x v="4"/>
    <x v="3"/>
    <s v="Chennai Super Kings"/>
    <x v="1"/>
    <x v="0"/>
    <x v="7"/>
    <s v="runs"/>
    <n v="41"/>
    <s v="N"/>
    <s v="Normal Match"/>
    <s v="HDPK Dharmasena"/>
    <s v="RK Illingworth"/>
    <x v="7"/>
    <x v="0"/>
  </r>
  <r>
    <s v="980901"/>
    <s v="Mumbai"/>
    <n v="2016"/>
    <d v="2016-04-09T00:00:00"/>
    <x v="117"/>
    <x v="3"/>
    <x v="3"/>
    <s v="Rising Pune Supergiant"/>
    <x v="3"/>
    <x v="1"/>
    <x v="11"/>
    <s v="wickets"/>
    <n v="9"/>
    <s v="N"/>
    <s v="Normal Match"/>
    <s v="HDPK Dharmasena"/>
    <s v="CK Nandan"/>
    <x v="8"/>
    <x v="1"/>
  </r>
  <r>
    <s v="980903"/>
    <s v="Kolkata"/>
    <n v="2016"/>
    <d v="2016-04-10T00:00:00"/>
    <x v="162"/>
    <x v="4"/>
    <x v="4"/>
    <s v="Delhi Capitals"/>
    <x v="6"/>
    <x v="0"/>
    <x v="0"/>
    <s v="wickets"/>
    <n v="9"/>
    <s v="N"/>
    <s v="Normal Match"/>
    <s v="S Ravi"/>
    <s v="C Shamshuddin"/>
    <x v="8"/>
    <x v="1"/>
  </r>
  <r>
    <s v="980905"/>
    <s v="Chandigarh"/>
    <n v="2016"/>
    <d v="2016-04-11T00:00:00"/>
    <x v="137"/>
    <x v="1"/>
    <x v="1"/>
    <s v="Gujarat Lions"/>
    <x v="11"/>
    <x v="0"/>
    <x v="12"/>
    <s v="wickets"/>
    <n v="5"/>
    <s v="N"/>
    <s v="Normal Match"/>
    <s v="AK Chaudhary"/>
    <s v="VA Kulkarni"/>
    <x v="8"/>
    <x v="1"/>
  </r>
  <r>
    <s v="980907"/>
    <s v="Bangalore"/>
    <n v="2016"/>
    <d v="2016-04-12T00:00:00"/>
    <x v="46"/>
    <x v="0"/>
    <x v="0"/>
    <s v="Sunrisers Hyderabad"/>
    <x v="10"/>
    <x v="0"/>
    <x v="3"/>
    <s v="runs"/>
    <n v="45"/>
    <s v="N"/>
    <s v="Normal Match"/>
    <s v="HDPK Dharmasena"/>
    <s v="VK Sharma"/>
    <x v="8"/>
    <x v="0"/>
  </r>
  <r>
    <s v="980909"/>
    <s v="Kolkata"/>
    <n v="2016"/>
    <d v="2016-04-13T00:00:00"/>
    <x v="57"/>
    <x v="4"/>
    <x v="4"/>
    <s v="Mumbai Indians"/>
    <x v="3"/>
    <x v="0"/>
    <x v="7"/>
    <s v="wickets"/>
    <n v="6"/>
    <s v="N"/>
    <s v="Normal Match"/>
    <s v="Nitin Menon"/>
    <s v="S Ravi"/>
    <x v="8"/>
    <x v="1"/>
  </r>
  <r>
    <s v="980911"/>
    <s v="Rajkot"/>
    <n v="2016"/>
    <d v="2016-04-14T00:00:00"/>
    <x v="137"/>
    <x v="32"/>
    <x v="11"/>
    <s v="Rising Pune Supergiant"/>
    <x v="12"/>
    <x v="1"/>
    <x v="12"/>
    <s v="wickets"/>
    <n v="7"/>
    <s v="N"/>
    <s v="Normal Match"/>
    <s v="VA Kulkarni"/>
    <s v="CK Nandan"/>
    <x v="8"/>
    <x v="1"/>
  </r>
  <r>
    <s v="980913"/>
    <s v="Delhi"/>
    <n v="2016"/>
    <d v="2016-04-15T00:00:00"/>
    <x v="28"/>
    <x v="2"/>
    <x v="2"/>
    <s v="Punjab Kings"/>
    <x v="7"/>
    <x v="0"/>
    <x v="2"/>
    <s v="wickets"/>
    <n v="8"/>
    <s v="N"/>
    <s v="Normal Match"/>
    <s v="S Ravi"/>
    <s v="C Shamshuddin"/>
    <x v="8"/>
    <x v="1"/>
  </r>
  <r>
    <s v="980915"/>
    <s v="Hyderabad"/>
    <n v="2016"/>
    <d v="2016-04-16T00:00:00"/>
    <x v="56"/>
    <x v="6"/>
    <x v="10"/>
    <s v="Kolkata Knight Riders"/>
    <x v="10"/>
    <x v="1"/>
    <x v="0"/>
    <s v="wickets"/>
    <n v="8"/>
    <s v="N"/>
    <s v="Normal Match"/>
    <s v="AK Chaudhary"/>
    <s v="CK Nandan"/>
    <x v="8"/>
    <x v="1"/>
  </r>
  <r>
    <s v="980917"/>
    <s v="Mumbai"/>
    <n v="2016"/>
    <d v="2016-04-16T00:00:00"/>
    <x v="137"/>
    <x v="3"/>
    <x v="3"/>
    <s v="Gujarat Lions"/>
    <x v="11"/>
    <x v="0"/>
    <x v="12"/>
    <s v="wickets"/>
    <n v="3"/>
    <s v="N"/>
    <s v="Normal Match"/>
    <s v="HDPK Dharmasena"/>
    <s v="VK Sharma"/>
    <x v="8"/>
    <x v="1"/>
  </r>
  <r>
    <s v="980919"/>
    <s v="Chandigarh"/>
    <n v="2016"/>
    <d v="2016-04-17T00:00:00"/>
    <x v="136"/>
    <x v="1"/>
    <x v="1"/>
    <s v="Rising Pune Supergiant"/>
    <x v="12"/>
    <x v="1"/>
    <x v="5"/>
    <s v="wickets"/>
    <n v="6"/>
    <s v="N"/>
    <s v="Normal Match"/>
    <s v="S Ravi"/>
    <s v="C Shamshuddin"/>
    <x v="8"/>
    <x v="1"/>
  </r>
  <r>
    <s v="980921"/>
    <s v="Bangalore"/>
    <n v="2016"/>
    <d v="2016-04-17T00:00:00"/>
    <x v="174"/>
    <x v="0"/>
    <x v="0"/>
    <s v="Delhi Capitals"/>
    <x v="7"/>
    <x v="0"/>
    <x v="2"/>
    <s v="wickets"/>
    <n v="7"/>
    <s v="N"/>
    <s v="Normal Match"/>
    <s v="VA Kulkarni"/>
    <s v="A Nand Kishore"/>
    <x v="8"/>
    <x v="1"/>
  </r>
  <r>
    <s v="980923"/>
    <s v="Hyderabad"/>
    <n v="2016"/>
    <d v="2016-04-18T00:00:00"/>
    <x v="78"/>
    <x v="6"/>
    <x v="10"/>
    <s v="Mumbai Indians"/>
    <x v="10"/>
    <x v="0"/>
    <x v="10"/>
    <s v="wickets"/>
    <n v="7"/>
    <s v="N"/>
    <s v="Normal Match"/>
    <s v="HDPK Dharmasena"/>
    <s v="VK Sharma"/>
    <x v="8"/>
    <x v="1"/>
  </r>
  <r>
    <s v="980925"/>
    <s v="Chandigarh"/>
    <n v="2016"/>
    <d v="2016-04-19T00:00:00"/>
    <x v="74"/>
    <x v="1"/>
    <x v="1"/>
    <s v="Kolkata Knight Riders"/>
    <x v="6"/>
    <x v="0"/>
    <x v="0"/>
    <s v="wickets"/>
    <n v="6"/>
    <s v="N"/>
    <s v="Normal Match"/>
    <s v="S Ravi"/>
    <s v="C Shamshuddin"/>
    <x v="8"/>
    <x v="1"/>
  </r>
  <r>
    <s v="980927"/>
    <s v="Mumbai"/>
    <n v="2016"/>
    <d v="2016-04-20T00:00:00"/>
    <x v="57"/>
    <x v="3"/>
    <x v="3"/>
    <s v="Royal Challengers Bangalore"/>
    <x v="3"/>
    <x v="0"/>
    <x v="7"/>
    <s v="wickets"/>
    <n v="6"/>
    <s v="N"/>
    <s v="Normal Match"/>
    <s v="AK Chaudhary"/>
    <s v="CK Nandan"/>
    <x v="8"/>
    <x v="1"/>
  </r>
  <r>
    <s v="980929"/>
    <s v="Rajkot"/>
    <n v="2016"/>
    <d v="2016-04-21T00:00:00"/>
    <x v="155"/>
    <x v="32"/>
    <x v="11"/>
    <s v="Sunrisers Hyderabad"/>
    <x v="10"/>
    <x v="0"/>
    <x v="10"/>
    <s v="wickets"/>
    <n v="10"/>
    <s v="N"/>
    <s v="Normal Match"/>
    <s v="K Bharatan"/>
    <s v="HDPK Dharmasena"/>
    <x v="8"/>
    <x v="1"/>
  </r>
  <r>
    <s v="980931"/>
    <s v="Pune"/>
    <n v="2016"/>
    <d v="2016-04-22T00:00:00"/>
    <x v="46"/>
    <x v="31"/>
    <x v="12"/>
    <s v="Royal Challengers Bangalore"/>
    <x v="12"/>
    <x v="0"/>
    <x v="3"/>
    <s v="runs"/>
    <n v="13"/>
    <s v="N"/>
    <s v="Normal Match"/>
    <s v="CB Gaffaney"/>
    <s v="VK Sharma"/>
    <x v="8"/>
    <x v="0"/>
  </r>
  <r>
    <s v="980933"/>
    <s v="Delhi"/>
    <n v="2016"/>
    <d v="2016-04-23T00:00:00"/>
    <x v="142"/>
    <x v="2"/>
    <x v="2"/>
    <s v="Mumbai Indians"/>
    <x v="3"/>
    <x v="0"/>
    <x v="2"/>
    <s v="runs"/>
    <n v="10"/>
    <s v="N"/>
    <s v="Normal Match"/>
    <s v="S Ravi"/>
    <s v="C Shamshuddin"/>
    <x v="8"/>
    <x v="0"/>
  </r>
  <r>
    <s v="980935"/>
    <s v="Hyderabad"/>
    <n v="2016"/>
    <d v="2016-04-23T00:00:00"/>
    <x v="175"/>
    <x v="6"/>
    <x v="10"/>
    <s v="Punjab Kings"/>
    <x v="10"/>
    <x v="0"/>
    <x v="10"/>
    <s v="wickets"/>
    <n v="5"/>
    <s v="N"/>
    <s v="Normal Match"/>
    <s v="AK Chaudhary"/>
    <s v="CK Nandan"/>
    <x v="8"/>
    <x v="1"/>
  </r>
  <r>
    <s v="980937"/>
    <s v="Rajkot"/>
    <n v="2016"/>
    <d v="2016-04-24T00:00:00"/>
    <x v="103"/>
    <x v="32"/>
    <x v="11"/>
    <s v="Royal Challengers Bangalore"/>
    <x v="0"/>
    <x v="1"/>
    <x v="12"/>
    <s v="wickets"/>
    <n v="6"/>
    <s v="N"/>
    <s v="Normal Match"/>
    <s v="K Bharatan"/>
    <s v="BNJ Oxenford"/>
    <x v="8"/>
    <x v="1"/>
  </r>
  <r>
    <s v="980939"/>
    <s v="Pune"/>
    <n v="2016"/>
    <d v="2016-04-24T00:00:00"/>
    <x v="176"/>
    <x v="31"/>
    <x v="12"/>
    <s v="Kolkata Knight Riders"/>
    <x v="6"/>
    <x v="0"/>
    <x v="0"/>
    <s v="wickets"/>
    <n v="2"/>
    <s v="N"/>
    <s v="Normal Match"/>
    <s v="CB Gaffaney"/>
    <s v="A Nand Kishore"/>
    <x v="8"/>
    <x v="1"/>
  </r>
  <r>
    <s v="980941"/>
    <s v="Chandigarh"/>
    <n v="2016"/>
    <d v="2016-04-25T00:00:00"/>
    <x v="146"/>
    <x v="1"/>
    <x v="1"/>
    <s v="Mumbai Indians"/>
    <x v="5"/>
    <x v="0"/>
    <x v="7"/>
    <s v="runs"/>
    <n v="25"/>
    <s v="N"/>
    <s v="Normal Match"/>
    <s v="Nitin Menon"/>
    <s v="RJ Tucker"/>
    <x v="8"/>
    <x v="0"/>
  </r>
  <r>
    <s v="980943"/>
    <s v="Hyderabad"/>
    <n v="2016"/>
    <d v="2016-04-26T00:00:00"/>
    <x v="177"/>
    <x v="6"/>
    <x v="10"/>
    <s v="Rising Pune Supergiant"/>
    <x v="12"/>
    <x v="0"/>
    <x v="11"/>
    <s v="runs"/>
    <n v="34"/>
    <s v="N"/>
    <s v="D/L"/>
    <s v="AY Dandekar"/>
    <s v="CK Nandan"/>
    <x v="8"/>
    <x v="0"/>
  </r>
  <r>
    <s v="980945"/>
    <s v="Delhi"/>
    <n v="2016"/>
    <d v="2016-04-27T00:00:00"/>
    <x v="178"/>
    <x v="2"/>
    <x v="2"/>
    <s v="Gujarat Lions"/>
    <x v="7"/>
    <x v="0"/>
    <x v="12"/>
    <s v="runs"/>
    <n v="1"/>
    <s v="N"/>
    <s v="Normal Match"/>
    <s v="M Erasmus"/>
    <s v="S Ravi"/>
    <x v="8"/>
    <x v="0"/>
  </r>
  <r>
    <s v="980947"/>
    <s v="Mumbai"/>
    <n v="2016"/>
    <d v="2016-04-28T00:00:00"/>
    <x v="57"/>
    <x v="3"/>
    <x v="3"/>
    <s v="Kolkata Knight Riders"/>
    <x v="3"/>
    <x v="0"/>
    <x v="7"/>
    <s v="wickets"/>
    <n v="6"/>
    <s v="N"/>
    <s v="Normal Match"/>
    <s v="Nitin Menon"/>
    <s v="RJ Tucker"/>
    <x v="8"/>
    <x v="1"/>
  </r>
  <r>
    <s v="980949"/>
    <s v="Pune"/>
    <n v="2016"/>
    <d v="2016-04-29T00:00:00"/>
    <x v="60"/>
    <x v="31"/>
    <x v="12"/>
    <s v="Gujarat Lions"/>
    <x v="11"/>
    <x v="0"/>
    <x v="12"/>
    <s v="wickets"/>
    <n v="3"/>
    <s v="N"/>
    <s v="Normal Match"/>
    <s v="CB Gaffaney"/>
    <s v="BNJ Oxenford"/>
    <x v="8"/>
    <x v="1"/>
  </r>
  <r>
    <s v="980951"/>
    <s v="Delhi"/>
    <n v="2016"/>
    <d v="2016-04-30T00:00:00"/>
    <x v="179"/>
    <x v="2"/>
    <x v="2"/>
    <s v="Kolkata Knight Riders"/>
    <x v="6"/>
    <x v="0"/>
    <x v="2"/>
    <s v="runs"/>
    <n v="27"/>
    <s v="N"/>
    <s v="Normal Match"/>
    <s v="KN Ananthapadmanabhan"/>
    <s v="M Erasmus"/>
    <x v="8"/>
    <x v="0"/>
  </r>
  <r>
    <s v="980953"/>
    <s v="Hyderabad"/>
    <n v="2016"/>
    <d v="2016-04-30T00:00:00"/>
    <x v="78"/>
    <x v="6"/>
    <x v="10"/>
    <s v="Royal Challengers Bangalore"/>
    <x v="0"/>
    <x v="0"/>
    <x v="10"/>
    <s v="runs"/>
    <n v="15"/>
    <s v="N"/>
    <s v="Normal Match"/>
    <s v="AK Chaudhary"/>
    <s v="HDPK Dharmasena"/>
    <x v="8"/>
    <x v="0"/>
  </r>
  <r>
    <s v="980955"/>
    <s v="Rajkot"/>
    <n v="2016"/>
    <d v="2016-05-01T00:00:00"/>
    <x v="158"/>
    <x v="32"/>
    <x v="11"/>
    <s v="Punjab Kings"/>
    <x v="11"/>
    <x v="0"/>
    <x v="5"/>
    <s v="runs"/>
    <n v="23"/>
    <s v="N"/>
    <s v="Normal Match"/>
    <s v="BNJ Oxenford"/>
    <s v="VK Sharma"/>
    <x v="8"/>
    <x v="0"/>
  </r>
  <r>
    <s v="980957"/>
    <s v="Pune"/>
    <n v="2016"/>
    <d v="2016-05-01T00:00:00"/>
    <x v="57"/>
    <x v="31"/>
    <x v="12"/>
    <s v="Mumbai Indians"/>
    <x v="3"/>
    <x v="0"/>
    <x v="7"/>
    <s v="wickets"/>
    <n v="8"/>
    <s v="N"/>
    <s v="Normal Match"/>
    <s v="AY Dandekar"/>
    <s v="RJ Tucker"/>
    <x v="8"/>
    <x v="1"/>
  </r>
  <r>
    <s v="980959"/>
    <s v="Bangalore"/>
    <n v="2016"/>
    <d v="2016-05-02T00:00:00"/>
    <x v="162"/>
    <x v="0"/>
    <x v="0"/>
    <s v="Kolkata Knight Riders"/>
    <x v="6"/>
    <x v="0"/>
    <x v="0"/>
    <s v="wickets"/>
    <n v="5"/>
    <s v="N"/>
    <s v="Normal Match"/>
    <s v="M Erasmus"/>
    <s v="S Ravi"/>
    <x v="8"/>
    <x v="1"/>
  </r>
  <r>
    <s v="980961"/>
    <s v="Rajkot"/>
    <n v="2016"/>
    <d v="2016-05-03T00:00:00"/>
    <x v="180"/>
    <x v="32"/>
    <x v="11"/>
    <s v="Delhi Capitals"/>
    <x v="7"/>
    <x v="0"/>
    <x v="2"/>
    <s v="wickets"/>
    <n v="8"/>
    <s v="N"/>
    <s v="Normal Match"/>
    <s v="CB Gaffaney"/>
    <s v="BNJ Oxenford"/>
    <x v="8"/>
    <x v="1"/>
  </r>
  <r>
    <s v="980963"/>
    <s v="Kolkata"/>
    <n v="2016"/>
    <d v="2016-05-04T00:00:00"/>
    <x v="162"/>
    <x v="4"/>
    <x v="4"/>
    <s v="Punjab Kings"/>
    <x v="5"/>
    <x v="0"/>
    <x v="0"/>
    <s v="runs"/>
    <n v="7"/>
    <s v="N"/>
    <s v="Normal Match"/>
    <s v="AK Chaudhary"/>
    <s v="HDPK Dharmasena"/>
    <x v="8"/>
    <x v="0"/>
  </r>
  <r>
    <s v="980965"/>
    <s v="Delhi"/>
    <n v="2016"/>
    <d v="2016-05-05T00:00:00"/>
    <x v="117"/>
    <x v="2"/>
    <x v="2"/>
    <s v="Rising Pune Supergiant"/>
    <x v="12"/>
    <x v="0"/>
    <x v="11"/>
    <s v="wickets"/>
    <n v="7"/>
    <s v="N"/>
    <s v="Normal Match"/>
    <s v="C Shamshuddin"/>
    <s v="RJ Tucker"/>
    <x v="8"/>
    <x v="1"/>
  </r>
  <r>
    <s v="980967"/>
    <s v="Hyderabad"/>
    <n v="2016"/>
    <d v="2016-05-06T00:00:00"/>
    <x v="155"/>
    <x v="6"/>
    <x v="10"/>
    <s v="Gujarat Lions"/>
    <x v="10"/>
    <x v="0"/>
    <x v="10"/>
    <s v="wickets"/>
    <n v="5"/>
    <s v="N"/>
    <s v="Normal Match"/>
    <s v="M Erasmus"/>
    <s v="S Ravi"/>
    <x v="8"/>
    <x v="1"/>
  </r>
  <r>
    <s v="980969"/>
    <s v="Bangalore"/>
    <n v="2016"/>
    <d v="2016-05-07T00:00:00"/>
    <x v="103"/>
    <x v="0"/>
    <x v="0"/>
    <s v="Rising Pune Supergiant"/>
    <x v="0"/>
    <x v="0"/>
    <x v="3"/>
    <s v="wickets"/>
    <n v="7"/>
    <s v="N"/>
    <s v="Normal Match"/>
    <s v="CB Gaffaney"/>
    <s v="BNJ Oxenford"/>
    <x v="8"/>
    <x v="1"/>
  </r>
  <r>
    <s v="980971"/>
    <s v="Chandigarh"/>
    <n v="2016"/>
    <d v="2016-05-07T00:00:00"/>
    <x v="181"/>
    <x v="1"/>
    <x v="1"/>
    <s v="Delhi Capitals"/>
    <x v="7"/>
    <x v="0"/>
    <x v="5"/>
    <s v="runs"/>
    <n v="9"/>
    <s v="N"/>
    <s v="Normal Match"/>
    <s v="HDPK Dharmasena"/>
    <s v="CK Nandan"/>
    <x v="8"/>
    <x v="0"/>
  </r>
  <r>
    <s v="980973"/>
    <s v="Visakhapatnam"/>
    <n v="2016"/>
    <d v="2016-05-08T00:00:00"/>
    <x v="23"/>
    <x v="24"/>
    <x v="3"/>
    <s v="Sunrisers Hyderabad"/>
    <x v="3"/>
    <x v="0"/>
    <x v="10"/>
    <s v="runs"/>
    <n v="85"/>
    <s v="N"/>
    <s v="Normal Match"/>
    <s v="S Ravi"/>
    <s v="C Shamshuddin"/>
    <x v="8"/>
    <x v="0"/>
  </r>
  <r>
    <s v="980975"/>
    <s v="Kolkata"/>
    <n v="2016"/>
    <d v="2016-05-08T00:00:00"/>
    <x v="37"/>
    <x v="4"/>
    <x v="4"/>
    <s v="Gujarat Lions"/>
    <x v="11"/>
    <x v="0"/>
    <x v="12"/>
    <s v="wickets"/>
    <n v="5"/>
    <s v="N"/>
    <s v="Normal Match"/>
    <s v="M Erasmus"/>
    <s v="RJ Tucker"/>
    <x v="8"/>
    <x v="1"/>
  </r>
  <r>
    <s v="980977"/>
    <s v="Chandigarh"/>
    <n v="2016"/>
    <d v="2016-05-09T00:00:00"/>
    <x v="5"/>
    <x v="1"/>
    <x v="1"/>
    <s v="Royal Challengers Bangalore"/>
    <x v="5"/>
    <x v="0"/>
    <x v="3"/>
    <s v="runs"/>
    <n v="1"/>
    <s v="N"/>
    <s v="Normal Match"/>
    <s v="AK Chaudhary"/>
    <s v="HDPK Dharmasena"/>
    <x v="8"/>
    <x v="0"/>
  </r>
  <r>
    <s v="980979"/>
    <s v="Visakhapatnam"/>
    <n v="2016"/>
    <d v="2016-05-10T00:00:00"/>
    <x v="182"/>
    <x v="24"/>
    <x v="12"/>
    <s v="Sunrisers Hyderabad"/>
    <x v="10"/>
    <x v="1"/>
    <x v="10"/>
    <s v="runs"/>
    <n v="4"/>
    <s v="N"/>
    <s v="Normal Match"/>
    <s v="CB Gaffaney"/>
    <s v="VK Sharma"/>
    <x v="8"/>
    <x v="0"/>
  </r>
  <r>
    <s v="980981"/>
    <s v="Bangalore"/>
    <n v="2016"/>
    <d v="2016-05-11T00:00:00"/>
    <x v="183"/>
    <x v="0"/>
    <x v="0"/>
    <s v="Mumbai Indians"/>
    <x v="3"/>
    <x v="0"/>
    <x v="7"/>
    <s v="wickets"/>
    <n v="6"/>
    <s v="N"/>
    <s v="Normal Match"/>
    <s v="AY Dandekar"/>
    <s v="C Shamshuddin"/>
    <x v="8"/>
    <x v="1"/>
  </r>
  <r>
    <s v="980983"/>
    <s v="Hyderabad"/>
    <n v="2016"/>
    <d v="2016-05-12T00:00:00"/>
    <x v="178"/>
    <x v="6"/>
    <x v="10"/>
    <s v="Delhi Capitals"/>
    <x v="7"/>
    <x v="0"/>
    <x v="2"/>
    <s v="wickets"/>
    <n v="7"/>
    <s v="N"/>
    <s v="Normal Match"/>
    <s v="K Bharatan"/>
    <s v="M Erasmus"/>
    <x v="8"/>
    <x v="1"/>
  </r>
  <r>
    <s v="980985"/>
    <s v="Visakhapatnam"/>
    <n v="2016"/>
    <d v="2016-05-13T00:00:00"/>
    <x v="181"/>
    <x v="24"/>
    <x v="3"/>
    <s v="Punjab Kings"/>
    <x v="3"/>
    <x v="1"/>
    <x v="5"/>
    <s v="wickets"/>
    <n v="7"/>
    <s v="N"/>
    <s v="Normal Match"/>
    <s v="HDPK Dharmasena"/>
    <s v="CK Nandan"/>
    <x v="8"/>
    <x v="1"/>
  </r>
  <r>
    <s v="980987"/>
    <s v="Bangalore"/>
    <n v="2016"/>
    <d v="2016-05-14T00:00:00"/>
    <x v="46"/>
    <x v="0"/>
    <x v="0"/>
    <s v="Gujarat Lions"/>
    <x v="11"/>
    <x v="0"/>
    <x v="3"/>
    <s v="runs"/>
    <n v="144"/>
    <s v="N"/>
    <s v="Normal Match"/>
    <s v="AY Dandekar"/>
    <s v="VK Sharma"/>
    <x v="8"/>
    <x v="0"/>
  </r>
  <r>
    <s v="980989"/>
    <s v="Kolkata"/>
    <n v="2016"/>
    <d v="2016-05-14T00:00:00"/>
    <x v="8"/>
    <x v="4"/>
    <x v="4"/>
    <s v="Rising Pune Supergiant"/>
    <x v="12"/>
    <x v="1"/>
    <x v="0"/>
    <s v="wickets"/>
    <n v="8"/>
    <s v="N"/>
    <s v="D/L"/>
    <s v="A Nand Kishore"/>
    <s v="BNJ Oxenford"/>
    <x v="8"/>
    <x v="1"/>
  </r>
  <r>
    <s v="980991"/>
    <s v="Chandigarh"/>
    <n v="2016"/>
    <d v="2016-05-15T00:00:00"/>
    <x v="184"/>
    <x v="1"/>
    <x v="1"/>
    <s v="Sunrisers Hyderabad"/>
    <x v="5"/>
    <x v="1"/>
    <x v="10"/>
    <s v="wickets"/>
    <n v="7"/>
    <s v="N"/>
    <s v="Normal Match"/>
    <s v="KN Ananthapadmanabhan"/>
    <s v="M Erasmus"/>
    <x v="8"/>
    <x v="1"/>
  </r>
  <r>
    <s v="980993"/>
    <s v="Visakhapatnam"/>
    <n v="2016"/>
    <d v="2016-05-15T00:00:00"/>
    <x v="183"/>
    <x v="24"/>
    <x v="3"/>
    <s v="Delhi Capitals"/>
    <x v="7"/>
    <x v="0"/>
    <x v="7"/>
    <s v="runs"/>
    <n v="80"/>
    <s v="N"/>
    <s v="Normal Match"/>
    <s v="Nitin Menon"/>
    <s v="CK Nandan"/>
    <x v="8"/>
    <x v="0"/>
  </r>
  <r>
    <s v="980995"/>
    <s v="Kolkata"/>
    <n v="2016"/>
    <d v="2016-05-16T00:00:00"/>
    <x v="103"/>
    <x v="4"/>
    <x v="4"/>
    <s v="Royal Challengers Bangalore"/>
    <x v="0"/>
    <x v="0"/>
    <x v="3"/>
    <s v="wickets"/>
    <n v="9"/>
    <s v="N"/>
    <s v="Normal Match"/>
    <s v="CB Gaffaney"/>
    <s v="A Nand Kishore"/>
    <x v="8"/>
    <x v="1"/>
  </r>
  <r>
    <s v="980997"/>
    <s v="Visakhapatnam"/>
    <n v="2016"/>
    <d v="2016-05-17T00:00:00"/>
    <x v="177"/>
    <x v="24"/>
    <x v="12"/>
    <s v="Delhi Capitals"/>
    <x v="12"/>
    <x v="0"/>
    <x v="11"/>
    <s v="runs"/>
    <n v="19"/>
    <s v="N"/>
    <s v="D/L"/>
    <s v="Nitin Menon"/>
    <s v="C Shamshuddin"/>
    <x v="8"/>
    <x v="0"/>
  </r>
  <r>
    <s v="980999"/>
    <s v="Bangalore"/>
    <n v="2016"/>
    <d v="2016-05-18T00:00:00"/>
    <x v="103"/>
    <x v="0"/>
    <x v="0"/>
    <s v="Punjab Kings"/>
    <x v="5"/>
    <x v="0"/>
    <x v="3"/>
    <s v="runs"/>
    <n v="82"/>
    <s v="N"/>
    <s v="D/L"/>
    <s v="KN Ananthapadmanabhan"/>
    <s v="M Erasmus"/>
    <x v="8"/>
    <x v="0"/>
  </r>
  <r>
    <s v="981001"/>
    <s v="Kanpur"/>
    <n v="2016"/>
    <d v="2016-05-19T00:00:00"/>
    <x v="60"/>
    <x v="33"/>
    <x v="11"/>
    <s v="Kolkata Knight Riders"/>
    <x v="11"/>
    <x v="0"/>
    <x v="12"/>
    <s v="wickets"/>
    <n v="6"/>
    <s v="N"/>
    <s v="Normal Match"/>
    <s v="AK Chaudhary"/>
    <s v="CK Nandan"/>
    <x v="8"/>
    <x v="1"/>
  </r>
  <r>
    <s v="981003"/>
    <s v="Raipur"/>
    <n v="2016"/>
    <d v="2016-05-20T00:00:00"/>
    <x v="157"/>
    <x v="26"/>
    <x v="2"/>
    <s v="Sunrisers Hyderabad"/>
    <x v="7"/>
    <x v="0"/>
    <x v="2"/>
    <s v="wickets"/>
    <n v="6"/>
    <s v="N"/>
    <s v="Normal Match"/>
    <s v="A Nand Kishore"/>
    <s v="BNJ Oxenford"/>
    <x v="8"/>
    <x v="1"/>
  </r>
  <r>
    <s v="981005"/>
    <s v="Visakhapatnam"/>
    <n v="2016"/>
    <d v="2016-05-21T00:00:00"/>
    <x v="13"/>
    <x v="24"/>
    <x v="12"/>
    <s v="Punjab Kings"/>
    <x v="5"/>
    <x v="1"/>
    <x v="11"/>
    <s v="wickets"/>
    <n v="4"/>
    <s v="N"/>
    <s v="Normal Match"/>
    <s v="HDPK Dharmasena"/>
    <s v="Nitin Menon"/>
    <x v="8"/>
    <x v="1"/>
  </r>
  <r>
    <s v="981007"/>
    <s v="Kanpur"/>
    <n v="2016"/>
    <d v="2016-05-21T00:00:00"/>
    <x v="39"/>
    <x v="33"/>
    <x v="11"/>
    <s v="Mumbai Indians"/>
    <x v="11"/>
    <x v="0"/>
    <x v="12"/>
    <s v="wickets"/>
    <n v="6"/>
    <s v="N"/>
    <s v="Normal Match"/>
    <s v="AK Chaudhary"/>
    <s v="CK Nandan"/>
    <x v="8"/>
    <x v="1"/>
  </r>
  <r>
    <s v="981009"/>
    <s v="Kolkata"/>
    <n v="2016"/>
    <d v="2016-05-22T00:00:00"/>
    <x v="8"/>
    <x v="4"/>
    <x v="4"/>
    <s v="Sunrisers Hyderabad"/>
    <x v="10"/>
    <x v="0"/>
    <x v="0"/>
    <s v="runs"/>
    <n v="22"/>
    <s v="N"/>
    <s v="Normal Match"/>
    <s v="KN Ananthapadmanabhan"/>
    <s v="M Erasmus"/>
    <x v="8"/>
    <x v="0"/>
  </r>
  <r>
    <s v="981011"/>
    <s v="Raipur"/>
    <n v="2016"/>
    <d v="2016-05-22T00:00:00"/>
    <x v="103"/>
    <x v="26"/>
    <x v="2"/>
    <s v="Royal Challengers Bangalore"/>
    <x v="0"/>
    <x v="0"/>
    <x v="3"/>
    <s v="wickets"/>
    <n v="6"/>
    <s v="N"/>
    <s v="Normal Match"/>
    <s v="A Nand Kishore"/>
    <s v="BNJ Oxenford"/>
    <x v="8"/>
    <x v="1"/>
  </r>
  <r>
    <s v="981013"/>
    <s v="Bangalore"/>
    <n v="2016"/>
    <d v="2016-05-24T00:00:00"/>
    <x v="46"/>
    <x v="0"/>
    <x v="11"/>
    <s v="Royal Challengers Bangalore"/>
    <x v="0"/>
    <x v="0"/>
    <x v="3"/>
    <s v="wickets"/>
    <n v="4"/>
    <s v="N"/>
    <s v="Normal Match"/>
    <s v="AK Chaudhary"/>
    <s v="HDPK Dharmasena"/>
    <x v="8"/>
    <x v="1"/>
  </r>
  <r>
    <s v="981015"/>
    <s v="Delhi"/>
    <n v="2016"/>
    <d v="2016-05-25T00:00:00"/>
    <x v="171"/>
    <x v="2"/>
    <x v="10"/>
    <s v="Kolkata Knight Riders"/>
    <x v="6"/>
    <x v="0"/>
    <x v="10"/>
    <s v="runs"/>
    <n v="22"/>
    <s v="N"/>
    <s v="Normal Match"/>
    <s v="M Erasmus"/>
    <s v="C Shamshuddin"/>
    <x v="8"/>
    <x v="0"/>
  </r>
  <r>
    <s v="981017"/>
    <s v="Delhi"/>
    <n v="2016"/>
    <d v="2016-05-27T00:00:00"/>
    <x v="78"/>
    <x v="2"/>
    <x v="11"/>
    <s v="Sunrisers Hyderabad"/>
    <x v="10"/>
    <x v="0"/>
    <x v="10"/>
    <s v="wickets"/>
    <n v="4"/>
    <s v="N"/>
    <s v="Normal Match"/>
    <s v="M Erasmus"/>
    <s v="CK Nandan"/>
    <x v="8"/>
    <x v="1"/>
  </r>
  <r>
    <s v="981019"/>
    <s v="Bangalore"/>
    <n v="2016"/>
    <d v="2016-05-29T00:00:00"/>
    <x v="185"/>
    <x v="0"/>
    <x v="0"/>
    <s v="Sunrisers Hyderabad"/>
    <x v="10"/>
    <x v="1"/>
    <x v="10"/>
    <s v="runs"/>
    <n v="8"/>
    <s v="N"/>
    <s v="Normal Match"/>
    <s v="HDPK Dharmasena"/>
    <s v="BNJ Oxenford"/>
    <x v="8"/>
    <x v="0"/>
  </r>
  <r>
    <s v="1082591"/>
    <s v="Hyderabad"/>
    <n v="2017"/>
    <d v="2017-04-05T00:00:00"/>
    <x v="53"/>
    <x v="6"/>
    <x v="10"/>
    <s v="Royal Challengers Bangalore"/>
    <x v="0"/>
    <x v="0"/>
    <x v="10"/>
    <s v="runs"/>
    <n v="35"/>
    <s v="N"/>
    <s v="Normal Match"/>
    <s v="AY Dandekar"/>
    <s v="NJ Llong"/>
    <x v="9"/>
    <x v="0"/>
  </r>
  <r>
    <s v="1082592"/>
    <s v="Pune"/>
    <n v="2017"/>
    <d v="2017-04-06T00:00:00"/>
    <x v="116"/>
    <x v="31"/>
    <x v="12"/>
    <s v="Mumbai Indians"/>
    <x v="12"/>
    <x v="0"/>
    <x v="11"/>
    <s v="wickets"/>
    <n v="7"/>
    <s v="N"/>
    <s v="Normal Match"/>
    <s v="A Nand Kishore"/>
    <s v="S Ravi"/>
    <x v="9"/>
    <x v="1"/>
  </r>
  <r>
    <s v="1082593"/>
    <s v="Rajkot"/>
    <n v="2017"/>
    <d v="2017-04-07T00:00:00"/>
    <x v="151"/>
    <x v="32"/>
    <x v="11"/>
    <s v="Kolkata Knight Riders"/>
    <x v="6"/>
    <x v="0"/>
    <x v="0"/>
    <s v="wickets"/>
    <n v="10"/>
    <s v="N"/>
    <s v="Normal Match"/>
    <s v="Nitin Menon"/>
    <s v="CK Nandan"/>
    <x v="9"/>
    <x v="1"/>
  </r>
  <r>
    <s v="1082594"/>
    <s v="Indore"/>
    <n v="2017"/>
    <d v="2017-04-08T00:00:00"/>
    <x v="150"/>
    <x v="23"/>
    <x v="1"/>
    <s v="Rising Pune Supergiant"/>
    <x v="5"/>
    <x v="0"/>
    <x v="5"/>
    <s v="wickets"/>
    <n v="6"/>
    <s v="N"/>
    <s v="Normal Match"/>
    <s v="AK Chaudhary"/>
    <s v="C Shamshuddin"/>
    <x v="9"/>
    <x v="1"/>
  </r>
  <r>
    <s v="1082595"/>
    <s v="Bengaluru"/>
    <n v="2017"/>
    <d v="2017-04-08T00:00:00"/>
    <x v="76"/>
    <x v="0"/>
    <x v="0"/>
    <s v="Delhi Capitals"/>
    <x v="0"/>
    <x v="1"/>
    <x v="3"/>
    <s v="runs"/>
    <n v="15"/>
    <s v="N"/>
    <s v="Normal Match"/>
    <s v="S Ravi"/>
    <s v="VK Sharma"/>
    <x v="9"/>
    <x v="0"/>
  </r>
  <r>
    <s v="1082596"/>
    <s v="Hyderabad"/>
    <n v="2017"/>
    <d v="2017-04-09T00:00:00"/>
    <x v="186"/>
    <x v="6"/>
    <x v="10"/>
    <s v="Gujarat Lions"/>
    <x v="10"/>
    <x v="0"/>
    <x v="10"/>
    <s v="wickets"/>
    <n v="9"/>
    <s v="N"/>
    <s v="Normal Match"/>
    <s v="A Deshmukh"/>
    <s v="NJ Llong"/>
    <x v="9"/>
    <x v="1"/>
  </r>
  <r>
    <s v="1082597"/>
    <s v="Mumbai"/>
    <n v="2017"/>
    <d v="2017-04-09T00:00:00"/>
    <x v="187"/>
    <x v="3"/>
    <x v="3"/>
    <s v="Kolkata Knight Riders"/>
    <x v="3"/>
    <x v="0"/>
    <x v="7"/>
    <s v="wickets"/>
    <n v="4"/>
    <s v="N"/>
    <s v="Normal Match"/>
    <s v="Nitin Menon"/>
    <s v="CK Nandan"/>
    <x v="9"/>
    <x v="1"/>
  </r>
  <r>
    <s v="1082598"/>
    <s v="Indore"/>
    <n v="2017"/>
    <d v="2017-04-10T00:00:00"/>
    <x v="158"/>
    <x v="23"/>
    <x v="1"/>
    <s v="Royal Challengers Bangalore"/>
    <x v="0"/>
    <x v="1"/>
    <x v="5"/>
    <s v="wickets"/>
    <n v="8"/>
    <s v="N"/>
    <s v="Normal Match"/>
    <s v="AK Chaudhary"/>
    <s v="C Shamshuddin"/>
    <x v="9"/>
    <x v="1"/>
  </r>
  <r>
    <s v="1082599"/>
    <s v="Pune"/>
    <n v="2017"/>
    <d v="2017-04-11T00:00:00"/>
    <x v="142"/>
    <x v="31"/>
    <x v="12"/>
    <s v="Delhi Capitals"/>
    <x v="12"/>
    <x v="0"/>
    <x v="2"/>
    <s v="runs"/>
    <n v="97"/>
    <s v="N"/>
    <s v="Normal Match"/>
    <s v="AY Dandekar"/>
    <s v="S Ravi"/>
    <x v="9"/>
    <x v="0"/>
  </r>
  <r>
    <s v="1082600"/>
    <s v="Mumbai"/>
    <n v="2017"/>
    <d v="2017-04-12T00:00:00"/>
    <x v="188"/>
    <x v="3"/>
    <x v="3"/>
    <s v="Sunrisers Hyderabad"/>
    <x v="3"/>
    <x v="0"/>
    <x v="7"/>
    <s v="wickets"/>
    <n v="4"/>
    <s v="N"/>
    <s v="Normal Match"/>
    <s v="Nitin Menon"/>
    <s v="CK Nandan"/>
    <x v="9"/>
    <x v="1"/>
  </r>
  <r>
    <s v="1082601"/>
    <s v="Kolkata"/>
    <n v="2017"/>
    <d v="2017-04-13T00:00:00"/>
    <x v="125"/>
    <x v="4"/>
    <x v="4"/>
    <s v="Punjab Kings"/>
    <x v="6"/>
    <x v="0"/>
    <x v="0"/>
    <s v="wickets"/>
    <n v="8"/>
    <s v="N"/>
    <s v="Normal Match"/>
    <s v="A Deshmukh"/>
    <s v="NJ Llong"/>
    <x v="9"/>
    <x v="1"/>
  </r>
  <r>
    <s v="1082602"/>
    <s v="Bangalore"/>
    <n v="2017"/>
    <d v="2017-04-14T00:00:00"/>
    <x v="89"/>
    <x v="0"/>
    <x v="0"/>
    <s v="Mumbai Indians"/>
    <x v="3"/>
    <x v="0"/>
    <x v="7"/>
    <s v="wickets"/>
    <n v="4"/>
    <s v="N"/>
    <s v="Normal Match"/>
    <s v="KN Ananthapadmanabhan"/>
    <s v="AK Chaudhary"/>
    <x v="9"/>
    <x v="1"/>
  </r>
  <r>
    <s v="1082603"/>
    <s v="Rajkot"/>
    <n v="2017"/>
    <d v="2017-04-14T00:00:00"/>
    <x v="189"/>
    <x v="32"/>
    <x v="11"/>
    <s v="Rising Pune Supergiant"/>
    <x v="11"/>
    <x v="0"/>
    <x v="12"/>
    <s v="wickets"/>
    <n v="7"/>
    <s v="N"/>
    <s v="Normal Match"/>
    <s v="A Nand Kishore"/>
    <s v="S Ravi"/>
    <x v="9"/>
    <x v="1"/>
  </r>
  <r>
    <s v="1082604"/>
    <s v="Kolkata"/>
    <n v="2017"/>
    <d v="2017-04-15T00:00:00"/>
    <x v="74"/>
    <x v="4"/>
    <x v="4"/>
    <s v="Sunrisers Hyderabad"/>
    <x v="10"/>
    <x v="0"/>
    <x v="0"/>
    <s v="runs"/>
    <n v="17"/>
    <s v="N"/>
    <s v="Normal Match"/>
    <s v="AY Dandekar"/>
    <s v="NJ Llong"/>
    <x v="9"/>
    <x v="0"/>
  </r>
  <r>
    <s v="1082605"/>
    <s v="Delhi"/>
    <n v="2017"/>
    <d v="2017-04-15T00:00:00"/>
    <x v="156"/>
    <x v="2"/>
    <x v="2"/>
    <s v="Punjab Kings"/>
    <x v="7"/>
    <x v="1"/>
    <x v="2"/>
    <s v="runs"/>
    <n v="51"/>
    <s v="N"/>
    <s v="Normal Match"/>
    <s v="YC Barde"/>
    <s v="Nitin Menon"/>
    <x v="9"/>
    <x v="0"/>
  </r>
  <r>
    <s v="1082606"/>
    <s v="Mumbai"/>
    <n v="2017"/>
    <d v="2017-04-16T00:00:00"/>
    <x v="187"/>
    <x v="3"/>
    <x v="3"/>
    <s v="Gujarat Lions"/>
    <x v="3"/>
    <x v="0"/>
    <x v="7"/>
    <s v="wickets"/>
    <n v="6"/>
    <s v="N"/>
    <s v="Normal Match"/>
    <s v="A Nand Kishore"/>
    <s v="S Ravi"/>
    <x v="9"/>
    <x v="1"/>
  </r>
  <r>
    <s v="1082607"/>
    <s v="Bangalore"/>
    <n v="2017"/>
    <d v="2017-04-16T00:00:00"/>
    <x v="190"/>
    <x v="0"/>
    <x v="0"/>
    <s v="Rising Pune Supergiant"/>
    <x v="0"/>
    <x v="0"/>
    <x v="11"/>
    <s v="runs"/>
    <n v="27"/>
    <s v="N"/>
    <s v="Normal Match"/>
    <s v="KN Ananthapadmanabhan"/>
    <s v="C Shamshuddin"/>
    <x v="9"/>
    <x v="0"/>
  </r>
  <r>
    <s v="1082608"/>
    <s v="Delhi"/>
    <n v="2017"/>
    <d v="2017-04-17T00:00:00"/>
    <x v="168"/>
    <x v="2"/>
    <x v="2"/>
    <s v="Kolkata Knight Riders"/>
    <x v="7"/>
    <x v="1"/>
    <x v="0"/>
    <s v="wickets"/>
    <n v="4"/>
    <s v="N"/>
    <s v="Normal Match"/>
    <s v="Nitin Menon"/>
    <s v="CK Nandan"/>
    <x v="9"/>
    <x v="1"/>
  </r>
  <r>
    <s v="1082609"/>
    <s v="Hyderabad"/>
    <n v="2017"/>
    <d v="2017-04-17T00:00:00"/>
    <x v="155"/>
    <x v="6"/>
    <x v="10"/>
    <s v="Punjab Kings"/>
    <x v="5"/>
    <x v="0"/>
    <x v="10"/>
    <s v="runs"/>
    <n v="5"/>
    <s v="N"/>
    <s v="Normal Match"/>
    <s v="AY Dandekar"/>
    <s v="A Deshmukh"/>
    <x v="9"/>
    <x v="0"/>
  </r>
  <r>
    <s v="1082610"/>
    <s v="Rajkot"/>
    <n v="2017"/>
    <d v="2017-04-18T00:00:00"/>
    <x v="45"/>
    <x v="32"/>
    <x v="11"/>
    <s v="Royal Challengers Bangalore"/>
    <x v="11"/>
    <x v="0"/>
    <x v="3"/>
    <s v="runs"/>
    <n v="21"/>
    <s v="N"/>
    <s v="Normal Match"/>
    <s v="S Ravi"/>
    <s v="VK Sharma"/>
    <x v="9"/>
    <x v="0"/>
  </r>
  <r>
    <s v="1082611"/>
    <s v="Hyderabad"/>
    <n v="2017"/>
    <d v="2017-04-19T00:00:00"/>
    <x v="191"/>
    <x v="6"/>
    <x v="10"/>
    <s v="Delhi Capitals"/>
    <x v="10"/>
    <x v="1"/>
    <x v="10"/>
    <s v="runs"/>
    <n v="15"/>
    <s v="N"/>
    <s v="Normal Match"/>
    <s v="CB Gaffaney"/>
    <s v="NJ Llong"/>
    <x v="9"/>
    <x v="0"/>
  </r>
  <r>
    <s v="1082612"/>
    <s v="Indore"/>
    <n v="2017"/>
    <d v="2017-04-20T00:00:00"/>
    <x v="192"/>
    <x v="23"/>
    <x v="1"/>
    <s v="Mumbai Indians"/>
    <x v="3"/>
    <x v="0"/>
    <x v="7"/>
    <s v="wickets"/>
    <n v="8"/>
    <s v="N"/>
    <s v="Normal Match"/>
    <s v="M Erasmus"/>
    <s v="C Shamshuddin"/>
    <x v="9"/>
    <x v="1"/>
  </r>
  <r>
    <s v="1082613"/>
    <s v="Kolkata"/>
    <n v="2017"/>
    <d v="2017-04-21T00:00:00"/>
    <x v="39"/>
    <x v="4"/>
    <x v="4"/>
    <s v="Gujarat Lions"/>
    <x v="11"/>
    <x v="0"/>
    <x v="12"/>
    <s v="wickets"/>
    <n v="4"/>
    <s v="N"/>
    <s v="Normal Match"/>
    <s v="CB Gaffaney"/>
    <s v="Nitin Menon"/>
    <x v="9"/>
    <x v="1"/>
  </r>
  <r>
    <s v="1082614"/>
    <s v="Mumbai"/>
    <n v="2017"/>
    <d v="2017-04-22T00:00:00"/>
    <x v="173"/>
    <x v="3"/>
    <x v="3"/>
    <s v="Delhi Capitals"/>
    <x v="7"/>
    <x v="0"/>
    <x v="7"/>
    <s v="runs"/>
    <n v="14"/>
    <s v="N"/>
    <s v="Normal Match"/>
    <s v="A Nand Kishore"/>
    <s v="S Ravi"/>
    <x v="9"/>
    <x v="0"/>
  </r>
  <r>
    <s v="1082615"/>
    <s v="Pune"/>
    <n v="2017"/>
    <d v="2017-04-22T00:00:00"/>
    <x v="13"/>
    <x v="31"/>
    <x v="12"/>
    <s v="Sunrisers Hyderabad"/>
    <x v="12"/>
    <x v="0"/>
    <x v="11"/>
    <s v="wickets"/>
    <n v="6"/>
    <s v="N"/>
    <s v="Normal Match"/>
    <s v="AY Dandekar"/>
    <s v="A Deshmukh"/>
    <x v="9"/>
    <x v="1"/>
  </r>
  <r>
    <s v="1082616"/>
    <s v="Rajkot"/>
    <n v="2017"/>
    <d v="2017-04-23T00:00:00"/>
    <x v="184"/>
    <x v="32"/>
    <x v="11"/>
    <s v="Punjab Kings"/>
    <x v="11"/>
    <x v="0"/>
    <x v="5"/>
    <s v="runs"/>
    <n v="26"/>
    <s v="N"/>
    <s v="Normal Match"/>
    <s v="AK Chaudhary"/>
    <s v="M Erasmus"/>
    <x v="9"/>
    <x v="0"/>
  </r>
  <r>
    <s v="1082617"/>
    <s v="Kolkata"/>
    <n v="2017"/>
    <d v="2017-04-23T00:00:00"/>
    <x v="168"/>
    <x v="4"/>
    <x v="4"/>
    <s v="Royal Challengers Bangalore"/>
    <x v="0"/>
    <x v="0"/>
    <x v="0"/>
    <s v="runs"/>
    <n v="82"/>
    <s v="N"/>
    <s v="Normal Match"/>
    <s v="CB Gaffaney"/>
    <s v="CK Nandan"/>
    <x v="9"/>
    <x v="0"/>
  </r>
  <r>
    <s v="1082618"/>
    <s v="Mumbai"/>
    <n v="2017"/>
    <d v="2017-04-24T00:00:00"/>
    <x v="190"/>
    <x v="3"/>
    <x v="3"/>
    <s v="Rising Pune Supergiant"/>
    <x v="3"/>
    <x v="0"/>
    <x v="11"/>
    <s v="runs"/>
    <n v="3"/>
    <s v="N"/>
    <s v="Normal Match"/>
    <s v="A Nand Kishore"/>
    <s v="S Ravi"/>
    <x v="9"/>
    <x v="0"/>
  </r>
  <r>
    <s v="1082620"/>
    <s v="Pune"/>
    <n v="2017"/>
    <d v="2017-04-26T00:00:00"/>
    <x v="74"/>
    <x v="31"/>
    <x v="12"/>
    <s v="Kolkata Knight Riders"/>
    <x v="6"/>
    <x v="0"/>
    <x v="0"/>
    <s v="wickets"/>
    <n v="7"/>
    <s v="N"/>
    <s v="Normal Match"/>
    <s v="AY Dandekar"/>
    <s v="NJ Llong"/>
    <x v="9"/>
    <x v="1"/>
  </r>
  <r>
    <s v="1082621"/>
    <s v="Bangalore"/>
    <n v="2017"/>
    <d v="2017-04-27T00:00:00"/>
    <x v="189"/>
    <x v="0"/>
    <x v="0"/>
    <s v="Gujarat Lions"/>
    <x v="11"/>
    <x v="0"/>
    <x v="12"/>
    <s v="wickets"/>
    <n v="7"/>
    <s v="N"/>
    <s v="Normal Match"/>
    <s v="AK Chaudhary"/>
    <s v="C Shamshuddin"/>
    <x v="9"/>
    <x v="1"/>
  </r>
  <r>
    <s v="1082622"/>
    <s v="Kolkata"/>
    <n v="2017"/>
    <d v="2017-04-28T00:00:00"/>
    <x v="56"/>
    <x v="4"/>
    <x v="4"/>
    <s v="Delhi Capitals"/>
    <x v="6"/>
    <x v="0"/>
    <x v="0"/>
    <s v="wickets"/>
    <n v="7"/>
    <s v="N"/>
    <s v="Normal Match"/>
    <s v="NJ Llong"/>
    <s v="S Ravi"/>
    <x v="9"/>
    <x v="1"/>
  </r>
  <r>
    <s v="1082623"/>
    <s v="Chandigarh"/>
    <n v="2017"/>
    <d v="2017-04-28T00:00:00"/>
    <x v="186"/>
    <x v="1"/>
    <x v="1"/>
    <s v="Sunrisers Hyderabad"/>
    <x v="5"/>
    <x v="0"/>
    <x v="10"/>
    <s v="runs"/>
    <n v="26"/>
    <s v="N"/>
    <s v="Normal Match"/>
    <s v="Nitin Menon"/>
    <s v="CK Nandan"/>
    <x v="9"/>
    <x v="0"/>
  </r>
  <r>
    <s v="1082624"/>
    <s v="Pune"/>
    <n v="2017"/>
    <d v="2017-04-29T00:00:00"/>
    <x v="193"/>
    <x v="31"/>
    <x v="12"/>
    <s v="Royal Challengers Bangalore"/>
    <x v="0"/>
    <x v="0"/>
    <x v="11"/>
    <s v="runs"/>
    <n v="61"/>
    <s v="N"/>
    <s v="Normal Match"/>
    <s v="KN Ananthapadmanabhan"/>
    <s v="M Erasmus"/>
    <x v="9"/>
    <x v="0"/>
  </r>
  <r>
    <s v="1082626"/>
    <s v="Chandigarh"/>
    <n v="2017"/>
    <d v="2017-04-30T00:00:00"/>
    <x v="154"/>
    <x v="1"/>
    <x v="1"/>
    <s v="Delhi Capitals"/>
    <x v="5"/>
    <x v="0"/>
    <x v="5"/>
    <s v="wickets"/>
    <n v="10"/>
    <s v="N"/>
    <s v="Normal Match"/>
    <s v="YC Barde"/>
    <s v="CK Nandan"/>
    <x v="9"/>
    <x v="1"/>
  </r>
  <r>
    <s v="1082627"/>
    <s v="Hyderabad"/>
    <n v="2017"/>
    <d v="2017-04-30T00:00:00"/>
    <x v="78"/>
    <x v="6"/>
    <x v="10"/>
    <s v="Kolkata Knight Riders"/>
    <x v="6"/>
    <x v="0"/>
    <x v="10"/>
    <s v="runs"/>
    <n v="48"/>
    <s v="N"/>
    <s v="Normal Match"/>
    <s v="AY Dandekar"/>
    <s v="S Ravi"/>
    <x v="9"/>
    <x v="0"/>
  </r>
  <r>
    <s v="1082628"/>
    <s v="Mumbai"/>
    <n v="2017"/>
    <d v="2017-05-01T00:00:00"/>
    <x v="57"/>
    <x v="3"/>
    <x v="3"/>
    <s v="Royal Challengers Bangalore"/>
    <x v="0"/>
    <x v="1"/>
    <x v="7"/>
    <s v="wickets"/>
    <n v="5"/>
    <s v="N"/>
    <s v="Normal Match"/>
    <s v="AK Chaudhary"/>
    <s v="CB Gaffaney"/>
    <x v="9"/>
    <x v="1"/>
  </r>
  <r>
    <s v="1082629"/>
    <s v="Pune"/>
    <n v="2017"/>
    <d v="2017-05-01T00:00:00"/>
    <x v="190"/>
    <x v="31"/>
    <x v="12"/>
    <s v="Gujarat Lions"/>
    <x v="12"/>
    <x v="0"/>
    <x v="11"/>
    <s v="wickets"/>
    <n v="5"/>
    <s v="N"/>
    <s v="Normal Match"/>
    <s v="M Erasmus"/>
    <s v="C Shamshuddin"/>
    <x v="9"/>
    <x v="1"/>
  </r>
  <r>
    <s v="1082630"/>
    <s v="Delhi"/>
    <n v="2017"/>
    <d v="2017-05-02T00:00:00"/>
    <x v="194"/>
    <x v="2"/>
    <x v="2"/>
    <s v="Sunrisers Hyderabad"/>
    <x v="7"/>
    <x v="0"/>
    <x v="2"/>
    <s v="wickets"/>
    <n v="6"/>
    <s v="N"/>
    <s v="Normal Match"/>
    <s v="YC Barde"/>
    <s v="Nitin Menon"/>
    <x v="9"/>
    <x v="1"/>
  </r>
  <r>
    <s v="1082631"/>
    <s v="Kolkata"/>
    <n v="2017"/>
    <d v="2017-05-03T00:00:00"/>
    <x v="195"/>
    <x v="4"/>
    <x v="4"/>
    <s v="Rising Pune Supergiant"/>
    <x v="12"/>
    <x v="0"/>
    <x v="11"/>
    <s v="wickets"/>
    <n v="4"/>
    <s v="N"/>
    <s v="Normal Match"/>
    <s v="KN Ananthapadmanabhan"/>
    <s v="A Nand Kishore"/>
    <x v="9"/>
    <x v="1"/>
  </r>
  <r>
    <s v="1082632"/>
    <s v="Delhi"/>
    <n v="2017"/>
    <d v="2017-05-04T00:00:00"/>
    <x v="180"/>
    <x v="2"/>
    <x v="2"/>
    <s v="Gujarat Lions"/>
    <x v="7"/>
    <x v="0"/>
    <x v="2"/>
    <s v="wickets"/>
    <n v="7"/>
    <s v="N"/>
    <s v="Normal Match"/>
    <s v="M Erasmus"/>
    <s v="Nitin Menon"/>
    <x v="9"/>
    <x v="1"/>
  </r>
  <r>
    <s v="1082633"/>
    <s v="Bangalore"/>
    <n v="2017"/>
    <d v="2017-05-05T00:00:00"/>
    <x v="154"/>
    <x v="0"/>
    <x v="0"/>
    <s v="Punjab Kings"/>
    <x v="0"/>
    <x v="0"/>
    <x v="5"/>
    <s v="runs"/>
    <n v="19"/>
    <s v="N"/>
    <s v="Normal Match"/>
    <s v="CB Gaffaney"/>
    <s v="C Shamshuddin"/>
    <x v="9"/>
    <x v="0"/>
  </r>
  <r>
    <s v="1082634"/>
    <s v="Hyderabad"/>
    <n v="2017"/>
    <d v="2017-05-06T00:00:00"/>
    <x v="92"/>
    <x v="6"/>
    <x v="10"/>
    <s v="Rising Pune Supergiant"/>
    <x v="10"/>
    <x v="0"/>
    <x v="11"/>
    <s v="runs"/>
    <n v="12"/>
    <s v="N"/>
    <s v="Normal Match"/>
    <s v="KN Ananthapadmanabhan"/>
    <s v="AK Chaudhary"/>
    <x v="9"/>
    <x v="0"/>
  </r>
  <r>
    <s v="1082635"/>
    <s v="Delhi"/>
    <n v="2017"/>
    <d v="2017-05-06T00:00:00"/>
    <x v="159"/>
    <x v="2"/>
    <x v="2"/>
    <s v="Mumbai Indians"/>
    <x v="7"/>
    <x v="0"/>
    <x v="7"/>
    <s v="runs"/>
    <n v="146"/>
    <s v="N"/>
    <s v="Normal Match"/>
    <s v="Nitin Menon"/>
    <s v="CK Nandan"/>
    <x v="9"/>
    <x v="0"/>
  </r>
  <r>
    <s v="1082636"/>
    <s v="Bangalore"/>
    <n v="2017"/>
    <d v="2017-05-07T00:00:00"/>
    <x v="125"/>
    <x v="0"/>
    <x v="0"/>
    <s v="Kolkata Knight Riders"/>
    <x v="6"/>
    <x v="0"/>
    <x v="0"/>
    <s v="wickets"/>
    <n v="6"/>
    <s v="N"/>
    <s v="Normal Match"/>
    <s v="AY Dandekar"/>
    <s v="C Shamshuddin"/>
    <x v="9"/>
    <x v="1"/>
  </r>
  <r>
    <s v="1082637"/>
    <s v="Chandigarh"/>
    <n v="2017"/>
    <d v="2017-05-07T00:00:00"/>
    <x v="60"/>
    <x v="1"/>
    <x v="1"/>
    <s v="Gujarat Lions"/>
    <x v="11"/>
    <x v="0"/>
    <x v="12"/>
    <s v="wickets"/>
    <n v="6"/>
    <s v="N"/>
    <s v="Normal Match"/>
    <s v="A Nand Kishore"/>
    <s v="VK Sharma"/>
    <x v="9"/>
    <x v="1"/>
  </r>
  <r>
    <s v="1082638"/>
    <s v="Hyderabad"/>
    <n v="2017"/>
    <d v="2017-05-08T00:00:00"/>
    <x v="113"/>
    <x v="6"/>
    <x v="10"/>
    <s v="Mumbai Indians"/>
    <x v="3"/>
    <x v="1"/>
    <x v="10"/>
    <s v="wickets"/>
    <n v="7"/>
    <s v="N"/>
    <s v="Normal Match"/>
    <s v="KN Ananthapadmanabhan"/>
    <s v="M Erasmus"/>
    <x v="9"/>
    <x v="1"/>
  </r>
  <r>
    <s v="1082639"/>
    <s v="Chandigarh"/>
    <n v="2017"/>
    <d v="2017-05-09T00:00:00"/>
    <x v="152"/>
    <x v="1"/>
    <x v="1"/>
    <s v="Kolkata Knight Riders"/>
    <x v="6"/>
    <x v="0"/>
    <x v="5"/>
    <s v="runs"/>
    <n v="14"/>
    <s v="N"/>
    <s v="Normal Match"/>
    <s v="A Nand Kishore"/>
    <s v="S Ravi"/>
    <x v="9"/>
    <x v="0"/>
  </r>
  <r>
    <s v="1082640"/>
    <s v="Kanpur"/>
    <n v="2017"/>
    <d v="2017-05-10T00:00:00"/>
    <x v="164"/>
    <x v="33"/>
    <x v="11"/>
    <s v="Delhi Capitals"/>
    <x v="7"/>
    <x v="0"/>
    <x v="2"/>
    <s v="wickets"/>
    <n v="2"/>
    <s v="N"/>
    <s v="Normal Match"/>
    <s v="YC Barde"/>
    <s v="AK Chaudhary"/>
    <x v="9"/>
    <x v="1"/>
  </r>
  <r>
    <s v="1082641"/>
    <s v="Mumbai"/>
    <n v="2017"/>
    <d v="2017-05-11T00:00:00"/>
    <x v="112"/>
    <x v="3"/>
    <x v="3"/>
    <s v="Punjab Kings"/>
    <x v="3"/>
    <x v="0"/>
    <x v="5"/>
    <s v="runs"/>
    <n v="7"/>
    <s v="N"/>
    <s v="Normal Match"/>
    <s v="A Deshmukh"/>
    <s v="A Nand Kishore"/>
    <x v="9"/>
    <x v="0"/>
  </r>
  <r>
    <s v="1082642"/>
    <s v="Delhi"/>
    <n v="2017"/>
    <d v="2017-05-12T00:00:00"/>
    <x v="157"/>
    <x v="2"/>
    <x v="2"/>
    <s v="Rising Pune Supergiant"/>
    <x v="7"/>
    <x v="1"/>
    <x v="2"/>
    <s v="runs"/>
    <n v="7"/>
    <s v="N"/>
    <s v="Normal Match"/>
    <s v="KN Ananthapadmanabhan"/>
    <s v="CK Nandan"/>
    <x v="9"/>
    <x v="0"/>
  </r>
  <r>
    <s v="1082643"/>
    <s v="Kanpur"/>
    <n v="2017"/>
    <d v="2017-05-13T00:00:00"/>
    <x v="196"/>
    <x v="33"/>
    <x v="11"/>
    <s v="Sunrisers Hyderabad"/>
    <x v="10"/>
    <x v="0"/>
    <x v="10"/>
    <s v="wickets"/>
    <n v="8"/>
    <s v="N"/>
    <s v="Normal Match"/>
    <s v="AK Chaudhary"/>
    <s v="Nitin Menon"/>
    <x v="9"/>
    <x v="1"/>
  </r>
  <r>
    <s v="1082644"/>
    <s v="Kolkata"/>
    <n v="2017"/>
    <d v="2017-05-13T00:00:00"/>
    <x v="82"/>
    <x v="4"/>
    <x v="4"/>
    <s v="Mumbai Indians"/>
    <x v="6"/>
    <x v="0"/>
    <x v="7"/>
    <s v="runs"/>
    <n v="9"/>
    <s v="N"/>
    <s v="Normal Match"/>
    <s v="A Nand Kishore"/>
    <s v="S Ravi"/>
    <x v="9"/>
    <x v="0"/>
  </r>
  <r>
    <s v="1082645"/>
    <s v="Pune"/>
    <n v="2017"/>
    <d v="2017-05-14T00:00:00"/>
    <x v="92"/>
    <x v="31"/>
    <x v="12"/>
    <s v="Punjab Kings"/>
    <x v="12"/>
    <x v="0"/>
    <x v="11"/>
    <s v="wickets"/>
    <n v="9"/>
    <s v="N"/>
    <s v="Normal Match"/>
    <s v="AY Dandekar"/>
    <s v="A Deshmukh"/>
    <x v="9"/>
    <x v="1"/>
  </r>
  <r>
    <s v="1082646"/>
    <s v="Delhi"/>
    <n v="2017"/>
    <d v="2017-05-14T00:00:00"/>
    <x v="197"/>
    <x v="2"/>
    <x v="2"/>
    <s v="Royal Challengers Bangalore"/>
    <x v="0"/>
    <x v="1"/>
    <x v="3"/>
    <s v="runs"/>
    <n v="10"/>
    <s v="N"/>
    <s v="Normal Match"/>
    <s v="CK Nandan"/>
    <s v="C Shamshuddin"/>
    <x v="9"/>
    <x v="0"/>
  </r>
  <r>
    <s v="1082647"/>
    <s v="Mumbai"/>
    <n v="2017"/>
    <d v="2017-05-16T00:00:00"/>
    <x v="198"/>
    <x v="3"/>
    <x v="3"/>
    <s v="Rising Pune Supergiant"/>
    <x v="3"/>
    <x v="0"/>
    <x v="11"/>
    <s v="runs"/>
    <n v="20"/>
    <s v="N"/>
    <s v="Normal Match"/>
    <s v="S Ravi"/>
    <s v="C Shamshuddin"/>
    <x v="9"/>
    <x v="0"/>
  </r>
  <r>
    <s v="1082648"/>
    <s v="Bangalore"/>
    <n v="2017"/>
    <d v="2017-05-17T00:00:00"/>
    <x v="168"/>
    <x v="0"/>
    <x v="10"/>
    <s v="Kolkata Knight Riders"/>
    <x v="6"/>
    <x v="0"/>
    <x v="0"/>
    <s v="wickets"/>
    <n v="7"/>
    <s v="N"/>
    <s v="D/L"/>
    <s v="AK Chaudhary"/>
    <s v="Nitin Menon"/>
    <x v="9"/>
    <x v="1"/>
  </r>
  <r>
    <s v="1082649"/>
    <s v="Bangalore"/>
    <n v="2017"/>
    <d v="2017-05-19T00:00:00"/>
    <x v="199"/>
    <x v="0"/>
    <x v="3"/>
    <s v="Kolkata Knight Riders"/>
    <x v="3"/>
    <x v="0"/>
    <x v="7"/>
    <s v="wickets"/>
    <n v="6"/>
    <s v="N"/>
    <s v="Normal Match"/>
    <s v="NJ Llong"/>
    <s v="Nitin Menon"/>
    <x v="9"/>
    <x v="1"/>
  </r>
  <r>
    <s v="1082650"/>
    <s v="Hyderabad"/>
    <n v="2017"/>
    <d v="2017-05-21T00:00:00"/>
    <x v="183"/>
    <x v="6"/>
    <x v="3"/>
    <s v="Rising Pune Supergiant"/>
    <x v="3"/>
    <x v="1"/>
    <x v="7"/>
    <s v="runs"/>
    <n v="1"/>
    <s v="N"/>
    <s v="Normal Match"/>
    <s v="NJ Llong"/>
    <s v="S Ravi"/>
    <x v="9"/>
    <x v="0"/>
  </r>
  <r>
    <s v="1136561"/>
    <s v="Mumbai"/>
    <n v="2018"/>
    <d v="2018-04-07T00:00:00"/>
    <x v="31"/>
    <x v="3"/>
    <x v="3"/>
    <s v="Chennai Super Kings"/>
    <x v="1"/>
    <x v="0"/>
    <x v="1"/>
    <s v="wickets"/>
    <n v="1"/>
    <s v="N"/>
    <s v="Normal Match"/>
    <s v="CB Gaffaney"/>
    <s v="A Nand Kishore"/>
    <x v="10"/>
    <x v="1"/>
  </r>
  <r>
    <s v="1136562"/>
    <s v="Chandigarh"/>
    <n v="2018"/>
    <d v="2018-04-08T00:00:00"/>
    <x v="200"/>
    <x v="1"/>
    <x v="1"/>
    <s v="Delhi Capitals"/>
    <x v="5"/>
    <x v="0"/>
    <x v="5"/>
    <s v="wickets"/>
    <n v="6"/>
    <s v="N"/>
    <s v="Normal Match"/>
    <s v="KN Ananthapadmanabhan"/>
    <s v="RJ Tucker"/>
    <x v="10"/>
    <x v="1"/>
  </r>
  <r>
    <s v="1136563"/>
    <s v="Kolkata"/>
    <n v="2018"/>
    <d v="2018-04-08T00:00:00"/>
    <x v="125"/>
    <x v="4"/>
    <x v="4"/>
    <s v="Royal Challengers Bangalore"/>
    <x v="6"/>
    <x v="0"/>
    <x v="0"/>
    <s v="wickets"/>
    <n v="4"/>
    <s v="N"/>
    <s v="Normal Match"/>
    <s v="C Shamshuddin"/>
    <s v="A Deshmukh"/>
    <x v="10"/>
    <x v="1"/>
  </r>
  <r>
    <s v="1136564"/>
    <s v="Hyderabad"/>
    <n v="2018"/>
    <d v="2018-04-09T00:00:00"/>
    <x v="113"/>
    <x v="6"/>
    <x v="10"/>
    <s v="Rajasthan Royals"/>
    <x v="10"/>
    <x v="0"/>
    <x v="10"/>
    <s v="wickets"/>
    <n v="9"/>
    <s v="N"/>
    <s v="Normal Match"/>
    <s v="VA Kulkarni"/>
    <s v="NJ Llong"/>
    <x v="10"/>
    <x v="1"/>
  </r>
  <r>
    <s v="1136565"/>
    <s v="Chennai"/>
    <n v="2018"/>
    <d v="2018-04-10T00:00:00"/>
    <x v="201"/>
    <x v="7"/>
    <x v="7"/>
    <s v="Kolkata Knight Riders"/>
    <x v="1"/>
    <x v="0"/>
    <x v="1"/>
    <s v="wickets"/>
    <n v="5"/>
    <s v="N"/>
    <s v="Normal Match"/>
    <s v="CB Gaffaney"/>
    <s v="AK Chaudhary"/>
    <x v="10"/>
    <x v="1"/>
  </r>
  <r>
    <s v="1136566"/>
    <s v="Jaipur"/>
    <n v="2018"/>
    <d v="2018-04-11T00:00:00"/>
    <x v="142"/>
    <x v="5"/>
    <x v="5"/>
    <s v="Delhi Capitals"/>
    <x v="7"/>
    <x v="0"/>
    <x v="4"/>
    <s v="runs"/>
    <n v="10"/>
    <s v="N"/>
    <s v="D/L"/>
    <s v="KN Ananthapadmanabhan"/>
    <s v="Nitin Menon"/>
    <x v="10"/>
    <x v="0"/>
  </r>
  <r>
    <s v="1136567"/>
    <s v="Hyderabad"/>
    <n v="2018"/>
    <d v="2018-04-12T00:00:00"/>
    <x v="186"/>
    <x v="6"/>
    <x v="10"/>
    <s v="Mumbai Indians"/>
    <x v="10"/>
    <x v="0"/>
    <x v="10"/>
    <s v="wickets"/>
    <n v="1"/>
    <s v="N"/>
    <s v="Normal Match"/>
    <s v="NJ Llong"/>
    <s v="CK Nandan"/>
    <x v="10"/>
    <x v="1"/>
  </r>
  <r>
    <s v="1136568"/>
    <s v="Bengaluru"/>
    <n v="2018"/>
    <d v="2018-04-13T00:00:00"/>
    <x v="134"/>
    <x v="0"/>
    <x v="0"/>
    <s v="Punjab Kings"/>
    <x v="0"/>
    <x v="0"/>
    <x v="3"/>
    <s v="wickets"/>
    <n v="4"/>
    <s v="N"/>
    <s v="Normal Match"/>
    <s v="A Deshmukh"/>
    <s v="S Ravi"/>
    <x v="10"/>
    <x v="1"/>
  </r>
  <r>
    <s v="1136569"/>
    <s v="Mumbai"/>
    <n v="2018"/>
    <d v="2018-04-14T00:00:00"/>
    <x v="202"/>
    <x v="3"/>
    <x v="3"/>
    <s v="Delhi Capitals"/>
    <x v="7"/>
    <x v="0"/>
    <x v="2"/>
    <s v="wickets"/>
    <n v="7"/>
    <s v="N"/>
    <s v="Normal Match"/>
    <s v="KN Ananthapadmanabhan"/>
    <s v="Nitin Menon"/>
    <x v="10"/>
    <x v="1"/>
  </r>
  <r>
    <s v="1136570"/>
    <s v="Kolkata"/>
    <n v="2018"/>
    <d v="2018-04-14T00:00:00"/>
    <x v="203"/>
    <x v="4"/>
    <x v="4"/>
    <s v="Sunrisers Hyderabad"/>
    <x v="10"/>
    <x v="0"/>
    <x v="10"/>
    <s v="wickets"/>
    <n v="5"/>
    <s v="N"/>
    <s v="Normal Match"/>
    <s v="AK Chaudhary"/>
    <s v="A Nand Kishore"/>
    <x v="10"/>
    <x v="1"/>
  </r>
  <r>
    <s v="1136571"/>
    <s v="Bengaluru"/>
    <n v="2018"/>
    <d v="2018-04-15T00:00:00"/>
    <x v="142"/>
    <x v="0"/>
    <x v="0"/>
    <s v="Rajasthan Royals"/>
    <x v="0"/>
    <x v="0"/>
    <x v="4"/>
    <s v="runs"/>
    <n v="19"/>
    <s v="N"/>
    <s v="Normal Match"/>
    <s v="C Shamshuddin"/>
    <s v="S Ravi"/>
    <x v="10"/>
    <x v="0"/>
  </r>
  <r>
    <s v="1136572"/>
    <s v="Chandigarh"/>
    <n v="2018"/>
    <d v="2018-04-15T00:00:00"/>
    <x v="45"/>
    <x v="1"/>
    <x v="1"/>
    <s v="Chennai Super Kings"/>
    <x v="1"/>
    <x v="0"/>
    <x v="5"/>
    <s v="runs"/>
    <n v="4"/>
    <s v="N"/>
    <s v="Normal Match"/>
    <s v="VA Kulkarni"/>
    <s v="CK Nandan"/>
    <x v="10"/>
    <x v="0"/>
  </r>
  <r>
    <s v="1136573"/>
    <s v="Kolkata"/>
    <n v="2018"/>
    <d v="2018-04-16T00:00:00"/>
    <x v="187"/>
    <x v="4"/>
    <x v="4"/>
    <s v="Delhi Capitals"/>
    <x v="7"/>
    <x v="0"/>
    <x v="0"/>
    <s v="runs"/>
    <n v="71"/>
    <s v="N"/>
    <s v="Normal Match"/>
    <s v="AK Chaudhary"/>
    <s v="A Nand Kishore"/>
    <x v="10"/>
    <x v="0"/>
  </r>
  <r>
    <s v="1136574"/>
    <s v="Mumbai"/>
    <n v="2018"/>
    <d v="2018-04-17T00:00:00"/>
    <x v="57"/>
    <x v="3"/>
    <x v="3"/>
    <s v="Royal Challengers Bangalore"/>
    <x v="0"/>
    <x v="0"/>
    <x v="7"/>
    <s v="runs"/>
    <n v="46"/>
    <s v="N"/>
    <s v="Normal Match"/>
    <s v="RJ Tucker"/>
    <s v="Nitin Menon"/>
    <x v="10"/>
    <x v="0"/>
  </r>
  <r>
    <s v="1136575"/>
    <s v="Jaipur"/>
    <n v="2018"/>
    <d v="2018-04-18T00:00:00"/>
    <x v="187"/>
    <x v="5"/>
    <x v="5"/>
    <s v="Kolkata Knight Riders"/>
    <x v="6"/>
    <x v="0"/>
    <x v="0"/>
    <s v="wickets"/>
    <n v="7"/>
    <s v="N"/>
    <s v="Normal Match"/>
    <s v="A Deshmukh"/>
    <s v="S Ravi"/>
    <x v="10"/>
    <x v="1"/>
  </r>
  <r>
    <s v="1136576"/>
    <s v="Chandigarh"/>
    <n v="2018"/>
    <d v="2018-04-19T00:00:00"/>
    <x v="45"/>
    <x v="1"/>
    <x v="1"/>
    <s v="Sunrisers Hyderabad"/>
    <x v="5"/>
    <x v="1"/>
    <x v="5"/>
    <s v="runs"/>
    <n v="15"/>
    <s v="N"/>
    <s v="Normal Match"/>
    <s v="NJ Llong"/>
    <s v="AK Chaudhary"/>
    <x v="10"/>
    <x v="0"/>
  </r>
  <r>
    <s v="1136577"/>
    <s v="Pune"/>
    <n v="2018"/>
    <d v="2018-04-20T00:00:00"/>
    <x v="5"/>
    <x v="31"/>
    <x v="7"/>
    <s v="Rajasthan Royals"/>
    <x v="2"/>
    <x v="0"/>
    <x v="1"/>
    <s v="runs"/>
    <n v="64"/>
    <s v="N"/>
    <s v="Normal Match"/>
    <s v="KN Ananthapadmanabhan"/>
    <s v="Nitin Menon"/>
    <x v="10"/>
    <x v="0"/>
  </r>
  <r>
    <s v="1136578"/>
    <s v="Kolkata"/>
    <n v="2018"/>
    <d v="2018-04-21T00:00:00"/>
    <x v="200"/>
    <x v="4"/>
    <x v="4"/>
    <s v="Punjab Kings"/>
    <x v="5"/>
    <x v="0"/>
    <x v="5"/>
    <s v="wickets"/>
    <n v="9"/>
    <s v="N"/>
    <s v="D/L"/>
    <s v="C Shamshuddin"/>
    <s v="A Deshmukh"/>
    <x v="10"/>
    <x v="1"/>
  </r>
  <r>
    <s v="1136579"/>
    <s v="Bengaluru"/>
    <n v="2018"/>
    <d v="2018-04-21T00:00:00"/>
    <x v="46"/>
    <x v="0"/>
    <x v="0"/>
    <s v="Delhi Capitals"/>
    <x v="0"/>
    <x v="0"/>
    <x v="3"/>
    <s v="wickets"/>
    <n v="6"/>
    <s v="N"/>
    <s v="Normal Match"/>
    <s v="CB Gaffaney"/>
    <s v="CK Nandan"/>
    <x v="10"/>
    <x v="1"/>
  </r>
  <r>
    <s v="1136580"/>
    <s v="Hyderabad"/>
    <n v="2018"/>
    <d v="2018-04-22T00:00:00"/>
    <x v="82"/>
    <x v="6"/>
    <x v="10"/>
    <s v="Chennai Super Kings"/>
    <x v="10"/>
    <x v="0"/>
    <x v="1"/>
    <s v="runs"/>
    <n v="4"/>
    <s v="N"/>
    <s v="Normal Match"/>
    <s v="VA Kulkarni"/>
    <s v="AK Chaudhary"/>
    <x v="10"/>
    <x v="0"/>
  </r>
  <r>
    <s v="1136581"/>
    <s v="Jaipur"/>
    <n v="2018"/>
    <d v="2018-04-22T00:00:00"/>
    <x v="204"/>
    <x v="5"/>
    <x v="5"/>
    <s v="Mumbai Indians"/>
    <x v="3"/>
    <x v="1"/>
    <x v="4"/>
    <s v="wickets"/>
    <n v="3"/>
    <s v="N"/>
    <s v="Normal Match"/>
    <s v="KN Ananthapadmanabhan"/>
    <s v="RJ Tucker"/>
    <x v="10"/>
    <x v="1"/>
  </r>
  <r>
    <s v="1136582"/>
    <s v="Delhi"/>
    <n v="2018"/>
    <d v="2018-04-23T00:00:00"/>
    <x v="205"/>
    <x v="2"/>
    <x v="2"/>
    <s v="Punjab Kings"/>
    <x v="7"/>
    <x v="0"/>
    <x v="5"/>
    <s v="runs"/>
    <n v="4"/>
    <s v="N"/>
    <s v="Normal Match"/>
    <s v="A Nand Kishore"/>
    <s v="CK Nandan"/>
    <x v="10"/>
    <x v="0"/>
  </r>
  <r>
    <s v="1136583"/>
    <s v="Mumbai"/>
    <n v="2018"/>
    <d v="2018-04-24T00:00:00"/>
    <x v="186"/>
    <x v="3"/>
    <x v="3"/>
    <s v="Sunrisers Hyderabad"/>
    <x v="3"/>
    <x v="0"/>
    <x v="10"/>
    <s v="runs"/>
    <n v="31"/>
    <s v="N"/>
    <s v="Normal Match"/>
    <s v="C Shamshuddin"/>
    <s v="S Ravi"/>
    <x v="10"/>
    <x v="0"/>
  </r>
  <r>
    <s v="1136584"/>
    <s v="Bengaluru"/>
    <n v="2018"/>
    <d v="2018-04-25T00:00:00"/>
    <x v="13"/>
    <x v="0"/>
    <x v="0"/>
    <s v="Chennai Super Kings"/>
    <x v="1"/>
    <x v="0"/>
    <x v="1"/>
    <s v="wickets"/>
    <n v="5"/>
    <s v="N"/>
    <s v="Normal Match"/>
    <s v="NJ Llong"/>
    <s v="VK Sharma"/>
    <x v="10"/>
    <x v="1"/>
  </r>
  <r>
    <s v="1136585"/>
    <s v="Hyderabad"/>
    <n v="2018"/>
    <d v="2018-04-26T00:00:00"/>
    <x v="205"/>
    <x v="6"/>
    <x v="10"/>
    <s v="Punjab Kings"/>
    <x v="5"/>
    <x v="0"/>
    <x v="10"/>
    <s v="runs"/>
    <n v="13"/>
    <s v="N"/>
    <s v="Normal Match"/>
    <s v="YC Barde"/>
    <s v="CK Nandan"/>
    <x v="10"/>
    <x v="0"/>
  </r>
  <r>
    <s v="1136586"/>
    <s v="Delhi"/>
    <n v="2018"/>
    <d v="2018-04-27T00:00:00"/>
    <x v="164"/>
    <x v="2"/>
    <x v="2"/>
    <s v="Kolkata Knight Riders"/>
    <x v="6"/>
    <x v="0"/>
    <x v="2"/>
    <s v="runs"/>
    <n v="55"/>
    <s v="N"/>
    <s v="Normal Match"/>
    <s v="C Shamshuddin"/>
    <s v="S Ravi"/>
    <x v="10"/>
    <x v="0"/>
  </r>
  <r>
    <s v="1136587"/>
    <s v="Pune"/>
    <n v="2018"/>
    <d v="2018-04-28T00:00:00"/>
    <x v="57"/>
    <x v="31"/>
    <x v="7"/>
    <s v="Mumbai Indians"/>
    <x v="3"/>
    <x v="0"/>
    <x v="7"/>
    <s v="wickets"/>
    <n v="8"/>
    <s v="N"/>
    <s v="Normal Match"/>
    <s v="CB Gaffaney"/>
    <s v="Nitin Menon"/>
    <x v="10"/>
    <x v="1"/>
  </r>
  <r>
    <s v="1136588"/>
    <s v="Jaipur"/>
    <n v="2018"/>
    <d v="2018-04-29T00:00:00"/>
    <x v="191"/>
    <x v="5"/>
    <x v="5"/>
    <s v="Sunrisers Hyderabad"/>
    <x v="10"/>
    <x v="1"/>
    <x v="10"/>
    <s v="runs"/>
    <n v="11"/>
    <s v="N"/>
    <s v="Normal Match"/>
    <s v="BNJ Oxenford"/>
    <s v="A Nand Kishore"/>
    <x v="10"/>
    <x v="0"/>
  </r>
  <r>
    <s v="1136589"/>
    <s v="Bengaluru"/>
    <n v="2018"/>
    <d v="2018-04-29T00:00:00"/>
    <x v="151"/>
    <x v="0"/>
    <x v="0"/>
    <s v="Kolkata Knight Riders"/>
    <x v="6"/>
    <x v="0"/>
    <x v="0"/>
    <s v="wickets"/>
    <n v="6"/>
    <s v="N"/>
    <s v="Normal Match"/>
    <s v="NJ Llong"/>
    <s v="AK Chaudhary"/>
    <x v="10"/>
    <x v="1"/>
  </r>
  <r>
    <s v="1136590"/>
    <s v="Pune"/>
    <n v="2018"/>
    <d v="2018-04-30T00:00:00"/>
    <x v="5"/>
    <x v="31"/>
    <x v="7"/>
    <s v="Delhi Capitals"/>
    <x v="7"/>
    <x v="0"/>
    <x v="1"/>
    <s v="runs"/>
    <n v="13"/>
    <s v="N"/>
    <s v="Normal Match"/>
    <s v="AY Dandekar"/>
    <s v="C Shamshuddin"/>
    <x v="10"/>
    <x v="0"/>
  </r>
  <r>
    <s v="1136591"/>
    <s v="Bengaluru"/>
    <n v="2018"/>
    <d v="2018-05-01T00:00:00"/>
    <x v="206"/>
    <x v="0"/>
    <x v="0"/>
    <s v="Mumbai Indians"/>
    <x v="3"/>
    <x v="0"/>
    <x v="3"/>
    <s v="runs"/>
    <n v="14"/>
    <s v="N"/>
    <s v="Normal Match"/>
    <s v="M Erasmus"/>
    <s v="Nitin Menon"/>
    <x v="10"/>
    <x v="0"/>
  </r>
  <r>
    <s v="1136592"/>
    <s v="Delhi"/>
    <n v="2018"/>
    <d v="2018-05-02T00:00:00"/>
    <x v="180"/>
    <x v="2"/>
    <x v="2"/>
    <s v="Rajasthan Royals"/>
    <x v="2"/>
    <x v="0"/>
    <x v="2"/>
    <s v="runs"/>
    <n v="4"/>
    <s v="N"/>
    <s v="D/L"/>
    <s v="VK Sharma"/>
    <s v="CK Nandan"/>
    <x v="10"/>
    <x v="0"/>
  </r>
  <r>
    <s v="1136593"/>
    <s v="Kolkata"/>
    <n v="2018"/>
    <d v="2018-05-03T00:00:00"/>
    <x v="125"/>
    <x v="4"/>
    <x v="4"/>
    <s v="Chennai Super Kings"/>
    <x v="6"/>
    <x v="0"/>
    <x v="0"/>
    <s v="wickets"/>
    <n v="6"/>
    <s v="N"/>
    <s v="Normal Match"/>
    <s v="HDPK Dharmasena"/>
    <s v="A Deshmukh"/>
    <x v="10"/>
    <x v="1"/>
  </r>
  <r>
    <s v="1136594"/>
    <s v="Indore"/>
    <n v="2018"/>
    <d v="2018-05-04T00:00:00"/>
    <x v="176"/>
    <x v="23"/>
    <x v="1"/>
    <s v="Mumbai Indians"/>
    <x v="3"/>
    <x v="0"/>
    <x v="7"/>
    <s v="wickets"/>
    <n v="6"/>
    <s v="N"/>
    <s v="Normal Match"/>
    <s v="AY Dandekar"/>
    <s v="S Ravi"/>
    <x v="10"/>
    <x v="1"/>
  </r>
  <r>
    <s v="1136595"/>
    <s v="Pune"/>
    <n v="2018"/>
    <d v="2018-05-05T00:00:00"/>
    <x v="118"/>
    <x v="31"/>
    <x v="7"/>
    <s v="Royal Challengers Bangalore"/>
    <x v="1"/>
    <x v="0"/>
    <x v="1"/>
    <s v="wickets"/>
    <n v="6"/>
    <s v="N"/>
    <s v="Normal Match"/>
    <s v="Nitin Menon"/>
    <s v="YC Barde"/>
    <x v="10"/>
    <x v="1"/>
  </r>
  <r>
    <s v="1136596"/>
    <s v="Hyderabad"/>
    <n v="2018"/>
    <d v="2018-05-05T00:00:00"/>
    <x v="186"/>
    <x v="6"/>
    <x v="10"/>
    <s v="Delhi Capitals"/>
    <x v="7"/>
    <x v="1"/>
    <x v="10"/>
    <s v="wickets"/>
    <n v="7"/>
    <s v="N"/>
    <s v="Normal Match"/>
    <s v="BNJ Oxenford"/>
    <s v="CK Nandan"/>
    <x v="10"/>
    <x v="1"/>
  </r>
  <r>
    <s v="1136597"/>
    <s v="Mumbai"/>
    <n v="2018"/>
    <d v="2018-05-06T00:00:00"/>
    <x v="170"/>
    <x v="3"/>
    <x v="3"/>
    <s v="Kolkata Knight Riders"/>
    <x v="6"/>
    <x v="0"/>
    <x v="7"/>
    <s v="runs"/>
    <n v="13"/>
    <s v="N"/>
    <s v="Normal Match"/>
    <s v="HDPK Dharmasena"/>
    <s v="A Deshmukh"/>
    <x v="10"/>
    <x v="0"/>
  </r>
  <r>
    <s v="1136598"/>
    <s v="Indore"/>
    <n v="2018"/>
    <d v="2018-05-06T00:00:00"/>
    <x v="207"/>
    <x v="23"/>
    <x v="1"/>
    <s v="Rajasthan Royals"/>
    <x v="5"/>
    <x v="0"/>
    <x v="5"/>
    <s v="wickets"/>
    <n v="6"/>
    <s v="N"/>
    <s v="Normal Match"/>
    <s v="C Shamshuddin"/>
    <s v="S Ravi"/>
    <x v="10"/>
    <x v="1"/>
  </r>
  <r>
    <s v="1136599"/>
    <s v="Hyderabad"/>
    <n v="2018"/>
    <d v="2018-05-07T00:00:00"/>
    <x v="191"/>
    <x v="6"/>
    <x v="10"/>
    <s v="Royal Challengers Bangalore"/>
    <x v="0"/>
    <x v="0"/>
    <x v="10"/>
    <s v="runs"/>
    <n v="5"/>
    <s v="N"/>
    <s v="Normal Match"/>
    <s v="BNJ Oxenford"/>
    <s v="VK Sharma"/>
    <x v="10"/>
    <x v="0"/>
  </r>
  <r>
    <s v="1136600"/>
    <s v="Jaipur"/>
    <n v="2018"/>
    <d v="2018-05-08T00:00:00"/>
    <x v="192"/>
    <x v="5"/>
    <x v="5"/>
    <s v="Punjab Kings"/>
    <x v="2"/>
    <x v="1"/>
    <x v="4"/>
    <s v="runs"/>
    <n v="15"/>
    <s v="N"/>
    <s v="Normal Match"/>
    <s v="M Erasmus"/>
    <s v="Nitin Menon"/>
    <x v="10"/>
    <x v="0"/>
  </r>
  <r>
    <s v="1136601"/>
    <s v="Kolkata"/>
    <n v="2018"/>
    <d v="2018-05-09T00:00:00"/>
    <x v="208"/>
    <x v="4"/>
    <x v="4"/>
    <s v="Mumbai Indians"/>
    <x v="6"/>
    <x v="0"/>
    <x v="7"/>
    <s v="runs"/>
    <n v="102"/>
    <s v="N"/>
    <s v="Normal Match"/>
    <s v="KN Ananthapadmanabhan"/>
    <s v="AK Chaudhary"/>
    <x v="10"/>
    <x v="0"/>
  </r>
  <r>
    <s v="1136602"/>
    <s v="Delhi"/>
    <n v="2018"/>
    <d v="2018-05-10T00:00:00"/>
    <x v="113"/>
    <x v="2"/>
    <x v="2"/>
    <s v="Sunrisers Hyderabad"/>
    <x v="7"/>
    <x v="1"/>
    <x v="10"/>
    <s v="wickets"/>
    <n v="9"/>
    <s v="N"/>
    <s v="Normal Match"/>
    <s v="AY Dandekar"/>
    <s v="C Shamshuddin"/>
    <x v="10"/>
    <x v="1"/>
  </r>
  <r>
    <s v="1136603"/>
    <s v="Jaipur"/>
    <n v="2018"/>
    <d v="2018-05-11T00:00:00"/>
    <x v="192"/>
    <x v="5"/>
    <x v="5"/>
    <s v="Chennai Super Kings"/>
    <x v="1"/>
    <x v="1"/>
    <x v="4"/>
    <s v="wickets"/>
    <n v="4"/>
    <s v="N"/>
    <s v="Normal Match"/>
    <s v="M Erasmus"/>
    <s v="YC Barde"/>
    <x v="10"/>
    <x v="1"/>
  </r>
  <r>
    <s v="1136604"/>
    <s v="Indore"/>
    <n v="2018"/>
    <d v="2018-05-12T00:00:00"/>
    <x v="125"/>
    <x v="23"/>
    <x v="1"/>
    <s v="Kolkata Knight Riders"/>
    <x v="5"/>
    <x v="0"/>
    <x v="0"/>
    <s v="runs"/>
    <n v="31"/>
    <s v="N"/>
    <s v="Normal Match"/>
    <s v="VK Sharma"/>
    <s v="CK Nandan"/>
    <x v="10"/>
    <x v="0"/>
  </r>
  <r>
    <s v="1136605"/>
    <s v="Delhi"/>
    <n v="2018"/>
    <d v="2018-05-12T00:00:00"/>
    <x v="46"/>
    <x v="2"/>
    <x v="2"/>
    <s v="Royal Challengers Bangalore"/>
    <x v="0"/>
    <x v="0"/>
    <x v="3"/>
    <s v="wickets"/>
    <n v="5"/>
    <s v="N"/>
    <s v="Normal Match"/>
    <s v="KN Ananthapadmanabhan"/>
    <s v="HDPK Dharmasena"/>
    <x v="10"/>
    <x v="1"/>
  </r>
  <r>
    <s v="1136606"/>
    <s v="Pune"/>
    <n v="2018"/>
    <d v="2018-05-13T00:00:00"/>
    <x v="82"/>
    <x v="31"/>
    <x v="7"/>
    <s v="Sunrisers Hyderabad"/>
    <x v="1"/>
    <x v="0"/>
    <x v="1"/>
    <s v="wickets"/>
    <n v="8"/>
    <s v="N"/>
    <s v="Normal Match"/>
    <s v="M Erasmus"/>
    <s v="YC Barde"/>
    <x v="10"/>
    <x v="1"/>
  </r>
  <r>
    <s v="1136607"/>
    <s v="Mumbai"/>
    <n v="2018"/>
    <d v="2018-05-13T00:00:00"/>
    <x v="192"/>
    <x v="3"/>
    <x v="3"/>
    <s v="Rajasthan Royals"/>
    <x v="2"/>
    <x v="0"/>
    <x v="4"/>
    <s v="wickets"/>
    <n v="7"/>
    <s v="N"/>
    <s v="Normal Match"/>
    <s v="Nitin Menon"/>
    <s v="S Ravi"/>
    <x v="10"/>
    <x v="1"/>
  </r>
  <r>
    <s v="1136608"/>
    <s v="Indore"/>
    <n v="2018"/>
    <d v="2018-05-14T00:00:00"/>
    <x v="134"/>
    <x v="23"/>
    <x v="1"/>
    <s v="Royal Challengers Bangalore"/>
    <x v="0"/>
    <x v="0"/>
    <x v="3"/>
    <s v="wickets"/>
    <n v="10"/>
    <s v="N"/>
    <s v="Normal Match"/>
    <s v="BNJ Oxenford"/>
    <s v="VK Sharma"/>
    <x v="10"/>
    <x v="1"/>
  </r>
  <r>
    <s v="1136609"/>
    <s v="Kolkata"/>
    <n v="2018"/>
    <d v="2018-05-15T00:00:00"/>
    <x v="209"/>
    <x v="4"/>
    <x v="4"/>
    <s v="Rajasthan Royals"/>
    <x v="6"/>
    <x v="0"/>
    <x v="0"/>
    <s v="wickets"/>
    <n v="6"/>
    <s v="N"/>
    <s v="Normal Match"/>
    <s v="HDPK Dharmasena"/>
    <s v="AK Chaudhary"/>
    <x v="10"/>
    <x v="1"/>
  </r>
  <r>
    <s v="1136610"/>
    <s v="Mumbai"/>
    <n v="2018"/>
    <d v="2018-05-16T00:00:00"/>
    <x v="188"/>
    <x v="3"/>
    <x v="3"/>
    <s v="Punjab Kings"/>
    <x v="5"/>
    <x v="0"/>
    <x v="7"/>
    <s v="runs"/>
    <n v="3"/>
    <s v="N"/>
    <s v="Normal Match"/>
    <s v="M Erasmus"/>
    <s v="Nitin Menon"/>
    <x v="10"/>
    <x v="0"/>
  </r>
  <r>
    <s v="1136611"/>
    <s v="Bengaluru"/>
    <n v="2018"/>
    <d v="2018-05-17T00:00:00"/>
    <x v="46"/>
    <x v="0"/>
    <x v="0"/>
    <s v="Sunrisers Hyderabad"/>
    <x v="10"/>
    <x v="0"/>
    <x v="3"/>
    <s v="runs"/>
    <n v="14"/>
    <s v="N"/>
    <s v="Normal Match"/>
    <s v="AY Dandekar"/>
    <s v="S Ravi"/>
    <x v="10"/>
    <x v="0"/>
  </r>
  <r>
    <s v="1136612"/>
    <s v="Delhi"/>
    <n v="2018"/>
    <d v="2018-05-18T00:00:00"/>
    <x v="197"/>
    <x v="2"/>
    <x v="2"/>
    <s v="Chennai Super Kings"/>
    <x v="1"/>
    <x v="0"/>
    <x v="2"/>
    <s v="runs"/>
    <n v="34"/>
    <s v="N"/>
    <s v="Normal Match"/>
    <s v="VA Kulkarni"/>
    <s v="HDPK Dharmasena"/>
    <x v="10"/>
    <x v="0"/>
  </r>
  <r>
    <s v="1136613"/>
    <s v="Jaipur"/>
    <n v="2018"/>
    <d v="2018-05-19T00:00:00"/>
    <x v="210"/>
    <x v="5"/>
    <x v="5"/>
    <s v="Royal Challengers Bangalore"/>
    <x v="2"/>
    <x v="1"/>
    <x v="4"/>
    <s v="runs"/>
    <n v="30"/>
    <s v="N"/>
    <s v="Normal Match"/>
    <s v="BNJ Oxenford"/>
    <s v="VK Sharma"/>
    <x v="10"/>
    <x v="0"/>
  </r>
  <r>
    <s v="1136614"/>
    <s v="Hyderabad"/>
    <n v="2018"/>
    <d v="2018-05-19T00:00:00"/>
    <x v="151"/>
    <x v="6"/>
    <x v="10"/>
    <s v="Kolkata Knight Riders"/>
    <x v="10"/>
    <x v="1"/>
    <x v="0"/>
    <s v="wickets"/>
    <n v="5"/>
    <s v="N"/>
    <s v="Normal Match"/>
    <s v="AK Chaudhary"/>
    <s v="S Ravi"/>
    <x v="10"/>
    <x v="1"/>
  </r>
  <r>
    <s v="1136615"/>
    <s v="Delhi"/>
    <n v="2018"/>
    <d v="2018-05-20T00:00:00"/>
    <x v="28"/>
    <x v="2"/>
    <x v="2"/>
    <s v="Mumbai Indians"/>
    <x v="7"/>
    <x v="1"/>
    <x v="2"/>
    <s v="runs"/>
    <n v="11"/>
    <s v="N"/>
    <s v="Normal Match"/>
    <s v="HDPK Dharmasena"/>
    <s v="CK Nandan"/>
    <x v="10"/>
    <x v="0"/>
  </r>
  <r>
    <s v="1136616"/>
    <s v="Pune"/>
    <n v="2018"/>
    <d v="2018-05-20T00:00:00"/>
    <x v="211"/>
    <x v="31"/>
    <x v="7"/>
    <s v="Punjab Kings"/>
    <x v="1"/>
    <x v="0"/>
    <x v="1"/>
    <s v="wickets"/>
    <n v="5"/>
    <s v="N"/>
    <s v="Normal Match"/>
    <s v="Nitin Menon"/>
    <s v="YC Barde"/>
    <x v="10"/>
    <x v="1"/>
  </r>
  <r>
    <s v="1136617"/>
    <s v="Mumbai"/>
    <n v="2018"/>
    <d v="2018-05-22T00:00:00"/>
    <x v="121"/>
    <x v="3"/>
    <x v="10"/>
    <s v="Chennai Super Kings"/>
    <x v="1"/>
    <x v="0"/>
    <x v="1"/>
    <s v="wickets"/>
    <n v="2"/>
    <s v="N"/>
    <s v="Normal Match"/>
    <s v="C Shamshuddin"/>
    <s v="M Erasmus"/>
    <x v="10"/>
    <x v="1"/>
  </r>
  <r>
    <s v="1136618"/>
    <s v="Kolkata"/>
    <n v="2018"/>
    <d v="2018-05-23T00:00:00"/>
    <x v="162"/>
    <x v="4"/>
    <x v="4"/>
    <s v="Rajasthan Royals"/>
    <x v="2"/>
    <x v="0"/>
    <x v="0"/>
    <s v="runs"/>
    <n v="25"/>
    <s v="N"/>
    <s v="Normal Match"/>
    <s v="AK Chaudhary"/>
    <s v="Nitin Menon"/>
    <x v="10"/>
    <x v="0"/>
  </r>
  <r>
    <s v="1136619"/>
    <s v="Kolkata"/>
    <n v="2018"/>
    <d v="2018-05-25T00:00:00"/>
    <x v="186"/>
    <x v="4"/>
    <x v="4"/>
    <s v="Sunrisers Hyderabad"/>
    <x v="6"/>
    <x v="0"/>
    <x v="10"/>
    <s v="runs"/>
    <n v="14"/>
    <s v="N"/>
    <s v="Normal Match"/>
    <s v="HDPK Dharmasena"/>
    <s v="Nitin Menon"/>
    <x v="10"/>
    <x v="0"/>
  </r>
  <r>
    <s v="1136620"/>
    <s v="Mumbai"/>
    <n v="2018"/>
    <d v="2018-05-27T00:00:00"/>
    <x v="5"/>
    <x v="3"/>
    <x v="7"/>
    <s v="Sunrisers Hyderabad"/>
    <x v="1"/>
    <x v="0"/>
    <x v="1"/>
    <s v="wickets"/>
    <n v="8"/>
    <s v="N"/>
    <s v="Normal Match"/>
    <s v="M Erasmus"/>
    <s v="S Ravi"/>
    <x v="10"/>
    <x v="1"/>
  </r>
  <r>
    <s v="1175356"/>
    <s v="Chennai"/>
    <n v="2019"/>
    <d v="2019-03-23T00:00:00"/>
    <x v="62"/>
    <x v="7"/>
    <x v="7"/>
    <s v="Royal Challengers Bangalore"/>
    <x v="1"/>
    <x v="0"/>
    <x v="1"/>
    <s v="wickets"/>
    <n v="7"/>
    <s v="N"/>
    <s v="Normal Match"/>
    <s v="AY Dandekar"/>
    <s v="BNJ Oxenford"/>
    <x v="11"/>
    <x v="1"/>
  </r>
  <r>
    <s v="1175357"/>
    <s v="Kolkata"/>
    <n v="2019"/>
    <d v="2019-03-24T00:00:00"/>
    <x v="162"/>
    <x v="4"/>
    <x v="4"/>
    <s v="Sunrisers Hyderabad"/>
    <x v="6"/>
    <x v="0"/>
    <x v="0"/>
    <s v="wickets"/>
    <n v="6"/>
    <s v="N"/>
    <s v="Normal Match"/>
    <s v="CB Gaffaney"/>
    <s v="AK Chaudhary"/>
    <x v="11"/>
    <x v="1"/>
  </r>
  <r>
    <s v="1175358"/>
    <s v="Mumbai"/>
    <n v="2019"/>
    <d v="2019-03-24T00:00:00"/>
    <x v="180"/>
    <x v="3"/>
    <x v="3"/>
    <s v="Delhi Capitals"/>
    <x v="3"/>
    <x v="0"/>
    <x v="2"/>
    <s v="runs"/>
    <n v="37"/>
    <s v="N"/>
    <s v="Normal Match"/>
    <s v="YC Barde"/>
    <s v="S Ravi"/>
    <x v="11"/>
    <x v="0"/>
  </r>
  <r>
    <s v="1175359"/>
    <s v="Jaipur"/>
    <n v="2019"/>
    <d v="2019-03-25T00:00:00"/>
    <x v="45"/>
    <x v="5"/>
    <x v="5"/>
    <s v="Punjab Kings"/>
    <x v="2"/>
    <x v="0"/>
    <x v="5"/>
    <s v="runs"/>
    <n v="14"/>
    <s v="N"/>
    <s v="Normal Match"/>
    <s v="KN Ananthapadmanabhan"/>
    <s v="C Shamshuddin"/>
    <x v="11"/>
    <x v="0"/>
  </r>
  <r>
    <s v="1175360"/>
    <s v="Delhi"/>
    <n v="2019"/>
    <d v="2019-03-26T00:00:00"/>
    <x v="5"/>
    <x v="2"/>
    <x v="2"/>
    <s v="Chennai Super Kings"/>
    <x v="7"/>
    <x v="1"/>
    <x v="1"/>
    <s v="wickets"/>
    <n v="6"/>
    <s v="N"/>
    <s v="Normal Match"/>
    <s v="M Erasmus"/>
    <s v="Nitin Menon"/>
    <x v="11"/>
    <x v="1"/>
  </r>
  <r>
    <s v="1175361"/>
    <s v="Kolkata"/>
    <n v="2019"/>
    <d v="2019-03-27T00:00:00"/>
    <x v="162"/>
    <x v="4"/>
    <x v="4"/>
    <s v="Punjab Kings"/>
    <x v="5"/>
    <x v="0"/>
    <x v="0"/>
    <s v="runs"/>
    <n v="28"/>
    <s v="N"/>
    <s v="Normal Match"/>
    <s v="VA Kulkarni"/>
    <s v="AK Chaudhary"/>
    <x v="11"/>
    <x v="0"/>
  </r>
  <r>
    <s v="1175362"/>
    <s v="Bengaluru"/>
    <n v="2019"/>
    <d v="2019-03-28T00:00:00"/>
    <x v="188"/>
    <x v="0"/>
    <x v="0"/>
    <s v="Mumbai Indians"/>
    <x v="0"/>
    <x v="0"/>
    <x v="7"/>
    <s v="runs"/>
    <n v="6"/>
    <s v="N"/>
    <s v="Normal Match"/>
    <s v="CK Nandan"/>
    <s v="S Ravi"/>
    <x v="11"/>
    <x v="0"/>
  </r>
  <r>
    <s v="1175363"/>
    <s v="Hyderabad"/>
    <n v="2019"/>
    <d v="2019-03-29T00:00:00"/>
    <x v="186"/>
    <x v="6"/>
    <x v="10"/>
    <s v="Rajasthan Royals"/>
    <x v="2"/>
    <x v="1"/>
    <x v="10"/>
    <s v="wickets"/>
    <n v="5"/>
    <s v="N"/>
    <s v="Normal Match"/>
    <s v="C Shamshuddin"/>
    <s v="BNJ Oxenford"/>
    <x v="11"/>
    <x v="1"/>
  </r>
  <r>
    <s v="1175364"/>
    <s v="Chandigarh"/>
    <n v="2019"/>
    <d v="2019-03-30T00:00:00"/>
    <x v="163"/>
    <x v="1"/>
    <x v="1"/>
    <s v="Mumbai Indians"/>
    <x v="5"/>
    <x v="0"/>
    <x v="5"/>
    <s v="wickets"/>
    <n v="8"/>
    <s v="N"/>
    <s v="Normal Match"/>
    <s v="VA Kulkarni"/>
    <s v="CB Gaffaney"/>
    <x v="11"/>
    <x v="1"/>
  </r>
  <r>
    <s v="1175366"/>
    <s v="Hyderabad"/>
    <n v="2019"/>
    <d v="2019-03-31T00:00:00"/>
    <x v="212"/>
    <x v="6"/>
    <x v="10"/>
    <s v="Royal Challengers Bangalore"/>
    <x v="0"/>
    <x v="0"/>
    <x v="10"/>
    <s v="runs"/>
    <n v="118"/>
    <s v="N"/>
    <s v="Normal Match"/>
    <s v="KN Ananthapadmanabhan"/>
    <s v="S Ravi"/>
    <x v="11"/>
    <x v="0"/>
  </r>
  <r>
    <s v="1175367"/>
    <s v="Chennai"/>
    <n v="2019"/>
    <d v="2019-03-31T00:00:00"/>
    <x v="13"/>
    <x v="7"/>
    <x v="7"/>
    <s v="Rajasthan Royals"/>
    <x v="2"/>
    <x v="0"/>
    <x v="1"/>
    <s v="runs"/>
    <n v="8"/>
    <s v="N"/>
    <s v="Normal Match"/>
    <s v="YC Barde"/>
    <s v="CK Nandan"/>
    <x v="11"/>
    <x v="0"/>
  </r>
  <r>
    <s v="1175368"/>
    <s v="Chandigarh"/>
    <n v="2019"/>
    <d v="2019-04-01T00:00:00"/>
    <x v="213"/>
    <x v="1"/>
    <x v="1"/>
    <s v="Delhi Capitals"/>
    <x v="7"/>
    <x v="0"/>
    <x v="5"/>
    <s v="runs"/>
    <n v="14"/>
    <s v="N"/>
    <s v="Normal Match"/>
    <s v="CB Gaffaney"/>
    <s v="AK Chaudhary"/>
    <x v="11"/>
    <x v="0"/>
  </r>
  <r>
    <s v="1175369"/>
    <s v="Jaipur"/>
    <n v="2019"/>
    <d v="2019-04-02T00:00:00"/>
    <x v="210"/>
    <x v="5"/>
    <x v="5"/>
    <s v="Royal Challengers Bangalore"/>
    <x v="2"/>
    <x v="0"/>
    <x v="4"/>
    <s v="wickets"/>
    <n v="7"/>
    <s v="N"/>
    <s v="Normal Match"/>
    <s v="AY Dandekar"/>
    <s v="M Erasmus"/>
    <x v="11"/>
    <x v="1"/>
  </r>
  <r>
    <s v="1175370"/>
    <s v="Mumbai"/>
    <n v="2019"/>
    <d v="2019-04-03T00:00:00"/>
    <x v="170"/>
    <x v="3"/>
    <x v="3"/>
    <s v="Chennai Super Kings"/>
    <x v="1"/>
    <x v="0"/>
    <x v="7"/>
    <s v="runs"/>
    <n v="37"/>
    <s v="N"/>
    <s v="Normal Match"/>
    <s v="RJ Tucker"/>
    <s v="BNJ Oxenford"/>
    <x v="11"/>
    <x v="0"/>
  </r>
  <r>
    <s v="1175371"/>
    <s v="Delhi"/>
    <n v="2019"/>
    <d v="2019-04-04T00:00:00"/>
    <x v="212"/>
    <x v="2"/>
    <x v="2"/>
    <s v="Sunrisers Hyderabad"/>
    <x v="10"/>
    <x v="0"/>
    <x v="10"/>
    <s v="wickets"/>
    <n v="5"/>
    <s v="N"/>
    <s v="Normal Match"/>
    <s v="KN Ananthapadmanabhan"/>
    <s v="C Shamshuddin"/>
    <x v="11"/>
    <x v="1"/>
  </r>
  <r>
    <s v="1175372"/>
    <s v="Bengaluru"/>
    <n v="2019"/>
    <d v="2019-04-05T00:00:00"/>
    <x v="162"/>
    <x v="0"/>
    <x v="0"/>
    <s v="Kolkata Knight Riders"/>
    <x v="6"/>
    <x v="0"/>
    <x v="0"/>
    <s v="wickets"/>
    <n v="5"/>
    <s v="N"/>
    <s v="Normal Match"/>
    <s v="CB Gaffaney"/>
    <s v="AK Chaudhary"/>
    <x v="11"/>
    <x v="1"/>
  </r>
  <r>
    <s v="1178393"/>
    <s v="Chennai"/>
    <n v="2019"/>
    <d v="2019-04-06T00:00:00"/>
    <x v="62"/>
    <x v="7"/>
    <x v="7"/>
    <s v="Punjab Kings"/>
    <x v="1"/>
    <x v="1"/>
    <x v="1"/>
    <s v="runs"/>
    <n v="22"/>
    <s v="N"/>
    <s v="Normal Match"/>
    <s v="KN Ananthapadmanabhan"/>
    <s v="RJ Tucker"/>
    <x v="11"/>
    <x v="0"/>
  </r>
  <r>
    <s v="1178394"/>
    <s v="Hyderabad"/>
    <n v="2019"/>
    <d v="2019-04-06T00:00:00"/>
    <x v="214"/>
    <x v="6"/>
    <x v="10"/>
    <s v="Mumbai Indians"/>
    <x v="10"/>
    <x v="0"/>
    <x v="7"/>
    <s v="runs"/>
    <n v="40"/>
    <s v="N"/>
    <s v="Normal Match"/>
    <s v="AY Dandekar"/>
    <s v="Nitin Menon"/>
    <x v="11"/>
    <x v="0"/>
  </r>
  <r>
    <s v="1178395"/>
    <s v="Bengaluru"/>
    <n v="2019"/>
    <d v="2019-04-07T00:00:00"/>
    <x v="215"/>
    <x v="0"/>
    <x v="0"/>
    <s v="Delhi Capitals"/>
    <x v="7"/>
    <x v="0"/>
    <x v="2"/>
    <s v="wickets"/>
    <n v="4"/>
    <s v="N"/>
    <s v="Normal Match"/>
    <s v="YC Barde"/>
    <s v="S Ravi"/>
    <x v="11"/>
    <x v="1"/>
  </r>
  <r>
    <s v="1178396"/>
    <s v="Jaipur"/>
    <n v="2019"/>
    <d v="2019-04-07T00:00:00"/>
    <x v="216"/>
    <x v="5"/>
    <x v="5"/>
    <s v="Kolkata Knight Riders"/>
    <x v="6"/>
    <x v="0"/>
    <x v="0"/>
    <s v="wickets"/>
    <n v="8"/>
    <s v="N"/>
    <s v="Normal Match"/>
    <s v="CB Gaffaney"/>
    <s v="AK Chaudhary"/>
    <x v="11"/>
    <x v="1"/>
  </r>
  <r>
    <s v="1178397"/>
    <s v="Chandigarh"/>
    <n v="2019"/>
    <d v="2019-04-08T00:00:00"/>
    <x v="200"/>
    <x v="1"/>
    <x v="1"/>
    <s v="Sunrisers Hyderabad"/>
    <x v="5"/>
    <x v="0"/>
    <x v="5"/>
    <s v="wickets"/>
    <n v="6"/>
    <s v="N"/>
    <s v="Normal Match"/>
    <s v="AY Dandekar"/>
    <s v="M Erasmus"/>
    <x v="11"/>
    <x v="1"/>
  </r>
  <r>
    <s v="1178398"/>
    <s v="Chennai"/>
    <n v="2019"/>
    <d v="2019-04-09T00:00:00"/>
    <x v="217"/>
    <x v="7"/>
    <x v="7"/>
    <s v="Kolkata Knight Riders"/>
    <x v="1"/>
    <x v="0"/>
    <x v="1"/>
    <s v="wickets"/>
    <n v="7"/>
    <s v="N"/>
    <s v="Normal Match"/>
    <s v="RJ Tucker"/>
    <s v="C Shamshuddin"/>
    <x v="11"/>
    <x v="1"/>
  </r>
  <r>
    <s v="1178399"/>
    <s v="Mumbai"/>
    <n v="2019"/>
    <d v="2019-04-10T00:00:00"/>
    <x v="89"/>
    <x v="3"/>
    <x v="3"/>
    <s v="Punjab Kings"/>
    <x v="3"/>
    <x v="0"/>
    <x v="7"/>
    <s v="wickets"/>
    <n v="3"/>
    <s v="N"/>
    <s v="Normal Match"/>
    <s v="YC Barde"/>
    <s v="S Ravi"/>
    <x v="11"/>
    <x v="1"/>
  </r>
  <r>
    <s v="1178400"/>
    <s v="Jaipur"/>
    <n v="2019"/>
    <d v="2019-04-11T00:00:00"/>
    <x v="13"/>
    <x v="5"/>
    <x v="5"/>
    <s v="Chennai Super Kings"/>
    <x v="1"/>
    <x v="0"/>
    <x v="1"/>
    <s v="wickets"/>
    <n v="4"/>
    <s v="N"/>
    <s v="Normal Match"/>
    <s v="UV Gandhe"/>
    <s v="BNJ Oxenford"/>
    <x v="11"/>
    <x v="1"/>
  </r>
  <r>
    <s v="1178401"/>
    <s v="Kolkata"/>
    <n v="2019"/>
    <d v="2019-04-12T00:00:00"/>
    <x v="113"/>
    <x v="4"/>
    <x v="4"/>
    <s v="Delhi Capitals"/>
    <x v="7"/>
    <x v="0"/>
    <x v="2"/>
    <s v="wickets"/>
    <n v="7"/>
    <s v="N"/>
    <s v="Normal Match"/>
    <s v="YC Barde"/>
    <s v="CK Nandan"/>
    <x v="11"/>
    <x v="1"/>
  </r>
  <r>
    <s v="1178402"/>
    <s v="Mumbai"/>
    <n v="2019"/>
    <d v="2019-04-13T00:00:00"/>
    <x v="192"/>
    <x v="3"/>
    <x v="3"/>
    <s v="Rajasthan Royals"/>
    <x v="2"/>
    <x v="0"/>
    <x v="4"/>
    <s v="wickets"/>
    <n v="4"/>
    <s v="N"/>
    <s v="Normal Match"/>
    <s v="Nitin Menon"/>
    <s v="A Nand Kishore"/>
    <x v="11"/>
    <x v="1"/>
  </r>
  <r>
    <s v="1178403"/>
    <s v="Chandigarh"/>
    <n v="2019"/>
    <d v="2019-04-13T00:00:00"/>
    <x v="46"/>
    <x v="1"/>
    <x v="1"/>
    <s v="Royal Challengers Bangalore"/>
    <x v="0"/>
    <x v="0"/>
    <x v="3"/>
    <s v="wickets"/>
    <n v="8"/>
    <s v="N"/>
    <s v="Normal Match"/>
    <s v="UV Gandhe"/>
    <s v="S Ravi"/>
    <x v="11"/>
    <x v="1"/>
  </r>
  <r>
    <s v="1178404"/>
    <s v="Kolkata"/>
    <n v="2019"/>
    <d v="2019-04-14T00:00:00"/>
    <x v="218"/>
    <x v="4"/>
    <x v="4"/>
    <s v="Chennai Super Kings"/>
    <x v="1"/>
    <x v="0"/>
    <x v="1"/>
    <s v="wickets"/>
    <n v="5"/>
    <s v="N"/>
    <s v="Normal Match"/>
    <s v="RJ Tucker"/>
    <s v="CK Nandan"/>
    <x v="11"/>
    <x v="1"/>
  </r>
  <r>
    <s v="1178405"/>
    <s v="Hyderabad"/>
    <n v="2019"/>
    <d v="2019-04-14T00:00:00"/>
    <x v="219"/>
    <x v="6"/>
    <x v="10"/>
    <s v="Delhi Capitals"/>
    <x v="10"/>
    <x v="0"/>
    <x v="2"/>
    <s v="runs"/>
    <n v="39"/>
    <s v="N"/>
    <s v="Normal Match"/>
    <s v="BNJ Oxenford"/>
    <s v="AK Chaudhary"/>
    <x v="11"/>
    <x v="0"/>
  </r>
  <r>
    <s v="1178406"/>
    <s v="Mumbai"/>
    <n v="2019"/>
    <d v="2019-04-15T00:00:00"/>
    <x v="79"/>
    <x v="3"/>
    <x v="3"/>
    <s v="Royal Challengers Bangalore"/>
    <x v="3"/>
    <x v="0"/>
    <x v="7"/>
    <s v="wickets"/>
    <n v="5"/>
    <s v="N"/>
    <s v="Normal Match"/>
    <s v="M Erasmus"/>
    <s v="Nitin Menon"/>
    <x v="11"/>
    <x v="1"/>
  </r>
  <r>
    <s v="1178407"/>
    <s v="Chandigarh"/>
    <n v="2019"/>
    <d v="2019-04-16T00:00:00"/>
    <x v="90"/>
    <x v="1"/>
    <x v="1"/>
    <s v="Rajasthan Royals"/>
    <x v="2"/>
    <x v="0"/>
    <x v="5"/>
    <s v="runs"/>
    <n v="12"/>
    <s v="N"/>
    <s v="Normal Match"/>
    <s v="VA Kulkarni"/>
    <s v="AK Chaudhary"/>
    <x v="11"/>
    <x v="0"/>
  </r>
  <r>
    <s v="1178408"/>
    <s v="Hyderabad"/>
    <n v="2019"/>
    <d v="2019-04-17T00:00:00"/>
    <x v="78"/>
    <x v="6"/>
    <x v="10"/>
    <s v="Chennai Super Kings"/>
    <x v="1"/>
    <x v="1"/>
    <x v="10"/>
    <s v="wickets"/>
    <n v="6"/>
    <s v="N"/>
    <s v="Normal Match"/>
    <s v="UV Gandhe"/>
    <s v="IJ Gould"/>
    <x v="11"/>
    <x v="1"/>
  </r>
  <r>
    <s v="1178409"/>
    <s v="Delhi"/>
    <n v="2019"/>
    <d v="2019-04-18T00:00:00"/>
    <x v="170"/>
    <x v="2"/>
    <x v="2"/>
    <s v="Mumbai Indians"/>
    <x v="3"/>
    <x v="1"/>
    <x v="7"/>
    <s v="runs"/>
    <n v="40"/>
    <s v="N"/>
    <s v="Normal Match"/>
    <s v="BNJ Oxenford"/>
    <s v="NJ Llong"/>
    <x v="11"/>
    <x v="0"/>
  </r>
  <r>
    <s v="1178410"/>
    <s v="Kolkata"/>
    <n v="2019"/>
    <d v="2019-04-19T00:00:00"/>
    <x v="103"/>
    <x v="4"/>
    <x v="4"/>
    <s v="Royal Challengers Bangalore"/>
    <x v="6"/>
    <x v="0"/>
    <x v="3"/>
    <s v="runs"/>
    <n v="10"/>
    <s v="N"/>
    <s v="Normal Match"/>
    <s v="IJ Gould"/>
    <s v="Nitin Menon"/>
    <x v="11"/>
    <x v="0"/>
  </r>
  <r>
    <s v="1178411"/>
    <s v="Jaipur"/>
    <n v="2019"/>
    <d v="2019-04-20T00:00:00"/>
    <x v="116"/>
    <x v="5"/>
    <x v="5"/>
    <s v="Mumbai Indians"/>
    <x v="2"/>
    <x v="0"/>
    <x v="4"/>
    <s v="wickets"/>
    <n v="5"/>
    <s v="N"/>
    <s v="Normal Match"/>
    <s v="YC Barde"/>
    <s v="S Ravi"/>
    <x v="11"/>
    <x v="1"/>
  </r>
  <r>
    <s v="1178412"/>
    <s v="Delhi"/>
    <n v="2019"/>
    <d v="2019-04-20T00:00:00"/>
    <x v="164"/>
    <x v="2"/>
    <x v="2"/>
    <s v="Punjab Kings"/>
    <x v="7"/>
    <x v="0"/>
    <x v="2"/>
    <s v="wickets"/>
    <n v="5"/>
    <s v="N"/>
    <s v="Normal Match"/>
    <s v="UV Gandhe"/>
    <s v="C Shamshuddin"/>
    <x v="11"/>
    <x v="1"/>
  </r>
  <r>
    <s v="1178413"/>
    <s v="Hyderabad"/>
    <n v="2019"/>
    <d v="2019-04-21T00:00:00"/>
    <x v="220"/>
    <x v="6"/>
    <x v="10"/>
    <s v="Kolkata Knight Riders"/>
    <x v="10"/>
    <x v="0"/>
    <x v="10"/>
    <s v="wickets"/>
    <n v="9"/>
    <s v="N"/>
    <s v="Normal Match"/>
    <s v="NJ Llong"/>
    <s v="Nitin Menon"/>
    <x v="11"/>
    <x v="1"/>
  </r>
  <r>
    <s v="1178414"/>
    <s v="Bengaluru"/>
    <n v="2019"/>
    <d v="2019-04-21T00:00:00"/>
    <x v="146"/>
    <x v="0"/>
    <x v="0"/>
    <s v="Chennai Super Kings"/>
    <x v="1"/>
    <x v="0"/>
    <x v="3"/>
    <s v="runs"/>
    <n v="1"/>
    <s v="N"/>
    <s v="Normal Match"/>
    <s v="RJ Tucker"/>
    <s v="VA Kulkarni"/>
    <x v="11"/>
    <x v="0"/>
  </r>
  <r>
    <s v="1178415"/>
    <s v="Jaipur"/>
    <n v="2019"/>
    <d v="2019-04-22T00:00:00"/>
    <x v="180"/>
    <x v="5"/>
    <x v="5"/>
    <s v="Delhi Capitals"/>
    <x v="7"/>
    <x v="0"/>
    <x v="2"/>
    <s v="wickets"/>
    <n v="6"/>
    <s v="N"/>
    <s v="Normal Match"/>
    <s v="A Nand Kishore"/>
    <s v="S Ravi"/>
    <x v="11"/>
    <x v="1"/>
  </r>
  <r>
    <s v="1178416"/>
    <s v="Chennai"/>
    <n v="2019"/>
    <d v="2019-04-23T00:00:00"/>
    <x v="5"/>
    <x v="7"/>
    <x v="7"/>
    <s v="Sunrisers Hyderabad"/>
    <x v="1"/>
    <x v="0"/>
    <x v="1"/>
    <s v="wickets"/>
    <n v="6"/>
    <s v="N"/>
    <s v="Normal Match"/>
    <s v="NJ Llong"/>
    <s v="AK Chaudhary"/>
    <x v="11"/>
    <x v="1"/>
  </r>
  <r>
    <s v="1178417"/>
    <s v="Bengaluru"/>
    <n v="2019"/>
    <d v="2019-04-24T00:00:00"/>
    <x v="46"/>
    <x v="0"/>
    <x v="0"/>
    <s v="Punjab Kings"/>
    <x v="5"/>
    <x v="0"/>
    <x v="3"/>
    <s v="runs"/>
    <n v="17"/>
    <s v="N"/>
    <s v="Normal Match"/>
    <s v="C Shamshuddin"/>
    <s v="BNJ Oxenford"/>
    <x v="11"/>
    <x v="0"/>
  </r>
  <r>
    <s v="1178418"/>
    <s v="Kolkata"/>
    <n v="2019"/>
    <d v="2019-04-25T00:00:00"/>
    <x v="166"/>
    <x v="4"/>
    <x v="4"/>
    <s v="Rajasthan Royals"/>
    <x v="2"/>
    <x v="0"/>
    <x v="4"/>
    <s v="wickets"/>
    <n v="3"/>
    <s v="N"/>
    <s v="Normal Match"/>
    <s v="AY Dandekar"/>
    <s v="IJ Gould"/>
    <x v="11"/>
    <x v="1"/>
  </r>
  <r>
    <s v="1178419"/>
    <s v="Chennai"/>
    <n v="2019"/>
    <d v="2019-04-26T00:00:00"/>
    <x v="57"/>
    <x v="7"/>
    <x v="7"/>
    <s v="Mumbai Indians"/>
    <x v="1"/>
    <x v="0"/>
    <x v="7"/>
    <s v="runs"/>
    <n v="46"/>
    <s v="N"/>
    <s v="Normal Match"/>
    <s v="NJ Llong"/>
    <s v="AK Chaudhary"/>
    <x v="11"/>
    <x v="0"/>
  </r>
  <r>
    <s v="1178420"/>
    <s v="Jaipur"/>
    <n v="2019"/>
    <d v="2019-04-27T00:00:00"/>
    <x v="92"/>
    <x v="5"/>
    <x v="5"/>
    <s v="Sunrisers Hyderabad"/>
    <x v="2"/>
    <x v="0"/>
    <x v="4"/>
    <s v="wickets"/>
    <n v="7"/>
    <s v="N"/>
    <s v="Normal Match"/>
    <s v="YC Barde"/>
    <s v="A Nand Kishore"/>
    <x v="11"/>
    <x v="1"/>
  </r>
  <r>
    <s v="1178421"/>
    <s v="Delhi"/>
    <n v="2019"/>
    <d v="2019-04-28T00:00:00"/>
    <x v="113"/>
    <x v="2"/>
    <x v="2"/>
    <s v="Royal Challengers Bangalore"/>
    <x v="7"/>
    <x v="1"/>
    <x v="2"/>
    <s v="runs"/>
    <n v="16"/>
    <s v="N"/>
    <s v="Normal Match"/>
    <s v="KN Ananthapadmanabhan"/>
    <s v="BNJ Oxenford"/>
    <x v="11"/>
    <x v="0"/>
  </r>
  <r>
    <s v="1178422"/>
    <s v="Kolkata"/>
    <n v="2019"/>
    <d v="2019-04-28T00:00:00"/>
    <x v="162"/>
    <x v="4"/>
    <x v="4"/>
    <s v="Mumbai Indians"/>
    <x v="3"/>
    <x v="0"/>
    <x v="0"/>
    <s v="runs"/>
    <n v="34"/>
    <s v="N"/>
    <s v="Normal Match"/>
    <s v="IJ Gould"/>
    <s v="Nitin Menon"/>
    <x v="11"/>
    <x v="0"/>
  </r>
  <r>
    <s v="1178423"/>
    <s v="Hyderabad"/>
    <n v="2019"/>
    <d v="2019-04-29T00:00:00"/>
    <x v="78"/>
    <x v="6"/>
    <x v="10"/>
    <s v="Punjab Kings"/>
    <x v="5"/>
    <x v="0"/>
    <x v="10"/>
    <s v="runs"/>
    <n v="45"/>
    <s v="N"/>
    <s v="Normal Match"/>
    <s v="CK Nandan"/>
    <s v="S Ravi"/>
    <x v="11"/>
    <x v="0"/>
  </r>
  <r>
    <s v="1178425"/>
    <s v="Chennai"/>
    <n v="2019"/>
    <d v="2019-05-01T00:00:00"/>
    <x v="13"/>
    <x v="7"/>
    <x v="7"/>
    <s v="Delhi Capitals"/>
    <x v="7"/>
    <x v="0"/>
    <x v="1"/>
    <s v="runs"/>
    <n v="80"/>
    <s v="N"/>
    <s v="Normal Match"/>
    <s v="AY Dandekar"/>
    <s v="Nitin Menon"/>
    <x v="11"/>
    <x v="0"/>
  </r>
  <r>
    <s v="1178427"/>
    <s v="Chandigarh"/>
    <n v="2019"/>
    <d v="2019-05-03T00:00:00"/>
    <x v="221"/>
    <x v="1"/>
    <x v="1"/>
    <s v="Kolkata Knight Riders"/>
    <x v="6"/>
    <x v="0"/>
    <x v="0"/>
    <s v="wickets"/>
    <n v="7"/>
    <s v="N"/>
    <s v="Normal Match"/>
    <s v="C Shamshuddin"/>
    <s v="BNJ Oxenford"/>
    <x v="11"/>
    <x v="1"/>
  </r>
  <r>
    <s v="1178428"/>
    <s v="Delhi"/>
    <n v="2019"/>
    <d v="2019-05-04T00:00:00"/>
    <x v="28"/>
    <x v="2"/>
    <x v="2"/>
    <s v="Rajasthan Royals"/>
    <x v="2"/>
    <x v="1"/>
    <x v="2"/>
    <s v="wickets"/>
    <n v="5"/>
    <s v="N"/>
    <s v="Normal Match"/>
    <s v="AY Dandekar"/>
    <s v="IJ Gould"/>
    <x v="11"/>
    <x v="1"/>
  </r>
  <r>
    <s v="1178429"/>
    <s v="Bengaluru"/>
    <n v="2019"/>
    <d v="2019-05-04T00:00:00"/>
    <x v="222"/>
    <x v="0"/>
    <x v="0"/>
    <s v="Sunrisers Hyderabad"/>
    <x v="0"/>
    <x v="0"/>
    <x v="3"/>
    <s v="wickets"/>
    <n v="4"/>
    <s v="N"/>
    <s v="Normal Match"/>
    <s v="NJ Llong"/>
    <s v="AK Chaudhary"/>
    <x v="11"/>
    <x v="1"/>
  </r>
  <r>
    <s v="1178430"/>
    <s v="Chandigarh"/>
    <n v="2019"/>
    <d v="2019-05-05T00:00:00"/>
    <x v="200"/>
    <x v="1"/>
    <x v="1"/>
    <s v="Chennai Super Kings"/>
    <x v="5"/>
    <x v="0"/>
    <x v="5"/>
    <s v="wickets"/>
    <n v="6"/>
    <s v="N"/>
    <s v="Normal Match"/>
    <s v="KN Ananthapadmanabhan"/>
    <s v="C Shamshuddin"/>
    <x v="11"/>
    <x v="1"/>
  </r>
  <r>
    <s v="1178431"/>
    <s v="Mumbai"/>
    <n v="2019"/>
    <d v="2019-05-05T00:00:00"/>
    <x v="170"/>
    <x v="3"/>
    <x v="3"/>
    <s v="Kolkata Knight Riders"/>
    <x v="3"/>
    <x v="0"/>
    <x v="7"/>
    <s v="wickets"/>
    <n v="9"/>
    <s v="N"/>
    <s v="Normal Match"/>
    <s v="A Nand Kishore"/>
    <s v="CK Nandan"/>
    <x v="11"/>
    <x v="1"/>
  </r>
  <r>
    <s v="1181764"/>
    <s v="Chennai"/>
    <n v="2019"/>
    <d v="2019-05-07T00:00:00"/>
    <x v="176"/>
    <x v="7"/>
    <x v="3"/>
    <s v="Chennai Super Kings"/>
    <x v="1"/>
    <x v="1"/>
    <x v="7"/>
    <s v="wickets"/>
    <n v="6"/>
    <s v="N"/>
    <s v="Normal Match"/>
    <s v="NJ Llong"/>
    <s v="Nitin Menon"/>
    <x v="11"/>
    <x v="1"/>
  </r>
  <r>
    <s v="1181766"/>
    <s v="Visakhapatnam"/>
    <n v="2019"/>
    <d v="2019-05-08T00:00:00"/>
    <x v="180"/>
    <x v="24"/>
    <x v="2"/>
    <s v="Sunrisers Hyderabad"/>
    <x v="7"/>
    <x v="0"/>
    <x v="2"/>
    <s v="wickets"/>
    <n v="2"/>
    <s v="N"/>
    <s v="Normal Match"/>
    <s v="BNJ Oxenford"/>
    <s v="S Ravi"/>
    <x v="11"/>
    <x v="1"/>
  </r>
  <r>
    <s v="1181767"/>
    <s v="Visakhapatnam"/>
    <n v="2019"/>
    <d v="2019-05-10T00:00:00"/>
    <x v="121"/>
    <x v="24"/>
    <x v="7"/>
    <s v="Delhi Capitals"/>
    <x v="1"/>
    <x v="0"/>
    <x v="1"/>
    <s v="wickets"/>
    <n v="6"/>
    <s v="N"/>
    <s v="Normal Match"/>
    <s v="BNJ Oxenford"/>
    <s v="S Ravi"/>
    <x v="11"/>
    <x v="1"/>
  </r>
  <r>
    <s v="1181768"/>
    <s v="Hyderabad"/>
    <n v="2019"/>
    <d v="2019-05-12T00:00:00"/>
    <x v="188"/>
    <x v="6"/>
    <x v="3"/>
    <s v="Chennai Super Kings"/>
    <x v="3"/>
    <x v="1"/>
    <x v="7"/>
    <s v="runs"/>
    <n v="1"/>
    <s v="N"/>
    <s v="Normal Match"/>
    <s v="IJ Gould"/>
    <s v="Nitin Menon"/>
    <x v="11"/>
    <x v="0"/>
  </r>
  <r>
    <s v="1216492"/>
    <s v="Abu Dhabi"/>
    <n v="2020"/>
    <d v="2020-09-19T00:00:00"/>
    <x v="82"/>
    <x v="28"/>
    <x v="3"/>
    <s v="Chennai Super Kings"/>
    <x v="1"/>
    <x v="0"/>
    <x v="1"/>
    <s v="wickets"/>
    <n v="5"/>
    <s v="N"/>
    <s v="Normal Match"/>
    <s v="CB Gaffaney"/>
    <s v="VK Sharma"/>
    <x v="12"/>
    <x v="1"/>
  </r>
  <r>
    <s v="1216494"/>
    <s v="Abu Dhabi"/>
    <n v="2020"/>
    <d v="2020-10-21T00:00:00"/>
    <x v="196"/>
    <x v="28"/>
    <x v="4"/>
    <s v="Royal Challengers Bangalore"/>
    <x v="6"/>
    <x v="1"/>
    <x v="3"/>
    <s v="wickets"/>
    <n v="8"/>
    <s v="N"/>
    <s v="Normal Match"/>
    <s v="VK Sharma"/>
    <s v="S Ravi"/>
    <x v="12"/>
    <x v="1"/>
  </r>
  <r>
    <s v="1216495"/>
    <s v="Sharjah"/>
    <n v="2020"/>
    <d v="2020-11-03T00:00:00"/>
    <x v="126"/>
    <x v="29"/>
    <x v="3"/>
    <s v="Sunrisers Hyderabad"/>
    <x v="10"/>
    <x v="0"/>
    <x v="10"/>
    <s v="wickets"/>
    <n v="10"/>
    <s v="N"/>
    <s v="Normal Match"/>
    <s v="C Shamshuddin"/>
    <s v="RK Illingworth"/>
    <x v="12"/>
    <x v="1"/>
  </r>
  <r>
    <s v="1216496"/>
    <s v="Sharjah"/>
    <n v="2020"/>
    <d v="2020-09-22T00:00:00"/>
    <x v="142"/>
    <x v="29"/>
    <x v="5"/>
    <s v="Chennai Super Kings"/>
    <x v="1"/>
    <x v="0"/>
    <x v="4"/>
    <s v="runs"/>
    <n v="16"/>
    <s v="N"/>
    <s v="Normal Match"/>
    <s v="C Shamshuddin"/>
    <s v="VA Kulkarni"/>
    <x v="12"/>
    <x v="0"/>
  </r>
  <r>
    <s v="1216497"/>
    <s v="Abu Dhabi"/>
    <n v="2020"/>
    <d v="2020-10-24T00:00:00"/>
    <x v="223"/>
    <x v="28"/>
    <x v="4"/>
    <s v="Delhi Capitals"/>
    <x v="7"/>
    <x v="0"/>
    <x v="0"/>
    <s v="runs"/>
    <n v="59"/>
    <s v="N"/>
    <s v="Normal Match"/>
    <s v="CB Gaffaney"/>
    <s v="PG Pathak"/>
    <x v="12"/>
    <x v="0"/>
  </r>
  <r>
    <s v="1216498"/>
    <s v="Dubai"/>
    <n v="2020"/>
    <d v="2020-10-24T00:00:00"/>
    <x v="224"/>
    <x v="30"/>
    <x v="1"/>
    <s v="Sunrisers Hyderabad"/>
    <x v="10"/>
    <x v="0"/>
    <x v="5"/>
    <s v="runs"/>
    <n v="12"/>
    <s v="N"/>
    <s v="Normal Match"/>
    <s v="AY Dandekar"/>
    <s v="PR Reiffel"/>
    <x v="12"/>
    <x v="0"/>
  </r>
  <r>
    <s v="1216499"/>
    <s v="Abu Dhabi"/>
    <n v="2020"/>
    <d v="2020-10-28T00:00:00"/>
    <x v="176"/>
    <x v="28"/>
    <x v="0"/>
    <s v="Mumbai Indians"/>
    <x v="3"/>
    <x v="0"/>
    <x v="7"/>
    <s v="wickets"/>
    <n v="5"/>
    <s v="N"/>
    <s v="Normal Match"/>
    <s v="UV Gandhe"/>
    <s v="CB Gaffaney"/>
    <x v="12"/>
    <x v="1"/>
  </r>
  <r>
    <s v="1216500"/>
    <s v="Sharjah"/>
    <n v="2020"/>
    <d v="2020-10-09T00:00:00"/>
    <x v="90"/>
    <x v="29"/>
    <x v="2"/>
    <s v="Rajasthan Royals"/>
    <x v="2"/>
    <x v="0"/>
    <x v="2"/>
    <s v="runs"/>
    <n v="46"/>
    <s v="N"/>
    <s v="Normal Match"/>
    <s v="KN Ananthapadmanabhan"/>
    <s v="C Shamshuddin"/>
    <x v="12"/>
    <x v="0"/>
  </r>
  <r>
    <s v="1216501"/>
    <s v="Abu Dhabi"/>
    <n v="2020"/>
    <d v="2020-10-07T00:00:00"/>
    <x v="195"/>
    <x v="28"/>
    <x v="4"/>
    <s v="Chennai Super Kings"/>
    <x v="6"/>
    <x v="1"/>
    <x v="0"/>
    <s v="runs"/>
    <n v="10"/>
    <s v="N"/>
    <s v="Normal Match"/>
    <s v="KN Ananthapadmanabhan"/>
    <s v="RK Illingworth"/>
    <x v="12"/>
    <x v="0"/>
  </r>
  <r>
    <s v="1216502"/>
    <s v="Sharjah"/>
    <n v="2020"/>
    <d v="2020-10-31T00:00:00"/>
    <x v="154"/>
    <x v="29"/>
    <x v="0"/>
    <s v="Sunrisers Hyderabad"/>
    <x v="10"/>
    <x v="0"/>
    <x v="10"/>
    <s v="wickets"/>
    <n v="5"/>
    <s v="N"/>
    <s v="Normal Match"/>
    <s v="KN Ananthapadmanabhan"/>
    <s v="K Srinivasan"/>
    <x v="12"/>
    <x v="1"/>
  </r>
  <r>
    <s v="1216503"/>
    <s v="Abu Dhabi"/>
    <n v="2020"/>
    <d v="2020-10-01T00:00:00"/>
    <x v="89"/>
    <x v="28"/>
    <x v="3"/>
    <s v="Punjab Kings"/>
    <x v="5"/>
    <x v="0"/>
    <x v="7"/>
    <s v="runs"/>
    <n v="48"/>
    <s v="N"/>
    <s v="Normal Match"/>
    <s v="VK Sharma"/>
    <s v="S Ravi"/>
    <x v="12"/>
    <x v="0"/>
  </r>
  <r>
    <s v="1216504"/>
    <s v="Dubai"/>
    <n v="2020"/>
    <d v="2020-09-30T00:00:00"/>
    <x v="225"/>
    <x v="30"/>
    <x v="4"/>
    <s v="Rajasthan Royals"/>
    <x v="2"/>
    <x v="0"/>
    <x v="0"/>
    <s v="runs"/>
    <n v="37"/>
    <s v="N"/>
    <s v="Normal Match"/>
    <s v="KN Ananthapadmanabhan"/>
    <s v="C Shamshuddin"/>
    <x v="12"/>
    <x v="0"/>
  </r>
  <r>
    <s v="1216505"/>
    <s v="Abu Dhabi"/>
    <n v="2020"/>
    <d v="2020-11-02T00:00:00"/>
    <x v="226"/>
    <x v="28"/>
    <x v="0"/>
    <s v="Delhi Capitals"/>
    <x v="7"/>
    <x v="0"/>
    <x v="2"/>
    <s v="wickets"/>
    <n v="6"/>
    <s v="N"/>
    <s v="Normal Match"/>
    <s v="CB Gaffaney"/>
    <s v="S Ravi"/>
    <x v="12"/>
    <x v="1"/>
  </r>
  <r>
    <s v="1216506"/>
    <s v="Abu Dhabi"/>
    <n v="2020"/>
    <d v="2020-11-01T00:00:00"/>
    <x v="227"/>
    <x v="28"/>
    <x v="1"/>
    <s v="Chennai Super Kings"/>
    <x v="1"/>
    <x v="0"/>
    <x v="1"/>
    <s v="wickets"/>
    <n v="9"/>
    <s v="N"/>
    <s v="Normal Match"/>
    <s v="PG Pathak"/>
    <s v="VK Sharma"/>
    <x v="12"/>
    <x v="1"/>
  </r>
  <r>
    <s v="1216507"/>
    <s v="Dubai"/>
    <n v="2020"/>
    <d v="2020-10-11T00:00:00"/>
    <x v="228"/>
    <x v="30"/>
    <x v="10"/>
    <s v="Rajasthan Royals"/>
    <x v="10"/>
    <x v="1"/>
    <x v="4"/>
    <s v="wickets"/>
    <n v="5"/>
    <s v="N"/>
    <s v="Normal Match"/>
    <s v="YC Barde"/>
    <s v="PR Reiffel"/>
    <x v="12"/>
    <x v="1"/>
  </r>
  <r>
    <s v="1216508"/>
    <s v="Abu Dhabi"/>
    <n v="2020"/>
    <d v="2020-09-23T00:00:00"/>
    <x v="57"/>
    <x v="28"/>
    <x v="3"/>
    <s v="Kolkata Knight Riders"/>
    <x v="6"/>
    <x v="0"/>
    <x v="7"/>
    <s v="runs"/>
    <n v="49"/>
    <s v="N"/>
    <s v="Normal Match"/>
    <s v="CB Gaffaney"/>
    <s v="S Ravi"/>
    <x v="12"/>
    <x v="0"/>
  </r>
  <r>
    <s v="1216509"/>
    <s v="Sharjah"/>
    <n v="2020"/>
    <d v="2020-10-17T00:00:00"/>
    <x v="113"/>
    <x v="29"/>
    <x v="7"/>
    <s v="Delhi Capitals"/>
    <x v="1"/>
    <x v="1"/>
    <x v="2"/>
    <s v="wickets"/>
    <n v="5"/>
    <s v="N"/>
    <s v="Normal Match"/>
    <s v="KN Ananthapadmanabhan"/>
    <s v="RK Illingworth"/>
    <x v="12"/>
    <x v="1"/>
  </r>
  <r>
    <s v="1216510"/>
    <s v="Dubai"/>
    <n v="2020"/>
    <d v="2020-09-24T00:00:00"/>
    <x v="200"/>
    <x v="30"/>
    <x v="1"/>
    <s v="Royal Challengers Bangalore"/>
    <x v="0"/>
    <x v="0"/>
    <x v="5"/>
    <s v="runs"/>
    <n v="97"/>
    <s v="N"/>
    <s v="Normal Match"/>
    <s v="AK Chaudhary"/>
    <s v="PR Reiffel"/>
    <x v="12"/>
    <x v="0"/>
  </r>
  <r>
    <s v="1216511"/>
    <s v="Abu Dhabi"/>
    <n v="2020"/>
    <d v="2020-10-06T00:00:00"/>
    <x v="176"/>
    <x v="28"/>
    <x v="3"/>
    <s v="Rajasthan Royals"/>
    <x v="3"/>
    <x v="1"/>
    <x v="7"/>
    <s v="runs"/>
    <n v="57"/>
    <s v="N"/>
    <s v="Normal Match"/>
    <s v="VK Sharma"/>
    <s v="S Ravi"/>
    <x v="12"/>
    <x v="0"/>
  </r>
  <r>
    <s v="1216513"/>
    <s v="Dubai"/>
    <n v="2020"/>
    <d v="2020-10-04T00:00:00"/>
    <x v="5"/>
    <x v="30"/>
    <x v="1"/>
    <s v="Chennai Super Kings"/>
    <x v="5"/>
    <x v="1"/>
    <x v="1"/>
    <s v="wickets"/>
    <n v="10"/>
    <s v="N"/>
    <s v="Normal Match"/>
    <s v="AY Dandekar"/>
    <s v="Nitin Menon"/>
    <x v="12"/>
    <x v="1"/>
  </r>
  <r>
    <s v="1216514"/>
    <s v="Abu Dhabi"/>
    <n v="2020"/>
    <d v="2020-10-03T00:00:00"/>
    <x v="149"/>
    <x v="28"/>
    <x v="5"/>
    <s v="Royal Challengers Bangalore"/>
    <x v="2"/>
    <x v="1"/>
    <x v="3"/>
    <s v="wickets"/>
    <n v="8"/>
    <s v="N"/>
    <s v="Normal Match"/>
    <s v="CB Gaffaney"/>
    <s v="S Ravi"/>
    <x v="12"/>
    <x v="1"/>
  </r>
  <r>
    <s v="1216515"/>
    <s v="Sharjah"/>
    <n v="2020"/>
    <d v="2020-10-03T00:00:00"/>
    <x v="164"/>
    <x v="29"/>
    <x v="2"/>
    <s v="Kolkata Knight Riders"/>
    <x v="6"/>
    <x v="0"/>
    <x v="2"/>
    <s v="runs"/>
    <n v="18"/>
    <s v="N"/>
    <s v="Normal Match"/>
    <s v="VA Kulkarni"/>
    <s v="RK Illingworth"/>
    <x v="12"/>
    <x v="0"/>
  </r>
  <r>
    <s v="1216516"/>
    <s v="Dubai"/>
    <n v="2020"/>
    <d v="2020-10-02T00:00:00"/>
    <x v="229"/>
    <x v="30"/>
    <x v="10"/>
    <s v="Chennai Super Kings"/>
    <x v="10"/>
    <x v="1"/>
    <x v="10"/>
    <s v="runs"/>
    <n v="7"/>
    <s v="N"/>
    <s v="Normal Match"/>
    <s v="AK Chaudhary"/>
    <s v="PR Reiffel"/>
    <x v="12"/>
    <x v="0"/>
  </r>
  <r>
    <s v="1216518"/>
    <s v="Dubai"/>
    <n v="2020"/>
    <d v="2020-10-22T00:00:00"/>
    <x v="68"/>
    <x v="30"/>
    <x v="5"/>
    <s v="Sunrisers Hyderabad"/>
    <x v="10"/>
    <x v="0"/>
    <x v="10"/>
    <s v="wickets"/>
    <n v="8"/>
    <s v="N"/>
    <s v="Normal Match"/>
    <s v="Nitin Menon"/>
    <s v="PR Reiffel"/>
    <x v="12"/>
    <x v="1"/>
  </r>
  <r>
    <s v="1216519"/>
    <s v="Dubai"/>
    <n v="2020"/>
    <d v="2020-10-05T00:00:00"/>
    <x v="158"/>
    <x v="30"/>
    <x v="2"/>
    <s v="Royal Challengers Bangalore"/>
    <x v="0"/>
    <x v="0"/>
    <x v="2"/>
    <s v="runs"/>
    <n v="59"/>
    <s v="N"/>
    <s v="Normal Match"/>
    <s v="Nitin Menon"/>
    <s v="YC Barde"/>
    <x v="12"/>
    <x v="0"/>
  </r>
  <r>
    <s v="1216520"/>
    <s v="Sharjah"/>
    <n v="2020"/>
    <d v="2020-10-26T00:00:00"/>
    <x v="45"/>
    <x v="29"/>
    <x v="4"/>
    <s v="Punjab Kings"/>
    <x v="5"/>
    <x v="0"/>
    <x v="5"/>
    <s v="wickets"/>
    <n v="8"/>
    <s v="N"/>
    <s v="Normal Match"/>
    <s v="KN Ananthapadmanabhan"/>
    <s v="RK Illingworth"/>
    <x v="12"/>
    <x v="1"/>
  </r>
  <r>
    <s v="1216521"/>
    <s v="Sharjah"/>
    <n v="2020"/>
    <d v="2020-10-23T00:00:00"/>
    <x v="167"/>
    <x v="29"/>
    <x v="7"/>
    <s v="Mumbai Indians"/>
    <x v="3"/>
    <x v="0"/>
    <x v="7"/>
    <s v="wickets"/>
    <n v="10"/>
    <s v="N"/>
    <s v="Normal Match"/>
    <s v="C Shamshuddin"/>
    <s v="VA Kulkarni"/>
    <x v="12"/>
    <x v="1"/>
  </r>
  <r>
    <s v="1216522"/>
    <s v="Dubai"/>
    <n v="2020"/>
    <d v="2020-10-17T00:00:00"/>
    <x v="46"/>
    <x v="30"/>
    <x v="5"/>
    <s v="Royal Challengers Bangalore"/>
    <x v="2"/>
    <x v="1"/>
    <x v="3"/>
    <s v="wickets"/>
    <n v="7"/>
    <s v="N"/>
    <s v="Normal Match"/>
    <s v="AK Chaudhary"/>
    <s v="Nitin Menon"/>
    <x v="12"/>
    <x v="1"/>
  </r>
  <r>
    <s v="1216523"/>
    <s v="Abu Dhabi"/>
    <n v="2020"/>
    <d v="2020-10-10T00:00:00"/>
    <x v="35"/>
    <x v="28"/>
    <x v="4"/>
    <s v="Punjab Kings"/>
    <x v="6"/>
    <x v="1"/>
    <x v="0"/>
    <s v="runs"/>
    <n v="2"/>
    <s v="N"/>
    <s v="Normal Match"/>
    <s v="UV Gandhe"/>
    <s v="CB Gaffaney"/>
    <x v="12"/>
    <x v="0"/>
  </r>
  <r>
    <s v="1216524"/>
    <s v="Dubai"/>
    <n v="2020"/>
    <d v="2020-10-27T00:00:00"/>
    <x v="112"/>
    <x v="30"/>
    <x v="10"/>
    <s v="Delhi Capitals"/>
    <x v="7"/>
    <x v="0"/>
    <x v="10"/>
    <s v="runs"/>
    <n v="88"/>
    <s v="N"/>
    <s v="Normal Match"/>
    <s v="AK Chaudhary"/>
    <s v="Nitin Menon"/>
    <x v="12"/>
    <x v="0"/>
  </r>
  <r>
    <s v="1216525"/>
    <s v="Dubai"/>
    <n v="2020"/>
    <d v="2020-10-10T00:00:00"/>
    <x v="103"/>
    <x v="30"/>
    <x v="0"/>
    <s v="Chennai Super Kings"/>
    <x v="0"/>
    <x v="1"/>
    <x v="3"/>
    <s v="runs"/>
    <n v="37"/>
    <s v="N"/>
    <s v="Normal Match"/>
    <s v="AK Chaudhary"/>
    <s v="PR Reiffel"/>
    <x v="12"/>
    <x v="0"/>
  </r>
  <r>
    <s v="1216526"/>
    <s v="Abu Dhabi"/>
    <n v="2020"/>
    <d v="2020-10-16T00:00:00"/>
    <x v="174"/>
    <x v="28"/>
    <x v="4"/>
    <s v="Mumbai Indians"/>
    <x v="6"/>
    <x v="1"/>
    <x v="7"/>
    <s v="wickets"/>
    <n v="8"/>
    <s v="N"/>
    <s v="Normal Match"/>
    <s v="CB Gaffaney"/>
    <s v="VK Sharma"/>
    <x v="12"/>
    <x v="1"/>
  </r>
  <r>
    <s v="1216527"/>
    <s v="Sharjah"/>
    <n v="2020"/>
    <d v="2020-09-27T00:00:00"/>
    <x v="142"/>
    <x v="29"/>
    <x v="1"/>
    <s v="Rajasthan Royals"/>
    <x v="2"/>
    <x v="0"/>
    <x v="4"/>
    <s v="wickets"/>
    <n v="4"/>
    <s v="N"/>
    <s v="Normal Match"/>
    <s v="RK Illingworth"/>
    <s v="K Srinivasan"/>
    <x v="12"/>
    <x v="1"/>
  </r>
  <r>
    <s v="1216528"/>
    <s v="Dubai"/>
    <n v="2020"/>
    <d v="2020-10-13T00:00:00"/>
    <x v="118"/>
    <x v="30"/>
    <x v="7"/>
    <s v="Sunrisers Hyderabad"/>
    <x v="1"/>
    <x v="1"/>
    <x v="1"/>
    <s v="runs"/>
    <n v="20"/>
    <s v="N"/>
    <s v="Normal Match"/>
    <s v="AK Chaudhary"/>
    <s v="PR Reiffel"/>
    <x v="12"/>
    <x v="0"/>
  </r>
  <r>
    <s v="1216529"/>
    <s v="Abu Dhabi"/>
    <n v="2020"/>
    <d v="2020-10-11T00:00:00"/>
    <x v="174"/>
    <x v="28"/>
    <x v="2"/>
    <s v="Mumbai Indians"/>
    <x v="7"/>
    <x v="1"/>
    <x v="7"/>
    <s v="wickets"/>
    <n v="5"/>
    <s v="N"/>
    <s v="Normal Match"/>
    <s v="CB Gaffaney"/>
    <s v="S Ravi"/>
    <x v="12"/>
    <x v="1"/>
  </r>
  <r>
    <s v="1216530"/>
    <s v="Dubai"/>
    <n v="2020"/>
    <d v="2020-11-01T00:00:00"/>
    <x v="230"/>
    <x v="30"/>
    <x v="4"/>
    <s v="Rajasthan Royals"/>
    <x v="2"/>
    <x v="0"/>
    <x v="0"/>
    <s v="runs"/>
    <n v="60"/>
    <s v="N"/>
    <s v="Normal Match"/>
    <s v="Nitin Menon"/>
    <s v="PR Reiffel"/>
    <x v="12"/>
    <x v="0"/>
  </r>
  <r>
    <s v="1216531"/>
    <s v="Sharjah"/>
    <n v="2020"/>
    <d v="2020-10-15T00:00:00"/>
    <x v="200"/>
    <x v="29"/>
    <x v="0"/>
    <s v="Punjab Kings"/>
    <x v="0"/>
    <x v="1"/>
    <x v="5"/>
    <s v="wickets"/>
    <n v="8"/>
    <s v="N"/>
    <s v="Normal Match"/>
    <s v="KN Ananthapadmanabhan"/>
    <s v="C Shamshuddin"/>
    <x v="12"/>
    <x v="1"/>
  </r>
  <r>
    <s v="1216532"/>
    <s v="Abu Dhabi"/>
    <n v="2020"/>
    <d v="2020-09-29T00:00:00"/>
    <x v="186"/>
    <x v="28"/>
    <x v="10"/>
    <s v="Delhi Capitals"/>
    <x v="7"/>
    <x v="0"/>
    <x v="10"/>
    <s v="runs"/>
    <n v="15"/>
    <s v="N"/>
    <s v="Normal Match"/>
    <s v="VK Sharma"/>
    <s v="S Ravi"/>
    <x v="12"/>
    <x v="0"/>
  </r>
  <r>
    <s v="1216533"/>
    <s v="Abu Dhabi"/>
    <n v="2020"/>
    <d v="2020-10-19T00:00:00"/>
    <x v="192"/>
    <x v="28"/>
    <x v="7"/>
    <s v="Rajasthan Royals"/>
    <x v="1"/>
    <x v="1"/>
    <x v="4"/>
    <s v="wickets"/>
    <n v="7"/>
    <s v="N"/>
    <s v="Normal Match"/>
    <s v="CB Gaffaney"/>
    <s v="VK Sharma"/>
    <x v="12"/>
    <x v="1"/>
  </r>
  <r>
    <s v="1216534"/>
    <s v="Dubai"/>
    <n v="2020"/>
    <d v="2020-09-21T00:00:00"/>
    <x v="149"/>
    <x v="30"/>
    <x v="0"/>
    <s v="Sunrisers Hyderabad"/>
    <x v="10"/>
    <x v="0"/>
    <x v="3"/>
    <s v="runs"/>
    <n v="10"/>
    <s v="N"/>
    <s v="Normal Match"/>
    <s v="AY Dandekar"/>
    <s v="Nitin Menon"/>
    <x v="12"/>
    <x v="0"/>
  </r>
  <r>
    <s v="1216535"/>
    <s v="Dubai"/>
    <n v="2020"/>
    <d v="2020-10-31T00:00:00"/>
    <x v="208"/>
    <x v="30"/>
    <x v="2"/>
    <s v="Mumbai Indians"/>
    <x v="3"/>
    <x v="0"/>
    <x v="7"/>
    <s v="wickets"/>
    <n v="9"/>
    <s v="N"/>
    <s v="Normal Match"/>
    <s v="YC Barde"/>
    <s v="PR Reiffel"/>
    <x v="12"/>
    <x v="1"/>
  </r>
  <r>
    <s v="1216536"/>
    <s v="Dubai"/>
    <n v="2020"/>
    <d v="2020-10-29T00:00:00"/>
    <x v="227"/>
    <x v="30"/>
    <x v="4"/>
    <s v="Chennai Super Kings"/>
    <x v="1"/>
    <x v="0"/>
    <x v="1"/>
    <s v="wickets"/>
    <n v="6"/>
    <s v="N"/>
    <s v="Normal Match"/>
    <s v="C Shamshuddin"/>
    <s v="RK Illingworth"/>
    <x v="12"/>
    <x v="1"/>
  </r>
  <r>
    <s v="1216537"/>
    <s v="Abu Dhabi"/>
    <n v="2020"/>
    <d v="2020-10-30T00:00:00"/>
    <x v="190"/>
    <x v="28"/>
    <x v="1"/>
    <s v="Rajasthan Royals"/>
    <x v="2"/>
    <x v="0"/>
    <x v="4"/>
    <s v="wickets"/>
    <n v="7"/>
    <s v="N"/>
    <s v="Normal Match"/>
    <s v="CB Gaffaney"/>
    <s v="S Ravi"/>
    <x v="12"/>
    <x v="1"/>
  </r>
  <r>
    <s v="1216538"/>
    <s v="Sharjah"/>
    <n v="2020"/>
    <d v="2020-10-04T00:00:00"/>
    <x v="167"/>
    <x v="29"/>
    <x v="3"/>
    <s v="Sunrisers Hyderabad"/>
    <x v="3"/>
    <x v="1"/>
    <x v="7"/>
    <s v="runs"/>
    <n v="34"/>
    <s v="N"/>
    <s v="Normal Match"/>
    <s v="KN Ananthapadmanabhan"/>
    <s v="RK Illingworth"/>
    <x v="12"/>
    <x v="0"/>
  </r>
  <r>
    <s v="1216539"/>
    <s v="Dubai"/>
    <n v="2020"/>
    <d v="2020-09-25T00:00:00"/>
    <x v="231"/>
    <x v="30"/>
    <x v="2"/>
    <s v="Chennai Super Kings"/>
    <x v="1"/>
    <x v="0"/>
    <x v="2"/>
    <s v="runs"/>
    <n v="44"/>
    <s v="N"/>
    <s v="Normal Match"/>
    <s v="KN Ananthapadmanabhan"/>
    <s v="RK Illingworth"/>
    <x v="12"/>
    <x v="0"/>
  </r>
  <r>
    <s v="1216540"/>
    <s v="Sharjah"/>
    <n v="2020"/>
    <d v="2020-10-12T00:00:00"/>
    <x v="46"/>
    <x v="29"/>
    <x v="0"/>
    <s v="Kolkata Knight Riders"/>
    <x v="0"/>
    <x v="1"/>
    <x v="3"/>
    <s v="runs"/>
    <n v="82"/>
    <s v="N"/>
    <s v="Normal Match"/>
    <s v="RK Illingworth"/>
    <s v="K Srinivasan"/>
    <x v="12"/>
    <x v="0"/>
  </r>
  <r>
    <s v="1216541"/>
    <s v="Abu Dhabi"/>
    <n v="2020"/>
    <d v="2020-10-25T00:00:00"/>
    <x v="190"/>
    <x v="28"/>
    <x v="3"/>
    <s v="Rajasthan Royals"/>
    <x v="3"/>
    <x v="1"/>
    <x v="4"/>
    <s v="wickets"/>
    <n v="8"/>
    <s v="N"/>
    <s v="Normal Match"/>
    <s v="UV Gandhe"/>
    <s v="VK Sharma"/>
    <x v="12"/>
    <x v="1"/>
  </r>
  <r>
    <s v="1216542"/>
    <s v="Dubai"/>
    <n v="2020"/>
    <d v="2020-10-08T00:00:00"/>
    <x v="212"/>
    <x v="30"/>
    <x v="10"/>
    <s v="Punjab Kings"/>
    <x v="10"/>
    <x v="1"/>
    <x v="10"/>
    <s v="runs"/>
    <n v="69"/>
    <s v="N"/>
    <s v="Normal Match"/>
    <s v="AK Chaudhary"/>
    <s v="Nitin Menon"/>
    <x v="12"/>
    <x v="0"/>
  </r>
  <r>
    <s v="1216543"/>
    <s v="Dubai"/>
    <n v="2020"/>
    <d v="2020-10-14T00:00:00"/>
    <x v="226"/>
    <x v="30"/>
    <x v="2"/>
    <s v="Rajasthan Royals"/>
    <x v="7"/>
    <x v="1"/>
    <x v="2"/>
    <s v="runs"/>
    <n v="13"/>
    <s v="N"/>
    <s v="Normal Match"/>
    <s v="AK Chaudhary"/>
    <s v="Nitin Menon"/>
    <x v="12"/>
    <x v="0"/>
  </r>
  <r>
    <s v="1216544"/>
    <s v="Dubai"/>
    <n v="2020"/>
    <d v="2020-10-25T00:00:00"/>
    <x v="227"/>
    <x v="30"/>
    <x v="0"/>
    <s v="Chennai Super Kings"/>
    <x v="0"/>
    <x v="1"/>
    <x v="1"/>
    <s v="wickets"/>
    <n v="8"/>
    <s v="N"/>
    <s v="Normal Match"/>
    <s v="C Shamshuddin"/>
    <s v="RK Illingworth"/>
    <x v="12"/>
    <x v="1"/>
  </r>
  <r>
    <s v="1216545"/>
    <s v="Abu Dhabi"/>
    <n v="2020"/>
    <d v="2020-09-26T00:00:00"/>
    <x v="221"/>
    <x v="28"/>
    <x v="10"/>
    <s v="Kolkata Knight Riders"/>
    <x v="10"/>
    <x v="1"/>
    <x v="0"/>
    <s v="wickets"/>
    <n v="7"/>
    <s v="N"/>
    <s v="Normal Match"/>
    <s v="CB Gaffaney"/>
    <s v="VK Sharma"/>
    <x v="12"/>
    <x v="1"/>
  </r>
  <r>
    <s v="1216546"/>
    <s v="Dubai"/>
    <n v="2020"/>
    <d v="2020-10-20T00:00:00"/>
    <x v="113"/>
    <x v="30"/>
    <x v="2"/>
    <s v="Punjab Kings"/>
    <x v="7"/>
    <x v="1"/>
    <x v="5"/>
    <s v="wickets"/>
    <n v="5"/>
    <s v="N"/>
    <s v="Normal Match"/>
    <s v="C Shamshuddin"/>
    <s v="RK Illingworth"/>
    <x v="12"/>
    <x v="1"/>
  </r>
  <r>
    <s v="1237177"/>
    <s v="Dubai"/>
    <n v="2020"/>
    <d v="2020-11-05T00:00:00"/>
    <x v="188"/>
    <x v="30"/>
    <x v="3"/>
    <s v="Delhi Capitals"/>
    <x v="7"/>
    <x v="0"/>
    <x v="7"/>
    <s v="runs"/>
    <n v="57"/>
    <s v="N"/>
    <s v="Normal Match"/>
    <s v="CB Gaffaney"/>
    <s v="Nitin Menon"/>
    <x v="12"/>
    <x v="0"/>
  </r>
  <r>
    <s v="1237178"/>
    <s v="Abu Dhabi"/>
    <n v="2020"/>
    <d v="2020-11-06T00:00:00"/>
    <x v="191"/>
    <x v="28"/>
    <x v="0"/>
    <s v="Sunrisers Hyderabad"/>
    <x v="10"/>
    <x v="0"/>
    <x v="10"/>
    <s v="wickets"/>
    <n v="6"/>
    <s v="N"/>
    <s v="Normal Match"/>
    <s v="PR Reiffel"/>
    <s v="S Ravi"/>
    <x v="12"/>
    <x v="1"/>
  </r>
  <r>
    <s v="1237180"/>
    <s v="Abu Dhabi"/>
    <n v="2020"/>
    <d v="2020-11-08T00:00:00"/>
    <x v="181"/>
    <x v="28"/>
    <x v="2"/>
    <s v="Sunrisers Hyderabad"/>
    <x v="7"/>
    <x v="1"/>
    <x v="2"/>
    <s v="runs"/>
    <n v="17"/>
    <s v="N"/>
    <s v="Normal Match"/>
    <s v="PR Reiffel"/>
    <s v="S Ravi"/>
    <x v="12"/>
    <x v="0"/>
  </r>
  <r>
    <s v="1237181"/>
    <s v="Dubai"/>
    <n v="2020"/>
    <d v="2020-11-10T00:00:00"/>
    <x v="167"/>
    <x v="30"/>
    <x v="2"/>
    <s v="Mumbai Indians"/>
    <x v="7"/>
    <x v="1"/>
    <x v="7"/>
    <s v="wickets"/>
    <n v="5"/>
    <s v="N"/>
    <s v="Normal Match"/>
    <s v="CB Gaffaney"/>
    <s v="Nitin Menon"/>
    <x v="12"/>
    <x v="1"/>
  </r>
  <r>
    <m/>
    <m/>
    <m/>
    <m/>
    <x v="232"/>
    <x v="34"/>
    <x v="13"/>
    <m/>
    <x v="13"/>
    <x v="2"/>
    <x v="13"/>
    <m/>
    <m/>
    <m/>
    <m/>
    <m/>
    <m/>
    <x v="1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 applyNumberFormats="0" applyBorderFormats="0" applyFontFormats="0" applyPatternFormats="0" applyAlignmentFormats="0" applyWidthHeightFormats="1" dataCaption="Values" updatedVersion="5" minRefreshableVersion="3" showDrill="0" useAutoFormatting="1" itemPrintTitles="1" createdVersion="5" indent="0" showHeaders="0" outline="1" outlineData="1" multipleFieldFilters="0" chartFormat="23">
  <location ref="A1:D16" firstHeaderRow="1" firstDataRow="2" firstDataCol="1"/>
  <pivotFields count="21">
    <pivotField dataField="1" showAll="0"/>
    <pivotField showAll="0"/>
    <pivotField axis="axisRow" showAll="0">
      <items count="14">
        <item x="0"/>
        <item x="1"/>
        <item x="2"/>
        <item x="3"/>
        <item x="4"/>
        <item x="5"/>
        <item x="6"/>
        <item x="7"/>
        <item x="8"/>
        <item x="9"/>
        <item x="10"/>
        <item x="11"/>
        <item x="1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2"/>
  </rowFields>
  <rowItems count="14">
    <i>
      <x/>
    </i>
    <i>
      <x v="1"/>
    </i>
    <i>
      <x v="2"/>
    </i>
    <i>
      <x v="3"/>
    </i>
    <i>
      <x v="4"/>
    </i>
    <i>
      <x v="5"/>
    </i>
    <i>
      <x v="6"/>
    </i>
    <i>
      <x v="7"/>
    </i>
    <i>
      <x v="8"/>
    </i>
    <i>
      <x v="9"/>
    </i>
    <i>
      <x v="10"/>
    </i>
    <i>
      <x v="11"/>
    </i>
    <i>
      <x v="12"/>
    </i>
    <i t="grand">
      <x/>
    </i>
  </rowItems>
  <colFields count="1">
    <field x="18"/>
  </colFields>
  <colItems count="3">
    <i>
      <x/>
    </i>
    <i>
      <x v="1"/>
    </i>
    <i t="grand">
      <x/>
    </i>
  </colItems>
  <dataFields count="1">
    <dataField name="Count of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8" count="1" selected="0">
            <x v="0"/>
          </reference>
        </references>
      </pivotArea>
    </chartFormat>
    <chartFormat chart="0" format="4" series="1">
      <pivotArea type="data" outline="0" fieldPosition="0">
        <references count="2">
          <reference field="4294967294" count="1" selected="0">
            <x v="0"/>
          </reference>
          <reference field="18" count="1" selected="0">
            <x v="1"/>
          </reference>
        </references>
      </pivotArea>
    </chartFormat>
    <chartFormat chart="22" format="7" series="1">
      <pivotArea type="data" outline="0" fieldPosition="0">
        <references count="2">
          <reference field="4294967294" count="1" selected="0">
            <x v="0"/>
          </reference>
          <reference field="18" count="1" selected="0">
            <x v="0"/>
          </reference>
        </references>
      </pivotArea>
    </chartFormat>
    <chartFormat chart="22" format="8"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 cacheId="2" applyNumberFormats="0" applyBorderFormats="0" applyFontFormats="0" applyPatternFormats="0" applyAlignmentFormats="0" applyWidthHeightFormats="1" dataCaption="Values" updatedVersion="5" minRefreshableVersion="3" showDrill="0" useAutoFormatting="1" itemPrintTitles="1" createdVersion="8" indent="0" outline="1" outlineData="1" chartFormat="14">
  <location ref="A1:B9" firstHeaderRow="1" firstDataRow="1" firstDataCol="1"/>
  <pivotFields count="21">
    <pivotField dataField="1" showAll="0"/>
    <pivotField showAll="0"/>
    <pivotField showAll="0" defaultSubtotal="0">
      <items count="13">
        <item x="0"/>
        <item x="1"/>
        <item x="2"/>
        <item x="3"/>
        <item x="4"/>
        <item x="5"/>
        <item x="6"/>
        <item x="7"/>
        <item x="8"/>
        <item x="9"/>
        <item x="10"/>
        <item x="11"/>
        <item x="12"/>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49">
        <item x="43"/>
        <item x="45"/>
        <item x="26"/>
        <item x="46"/>
        <item x="15"/>
        <item x="17"/>
        <item x="18"/>
        <item x="20"/>
        <item x="3"/>
        <item x="34"/>
        <item x="19"/>
        <item x="21"/>
        <item x="13"/>
        <item x="32"/>
        <item x="31"/>
        <item x="44"/>
        <item x="7"/>
        <item x="23"/>
        <item x="36"/>
        <item x="30"/>
        <item x="37"/>
        <item x="1"/>
        <item x="11"/>
        <item x="40"/>
        <item x="33"/>
        <item x="16"/>
        <item x="38"/>
        <item x="24"/>
        <item x="5"/>
        <item x="47"/>
        <item x="12"/>
        <item x="14"/>
        <item x="6"/>
        <item x="28"/>
        <item x="35"/>
        <item x="29"/>
        <item x="8"/>
        <item x="27"/>
        <item x="10"/>
        <item x="4"/>
        <item x="39"/>
        <item x="9"/>
        <item x="0"/>
        <item x="22"/>
        <item x="2"/>
        <item x="25"/>
        <item x="41"/>
        <item x="42"/>
        <item t="default"/>
      </items>
    </pivotField>
    <pivotField showAll="0"/>
    <pivotField showAll="0">
      <items count="14">
        <item x="0"/>
        <item x="1"/>
        <item x="2"/>
        <item x="3"/>
        <item x="4"/>
        <item x="5"/>
        <item x="6"/>
        <item x="7"/>
        <item x="8"/>
        <item x="9"/>
        <item x="10"/>
        <item x="11"/>
        <item x="12"/>
        <item t="default"/>
      </items>
    </pivotField>
    <pivotField showAll="0"/>
    <pivotField showAll="0" defaultSubtotal="0"/>
    <pivotField showAll="0"/>
  </pivotFields>
  <rowFields count="1">
    <field x="15"/>
  </rowFields>
  <rowItems count="8">
    <i>
      <x v="10"/>
    </i>
    <i>
      <x v="22"/>
    </i>
    <i>
      <x v="30"/>
    </i>
    <i>
      <x v="39"/>
    </i>
    <i>
      <x v="42"/>
    </i>
    <i>
      <x v="44"/>
    </i>
    <i>
      <x v="45"/>
    </i>
    <i t="grand">
      <x/>
    </i>
  </rowItems>
  <colItems count="1">
    <i/>
  </colItems>
  <dataFields count="1">
    <dataField name="Count of ID" fld="0" subtotal="count" baseField="14"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7" firstHeaderRow="1" firstDataRow="1" firstDataCol="1"/>
  <pivotFields count="19">
    <pivotField showAll="0"/>
    <pivotField showAll="0"/>
    <pivotField showAll="0" defaultSubtotal="0"/>
    <pivotField showAll="0"/>
    <pivotField showAll="0"/>
    <pivotField showAll="0">
      <items count="39">
        <item x="19"/>
        <item x="17"/>
        <item x="13"/>
        <item x="15"/>
        <item x="8"/>
        <item x="24"/>
        <item x="30"/>
        <item x="4"/>
        <item x="2"/>
        <item x="33"/>
        <item x="21"/>
        <item x="23"/>
        <item x="27"/>
        <item x="11"/>
        <item m="1" x="36"/>
        <item x="0"/>
        <item m="1" x="37"/>
        <item x="7"/>
        <item x="31"/>
        <item x="22"/>
        <item x="14"/>
        <item x="9"/>
        <item x="16"/>
        <item m="1" x="35"/>
        <item x="1"/>
        <item x="6"/>
        <item x="18"/>
        <item x="32"/>
        <item x="5"/>
        <item x="26"/>
        <item x="29"/>
        <item x="28"/>
        <item x="10"/>
        <item x="25"/>
        <item x="12"/>
        <item x="20"/>
        <item x="3"/>
        <item x="34"/>
        <item t="default"/>
      </items>
    </pivotField>
    <pivotField axis="axisRow" showAll="0">
      <items count="15">
        <item x="7"/>
        <item x="6"/>
        <item x="2"/>
        <item x="11"/>
        <item x="8"/>
        <item x="4"/>
        <item x="3"/>
        <item x="9"/>
        <item x="1"/>
        <item x="5"/>
        <item x="12"/>
        <item x="0"/>
        <item x="10"/>
        <item h="1" x="13"/>
        <item t="default"/>
      </items>
    </pivotField>
    <pivotField showAll="0"/>
    <pivotField showAll="0"/>
    <pivotField showAll="0"/>
    <pivotField dataField="1" showAll="0">
      <items count="15">
        <item x="1"/>
        <item x="6"/>
        <item x="2"/>
        <item x="12"/>
        <item x="9"/>
        <item x="0"/>
        <item x="7"/>
        <item x="8"/>
        <item x="5"/>
        <item x="4"/>
        <item x="11"/>
        <item x="3"/>
        <item x="10"/>
        <item x="1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Count of Winner" fld="10" subtotal="count" baseField="0" baseItem="0"/>
  </dataFields>
  <chartFormats count="2">
    <chartFormat chart="0" format="14"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6" firstHeaderRow="1" firstDataRow="1" firstDataCol="1"/>
  <pivotFields count="19">
    <pivotField showAll="0"/>
    <pivotField showAll="0"/>
    <pivotField showAll="0" defaultSubtotal="0"/>
    <pivotField showAll="0"/>
    <pivotField showAll="0"/>
    <pivotField showAll="0">
      <items count="39">
        <item x="19"/>
        <item x="17"/>
        <item x="13"/>
        <item x="15"/>
        <item x="8"/>
        <item x="24"/>
        <item x="30"/>
        <item x="4"/>
        <item x="2"/>
        <item x="33"/>
        <item x="21"/>
        <item x="23"/>
        <item x="27"/>
        <item x="11"/>
        <item m="1" x="36"/>
        <item x="0"/>
        <item m="1" x="37"/>
        <item x="7"/>
        <item x="31"/>
        <item x="22"/>
        <item x="14"/>
        <item x="9"/>
        <item x="16"/>
        <item m="1" x="35"/>
        <item x="1"/>
        <item x="6"/>
        <item x="18"/>
        <item x="32"/>
        <item x="5"/>
        <item x="26"/>
        <item x="29"/>
        <item x="28"/>
        <item x="10"/>
        <item x="25"/>
        <item x="12"/>
        <item x="20"/>
        <item x="3"/>
        <item x="34"/>
        <item t="default"/>
      </items>
    </pivotField>
    <pivotField showAll="0"/>
    <pivotField showAll="0"/>
    <pivotField showAll="0"/>
    <pivotField showAll="0"/>
    <pivotField dataField="1" showAll="0">
      <items count="15">
        <item x="1"/>
        <item x="6"/>
        <item x="2"/>
        <item x="12"/>
        <item x="9"/>
        <item x="0"/>
        <item x="7"/>
        <item x="8"/>
        <item x="5"/>
        <item x="4"/>
        <item x="11"/>
        <item x="3"/>
        <item x="10"/>
        <item x="13"/>
        <item t="default"/>
      </items>
    </pivotField>
    <pivotField showAll="0"/>
    <pivotField showAll="0"/>
    <pivotField showAll="0"/>
    <pivotField showAll="0"/>
    <pivotField showAll="0"/>
    <pivotField showAll="0"/>
    <pivotField showAll="0"/>
    <pivotField axis="axisRow" showAll="0">
      <items count="4">
        <item x="0"/>
        <item x="1"/>
        <item h="1" x="2"/>
        <item t="default"/>
      </items>
    </pivotField>
  </pivotFields>
  <rowFields count="1">
    <field x="18"/>
  </rowFields>
  <rowItems count="3">
    <i>
      <x/>
    </i>
    <i>
      <x v="1"/>
    </i>
    <i t="grand">
      <x/>
    </i>
  </rowItems>
  <colItems count="1">
    <i/>
  </colItems>
  <dataFields count="1">
    <dataField name="Count of Winner" fld="10"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8" count="1" selected="0">
            <x v="0"/>
          </reference>
        </references>
      </pivotArea>
    </chartFormat>
    <chartFormat chart="0" format="5">
      <pivotArea type="data" outline="0" fieldPosition="0">
        <references count="2">
          <reference field="4294967294" count="1" selected="0">
            <x v="0"/>
          </reference>
          <reference field="18" count="1" selected="0">
            <x v="1"/>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8" count="1" selected="0">
            <x v="0"/>
          </reference>
        </references>
      </pivotArea>
    </chartFormat>
    <chartFormat chart="28" format="1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9">
    <pivotField showAll="0"/>
    <pivotField showAll="0"/>
    <pivotField showAll="0" defaultSubtotal="0"/>
    <pivotField showAll="0"/>
    <pivotField axis="axisRow" dataField="1" showAll="0" measureFilter="1" sortType="descending" maxSubtotal="1">
      <items count="234">
        <item x="133"/>
        <item x="34"/>
        <item x="28"/>
        <item x="23"/>
        <item x="226"/>
        <item x="58"/>
        <item x="72"/>
        <item x="182"/>
        <item x="73"/>
        <item x="46"/>
        <item x="177"/>
        <item x="11"/>
        <item x="75"/>
        <item x="122"/>
        <item x="69"/>
        <item x="162"/>
        <item x="137"/>
        <item x="189"/>
        <item x="117"/>
        <item x="147"/>
        <item x="158"/>
        <item x="214"/>
        <item x="205"/>
        <item x="82"/>
        <item x="131"/>
        <item x="155"/>
        <item x="65"/>
        <item x="203"/>
        <item x="110"/>
        <item x="190"/>
        <item x="0"/>
        <item x="185"/>
        <item x="66"/>
        <item x="132"/>
        <item x="151"/>
        <item x="45"/>
        <item x="178"/>
        <item x="156"/>
        <item x="224"/>
        <item x="128"/>
        <item x="179"/>
        <item x="25"/>
        <item x="223"/>
        <item x="141"/>
        <item x="78"/>
        <item x="94"/>
        <item x="31"/>
        <item x="160"/>
        <item x="4"/>
        <item x="143"/>
        <item x="217"/>
        <item x="42"/>
        <item x="51"/>
        <item x="29"/>
        <item x="60"/>
        <item x="100"/>
        <item x="169"/>
        <item x="121"/>
        <item x="56"/>
        <item x="30"/>
        <item x="15"/>
        <item x="140"/>
        <item x="161"/>
        <item x="150"/>
        <item x="62"/>
        <item x="88"/>
        <item x="216"/>
        <item x="50"/>
        <item x="170"/>
        <item x="184"/>
        <item x="197"/>
        <item x="104"/>
        <item x="19"/>
        <item x="218"/>
        <item x="106"/>
        <item x="208"/>
        <item x="105"/>
        <item x="36"/>
        <item x="204"/>
        <item x="192"/>
        <item x="124"/>
        <item x="92"/>
        <item x="10"/>
        <item x="114"/>
        <item x="55"/>
        <item x="188"/>
        <item x="202"/>
        <item x="212"/>
        <item x="52"/>
        <item x="138"/>
        <item x="215"/>
        <item x="89"/>
        <item x="9"/>
        <item x="35"/>
        <item x="183"/>
        <item x="220"/>
        <item x="145"/>
        <item x="157"/>
        <item x="200"/>
        <item x="76"/>
        <item x="219"/>
        <item x="127"/>
        <item x="81"/>
        <item x="191"/>
        <item x="209"/>
        <item x="199"/>
        <item x="26"/>
        <item x="211"/>
        <item x="193"/>
        <item x="148"/>
        <item x="159"/>
        <item x="67"/>
        <item x="61"/>
        <item x="93"/>
        <item x="120"/>
        <item x="44"/>
        <item x="32"/>
        <item x="80"/>
        <item x="136"/>
        <item x="163"/>
        <item x="165"/>
        <item x="129"/>
        <item x="171"/>
        <item x="99"/>
        <item x="1"/>
        <item x="2"/>
        <item x="144"/>
        <item x="84"/>
        <item x="173"/>
        <item x="68"/>
        <item x="70"/>
        <item x="7"/>
        <item x="102"/>
        <item x="152"/>
        <item x="119"/>
        <item x="194"/>
        <item x="196"/>
        <item x="181"/>
        <item x="109"/>
        <item x="135"/>
        <item x="13"/>
        <item x="139"/>
        <item x="207"/>
        <item x="175"/>
        <item x="3"/>
        <item x="187"/>
        <item x="168"/>
        <item x="77"/>
        <item x="37"/>
        <item x="130"/>
        <item x="107"/>
        <item x="146"/>
        <item x="98"/>
        <item x="83"/>
        <item x="230"/>
        <item x="229"/>
        <item x="87"/>
        <item x="48"/>
        <item x="231"/>
        <item x="153"/>
        <item x="174"/>
        <item x="90"/>
        <item x="63"/>
        <item x="41"/>
        <item x="91"/>
        <item x="108"/>
        <item x="228"/>
        <item x="18"/>
        <item x="118"/>
        <item x="195"/>
        <item x="186"/>
        <item x="227"/>
        <item x="115"/>
        <item x="57"/>
        <item x="86"/>
        <item x="43"/>
        <item x="180"/>
        <item x="47"/>
        <item x="74"/>
        <item x="95"/>
        <item x="111"/>
        <item x="59"/>
        <item x="113"/>
        <item x="210"/>
        <item x="126"/>
        <item x="101"/>
        <item x="22"/>
        <item x="17"/>
        <item x="176"/>
        <item x="154"/>
        <item x="54"/>
        <item x="97"/>
        <item x="24"/>
        <item x="16"/>
        <item x="123"/>
        <item x="225"/>
        <item x="27"/>
        <item x="221"/>
        <item x="39"/>
        <item x="96"/>
        <item x="64"/>
        <item x="79"/>
        <item x="213"/>
        <item x="12"/>
        <item x="20"/>
        <item x="222"/>
        <item x="21"/>
        <item x="33"/>
        <item x="125"/>
        <item x="116"/>
        <item x="40"/>
        <item x="5"/>
        <item x="164"/>
        <item x="14"/>
        <item x="142"/>
        <item x="201"/>
        <item x="167"/>
        <item x="206"/>
        <item x="85"/>
        <item x="49"/>
        <item x="38"/>
        <item x="134"/>
        <item x="103"/>
        <item x="6"/>
        <item x="166"/>
        <item x="198"/>
        <item x="112"/>
        <item x="71"/>
        <item x="8"/>
        <item x="149"/>
        <item x="53"/>
        <item x="172"/>
        <item x="232"/>
        <item t="max"/>
      </items>
      <autoSortScope>
        <pivotArea dataOnly="0" outline="0" fieldPosition="0">
          <references count="1">
            <reference field="4294967294" count="1" selected="0">
              <x v="0"/>
            </reference>
          </references>
        </pivotArea>
      </autoSortScope>
    </pivotField>
    <pivotField showAll="0">
      <items count="39">
        <item x="19"/>
        <item x="17"/>
        <item x="13"/>
        <item x="15"/>
        <item x="8"/>
        <item x="24"/>
        <item x="30"/>
        <item x="4"/>
        <item x="2"/>
        <item x="33"/>
        <item x="21"/>
        <item x="23"/>
        <item x="27"/>
        <item x="11"/>
        <item m="1" x="36"/>
        <item x="0"/>
        <item m="1" x="37"/>
        <item x="7"/>
        <item x="31"/>
        <item x="22"/>
        <item x="14"/>
        <item x="9"/>
        <item x="16"/>
        <item m="1" x="35"/>
        <item x="1"/>
        <item x="6"/>
        <item x="18"/>
        <item x="32"/>
        <item x="5"/>
        <item x="26"/>
        <item x="29"/>
        <item x="28"/>
        <item x="10"/>
        <item x="25"/>
        <item x="12"/>
        <item x="20"/>
        <item x="3"/>
        <item x="34"/>
        <item t="default"/>
      </items>
    </pivotField>
    <pivotField showAll="0"/>
    <pivotField showAll="0"/>
    <pivotField showAll="0"/>
    <pivotField showAll="0"/>
    <pivotField showAll="0">
      <items count="15">
        <item x="1"/>
        <item x="6"/>
        <item x="2"/>
        <item x="12"/>
        <item x="9"/>
        <item x="0"/>
        <item x="7"/>
        <item x="8"/>
        <item x="5"/>
        <item x="4"/>
        <item x="11"/>
        <item x="3"/>
        <item x="10"/>
        <item x="13"/>
        <item t="default"/>
      </items>
    </pivotField>
    <pivotField showAll="0"/>
    <pivotField showAll="0"/>
    <pivotField showAll="0"/>
    <pivotField showAll="0"/>
    <pivotField showAll="0"/>
    <pivotField showAll="0"/>
    <pivotField showAll="0"/>
    <pivotField showAll="0"/>
  </pivotFields>
  <rowFields count="1">
    <field x="4"/>
  </rowFields>
  <rowItems count="13">
    <i>
      <x v="35"/>
    </i>
    <i>
      <x v="9"/>
    </i>
    <i>
      <x v="173"/>
    </i>
    <i>
      <x v="44"/>
    </i>
    <i>
      <x v="140"/>
    </i>
    <i>
      <x v="211"/>
    </i>
    <i>
      <x v="228"/>
    </i>
    <i>
      <x v="198"/>
    </i>
    <i>
      <x v="58"/>
    </i>
    <i>
      <x v="222"/>
    </i>
    <i>
      <x v="18"/>
    </i>
    <i>
      <x v="124"/>
    </i>
    <i t="grand">
      <x/>
    </i>
  </rowItems>
  <colItems count="1">
    <i/>
  </colItems>
  <dataFields count="1">
    <dataField name="Count of Player of the Match" fld="4" subtotal="count" baseField="3" baseItem="0"/>
  </dataFields>
  <chartFormats count="23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5"/>
          </reference>
        </references>
      </pivotArea>
    </chartFormat>
    <chartFormat chart="2" format="6" series="1">
      <pivotArea type="data" outline="0" fieldPosition="0">
        <references count="2">
          <reference field="4294967294" count="1" selected="0">
            <x v="0"/>
          </reference>
          <reference field="4" count="1" selected="0">
            <x v="6"/>
          </reference>
        </references>
      </pivotArea>
    </chartFormat>
    <chartFormat chart="2" format="7" series="1">
      <pivotArea type="data" outline="0" fieldPosition="0">
        <references count="2">
          <reference field="4294967294" count="1" selected="0">
            <x v="0"/>
          </reference>
          <reference field="4" count="1" selected="0">
            <x v="7"/>
          </reference>
        </references>
      </pivotArea>
    </chartFormat>
    <chartFormat chart="2" format="8" series="1">
      <pivotArea type="data" outline="0" fieldPosition="0">
        <references count="2">
          <reference field="4294967294" count="1" selected="0">
            <x v="0"/>
          </reference>
          <reference field="4" count="1" selected="0">
            <x v="8"/>
          </reference>
        </references>
      </pivotArea>
    </chartFormat>
    <chartFormat chart="2" format="9" series="1">
      <pivotArea type="data" outline="0" fieldPosition="0">
        <references count="2">
          <reference field="4294967294" count="1" selected="0">
            <x v="0"/>
          </reference>
          <reference field="4" count="1" selected="0">
            <x v="9"/>
          </reference>
        </references>
      </pivotArea>
    </chartFormat>
    <chartFormat chart="2" format="10" series="1">
      <pivotArea type="data" outline="0" fieldPosition="0">
        <references count="2">
          <reference field="4294967294" count="1" selected="0">
            <x v="0"/>
          </reference>
          <reference field="4" count="1" selected="0">
            <x v="10"/>
          </reference>
        </references>
      </pivotArea>
    </chartFormat>
    <chartFormat chart="2" format="11" series="1">
      <pivotArea type="data" outline="0" fieldPosition="0">
        <references count="2">
          <reference field="4294967294" count="1" selected="0">
            <x v="0"/>
          </reference>
          <reference field="4" count="1" selected="0">
            <x v="11"/>
          </reference>
        </references>
      </pivotArea>
    </chartFormat>
    <chartFormat chart="2" format="12" series="1">
      <pivotArea type="data" outline="0" fieldPosition="0">
        <references count="2">
          <reference field="4294967294" count="1" selected="0">
            <x v="0"/>
          </reference>
          <reference field="4" count="1" selected="0">
            <x v="12"/>
          </reference>
        </references>
      </pivotArea>
    </chartFormat>
    <chartFormat chart="2" format="13" series="1">
      <pivotArea type="data" outline="0" fieldPosition="0">
        <references count="2">
          <reference field="4294967294" count="1" selected="0">
            <x v="0"/>
          </reference>
          <reference field="4" count="1" selected="0">
            <x v="13"/>
          </reference>
        </references>
      </pivotArea>
    </chartFormat>
    <chartFormat chart="2" format="14" series="1">
      <pivotArea type="data" outline="0" fieldPosition="0">
        <references count="2">
          <reference field="4294967294" count="1" selected="0">
            <x v="0"/>
          </reference>
          <reference field="4" count="1" selected="0">
            <x v="14"/>
          </reference>
        </references>
      </pivotArea>
    </chartFormat>
    <chartFormat chart="2" format="15" series="1">
      <pivotArea type="data" outline="0" fieldPosition="0">
        <references count="2">
          <reference field="4294967294" count="1" selected="0">
            <x v="0"/>
          </reference>
          <reference field="4" count="1" selected="0">
            <x v="15"/>
          </reference>
        </references>
      </pivotArea>
    </chartFormat>
    <chartFormat chart="2" format="16" series="1">
      <pivotArea type="data" outline="0" fieldPosition="0">
        <references count="2">
          <reference field="4294967294" count="1" selected="0">
            <x v="0"/>
          </reference>
          <reference field="4" count="1" selected="0">
            <x v="16"/>
          </reference>
        </references>
      </pivotArea>
    </chartFormat>
    <chartFormat chart="2" format="17" series="1">
      <pivotArea type="data" outline="0" fieldPosition="0">
        <references count="2">
          <reference field="4294967294" count="1" selected="0">
            <x v="0"/>
          </reference>
          <reference field="4" count="1" selected="0">
            <x v="17"/>
          </reference>
        </references>
      </pivotArea>
    </chartFormat>
    <chartFormat chart="2" format="18" series="1">
      <pivotArea type="data" outline="0" fieldPosition="0">
        <references count="2">
          <reference field="4294967294" count="1" selected="0">
            <x v="0"/>
          </reference>
          <reference field="4" count="1" selected="0">
            <x v="18"/>
          </reference>
        </references>
      </pivotArea>
    </chartFormat>
    <chartFormat chart="2" format="19" series="1">
      <pivotArea type="data" outline="0" fieldPosition="0">
        <references count="2">
          <reference field="4294967294" count="1" selected="0">
            <x v="0"/>
          </reference>
          <reference field="4" count="1" selected="0">
            <x v="19"/>
          </reference>
        </references>
      </pivotArea>
    </chartFormat>
    <chartFormat chart="2" format="20" series="1">
      <pivotArea type="data" outline="0" fieldPosition="0">
        <references count="2">
          <reference field="4294967294" count="1" selected="0">
            <x v="0"/>
          </reference>
          <reference field="4" count="1" selected="0">
            <x v="20"/>
          </reference>
        </references>
      </pivotArea>
    </chartFormat>
    <chartFormat chart="2" format="21" series="1">
      <pivotArea type="data" outline="0" fieldPosition="0">
        <references count="2">
          <reference field="4294967294" count="1" selected="0">
            <x v="0"/>
          </reference>
          <reference field="4" count="1" selected="0">
            <x v="21"/>
          </reference>
        </references>
      </pivotArea>
    </chartFormat>
    <chartFormat chart="2" format="22" series="1">
      <pivotArea type="data" outline="0" fieldPosition="0">
        <references count="2">
          <reference field="4294967294" count="1" selected="0">
            <x v="0"/>
          </reference>
          <reference field="4" count="1" selected="0">
            <x v="22"/>
          </reference>
        </references>
      </pivotArea>
    </chartFormat>
    <chartFormat chart="2" format="23" series="1">
      <pivotArea type="data" outline="0" fieldPosition="0">
        <references count="2">
          <reference field="4294967294" count="1" selected="0">
            <x v="0"/>
          </reference>
          <reference field="4" count="1" selected="0">
            <x v="23"/>
          </reference>
        </references>
      </pivotArea>
    </chartFormat>
    <chartFormat chart="2" format="24" series="1">
      <pivotArea type="data" outline="0" fieldPosition="0">
        <references count="2">
          <reference field="4294967294" count="1" selected="0">
            <x v="0"/>
          </reference>
          <reference field="4" count="1" selected="0">
            <x v="24"/>
          </reference>
        </references>
      </pivotArea>
    </chartFormat>
    <chartFormat chart="2" format="25" series="1">
      <pivotArea type="data" outline="0" fieldPosition="0">
        <references count="2">
          <reference field="4294967294" count="1" selected="0">
            <x v="0"/>
          </reference>
          <reference field="4" count="1" selected="0">
            <x v="25"/>
          </reference>
        </references>
      </pivotArea>
    </chartFormat>
    <chartFormat chart="2" format="26" series="1">
      <pivotArea type="data" outline="0" fieldPosition="0">
        <references count="2">
          <reference field="4294967294" count="1" selected="0">
            <x v="0"/>
          </reference>
          <reference field="4" count="1" selected="0">
            <x v="26"/>
          </reference>
        </references>
      </pivotArea>
    </chartFormat>
    <chartFormat chart="2" format="27" series="1">
      <pivotArea type="data" outline="0" fieldPosition="0">
        <references count="2">
          <reference field="4294967294" count="1" selected="0">
            <x v="0"/>
          </reference>
          <reference field="4" count="1" selected="0">
            <x v="27"/>
          </reference>
        </references>
      </pivotArea>
    </chartFormat>
    <chartFormat chart="2" format="28" series="1">
      <pivotArea type="data" outline="0" fieldPosition="0">
        <references count="2">
          <reference field="4294967294" count="1" selected="0">
            <x v="0"/>
          </reference>
          <reference field="4" count="1" selected="0">
            <x v="28"/>
          </reference>
        </references>
      </pivotArea>
    </chartFormat>
    <chartFormat chart="2" format="29" series="1">
      <pivotArea type="data" outline="0" fieldPosition="0">
        <references count="2">
          <reference field="4294967294" count="1" selected="0">
            <x v="0"/>
          </reference>
          <reference field="4" count="1" selected="0">
            <x v="29"/>
          </reference>
        </references>
      </pivotArea>
    </chartFormat>
    <chartFormat chart="2" format="30" series="1">
      <pivotArea type="data" outline="0" fieldPosition="0">
        <references count="2">
          <reference field="4294967294" count="1" selected="0">
            <x v="0"/>
          </reference>
          <reference field="4" count="1" selected="0">
            <x v="30"/>
          </reference>
        </references>
      </pivotArea>
    </chartFormat>
    <chartFormat chart="2" format="31" series="1">
      <pivotArea type="data" outline="0" fieldPosition="0">
        <references count="2">
          <reference field="4294967294" count="1" selected="0">
            <x v="0"/>
          </reference>
          <reference field="4" count="1" selected="0">
            <x v="31"/>
          </reference>
        </references>
      </pivotArea>
    </chartFormat>
    <chartFormat chart="2" format="32" series="1">
      <pivotArea type="data" outline="0" fieldPosition="0">
        <references count="2">
          <reference field="4294967294" count="1" selected="0">
            <x v="0"/>
          </reference>
          <reference field="4" count="1" selected="0">
            <x v="32"/>
          </reference>
        </references>
      </pivotArea>
    </chartFormat>
    <chartFormat chart="2" format="33" series="1">
      <pivotArea type="data" outline="0" fieldPosition="0">
        <references count="2">
          <reference field="4294967294" count="1" selected="0">
            <x v="0"/>
          </reference>
          <reference field="4" count="1" selected="0">
            <x v="33"/>
          </reference>
        </references>
      </pivotArea>
    </chartFormat>
    <chartFormat chart="2" format="34" series="1">
      <pivotArea type="data" outline="0" fieldPosition="0">
        <references count="2">
          <reference field="4294967294" count="1" selected="0">
            <x v="0"/>
          </reference>
          <reference field="4" count="1" selected="0">
            <x v="34"/>
          </reference>
        </references>
      </pivotArea>
    </chartFormat>
    <chartFormat chart="2" format="35" series="1">
      <pivotArea type="data" outline="0" fieldPosition="0">
        <references count="2">
          <reference field="4294967294" count="1" selected="0">
            <x v="0"/>
          </reference>
          <reference field="4" count="1" selected="0">
            <x v="35"/>
          </reference>
        </references>
      </pivotArea>
    </chartFormat>
    <chartFormat chart="2" format="36" series="1">
      <pivotArea type="data" outline="0" fieldPosition="0">
        <references count="2">
          <reference field="4294967294" count="1" selected="0">
            <x v="0"/>
          </reference>
          <reference field="4" count="1" selected="0">
            <x v="36"/>
          </reference>
        </references>
      </pivotArea>
    </chartFormat>
    <chartFormat chart="2" format="37" series="1">
      <pivotArea type="data" outline="0" fieldPosition="0">
        <references count="2">
          <reference field="4294967294" count="1" selected="0">
            <x v="0"/>
          </reference>
          <reference field="4" count="1" selected="0">
            <x v="37"/>
          </reference>
        </references>
      </pivotArea>
    </chartFormat>
    <chartFormat chart="2" format="38" series="1">
      <pivotArea type="data" outline="0" fieldPosition="0">
        <references count="2">
          <reference field="4294967294" count="1" selected="0">
            <x v="0"/>
          </reference>
          <reference field="4" count="1" selected="0">
            <x v="38"/>
          </reference>
        </references>
      </pivotArea>
    </chartFormat>
    <chartFormat chart="2" format="39" series="1">
      <pivotArea type="data" outline="0" fieldPosition="0">
        <references count="2">
          <reference field="4294967294" count="1" selected="0">
            <x v="0"/>
          </reference>
          <reference field="4" count="1" selected="0">
            <x v="39"/>
          </reference>
        </references>
      </pivotArea>
    </chartFormat>
    <chartFormat chart="2" format="40" series="1">
      <pivotArea type="data" outline="0" fieldPosition="0">
        <references count="2">
          <reference field="4294967294" count="1" selected="0">
            <x v="0"/>
          </reference>
          <reference field="4" count="1" selected="0">
            <x v="40"/>
          </reference>
        </references>
      </pivotArea>
    </chartFormat>
    <chartFormat chart="2" format="41" series="1">
      <pivotArea type="data" outline="0" fieldPosition="0">
        <references count="2">
          <reference field="4294967294" count="1" selected="0">
            <x v="0"/>
          </reference>
          <reference field="4" count="1" selected="0">
            <x v="41"/>
          </reference>
        </references>
      </pivotArea>
    </chartFormat>
    <chartFormat chart="2" format="42" series="1">
      <pivotArea type="data" outline="0" fieldPosition="0">
        <references count="2">
          <reference field="4294967294" count="1" selected="0">
            <x v="0"/>
          </reference>
          <reference field="4" count="1" selected="0">
            <x v="42"/>
          </reference>
        </references>
      </pivotArea>
    </chartFormat>
    <chartFormat chart="2" format="43" series="1">
      <pivotArea type="data" outline="0" fieldPosition="0">
        <references count="2">
          <reference field="4294967294" count="1" selected="0">
            <x v="0"/>
          </reference>
          <reference field="4" count="1" selected="0">
            <x v="43"/>
          </reference>
        </references>
      </pivotArea>
    </chartFormat>
    <chartFormat chart="2" format="44" series="1">
      <pivotArea type="data" outline="0" fieldPosition="0">
        <references count="2">
          <reference field="4294967294" count="1" selected="0">
            <x v="0"/>
          </reference>
          <reference field="4" count="1" selected="0">
            <x v="44"/>
          </reference>
        </references>
      </pivotArea>
    </chartFormat>
    <chartFormat chart="2" format="45" series="1">
      <pivotArea type="data" outline="0" fieldPosition="0">
        <references count="2">
          <reference field="4294967294" count="1" selected="0">
            <x v="0"/>
          </reference>
          <reference field="4" count="1" selected="0">
            <x v="45"/>
          </reference>
        </references>
      </pivotArea>
    </chartFormat>
    <chartFormat chart="2" format="46" series="1">
      <pivotArea type="data" outline="0" fieldPosition="0">
        <references count="2">
          <reference field="4294967294" count="1" selected="0">
            <x v="0"/>
          </reference>
          <reference field="4" count="1" selected="0">
            <x v="46"/>
          </reference>
        </references>
      </pivotArea>
    </chartFormat>
    <chartFormat chart="2" format="47" series="1">
      <pivotArea type="data" outline="0" fieldPosition="0">
        <references count="2">
          <reference field="4294967294" count="1" selected="0">
            <x v="0"/>
          </reference>
          <reference field="4" count="1" selected="0">
            <x v="47"/>
          </reference>
        </references>
      </pivotArea>
    </chartFormat>
    <chartFormat chart="2" format="48" series="1">
      <pivotArea type="data" outline="0" fieldPosition="0">
        <references count="2">
          <reference field="4294967294" count="1" selected="0">
            <x v="0"/>
          </reference>
          <reference field="4" count="1" selected="0">
            <x v="48"/>
          </reference>
        </references>
      </pivotArea>
    </chartFormat>
    <chartFormat chart="2" format="49" series="1">
      <pivotArea type="data" outline="0" fieldPosition="0">
        <references count="2">
          <reference field="4294967294" count="1" selected="0">
            <x v="0"/>
          </reference>
          <reference field="4" count="1" selected="0">
            <x v="49"/>
          </reference>
        </references>
      </pivotArea>
    </chartFormat>
    <chartFormat chart="2" format="50" series="1">
      <pivotArea type="data" outline="0" fieldPosition="0">
        <references count="2">
          <reference field="4294967294" count="1" selected="0">
            <x v="0"/>
          </reference>
          <reference field="4" count="1" selected="0">
            <x v="50"/>
          </reference>
        </references>
      </pivotArea>
    </chartFormat>
    <chartFormat chart="2" format="51" series="1">
      <pivotArea type="data" outline="0" fieldPosition="0">
        <references count="2">
          <reference field="4294967294" count="1" selected="0">
            <x v="0"/>
          </reference>
          <reference field="4" count="1" selected="0">
            <x v="51"/>
          </reference>
        </references>
      </pivotArea>
    </chartFormat>
    <chartFormat chart="2" format="52" series="1">
      <pivotArea type="data" outline="0" fieldPosition="0">
        <references count="2">
          <reference field="4294967294" count="1" selected="0">
            <x v="0"/>
          </reference>
          <reference field="4" count="1" selected="0">
            <x v="52"/>
          </reference>
        </references>
      </pivotArea>
    </chartFormat>
    <chartFormat chart="2" format="53" series="1">
      <pivotArea type="data" outline="0" fieldPosition="0">
        <references count="2">
          <reference field="4294967294" count="1" selected="0">
            <x v="0"/>
          </reference>
          <reference field="4" count="1" selected="0">
            <x v="53"/>
          </reference>
        </references>
      </pivotArea>
    </chartFormat>
    <chartFormat chart="2" format="54" series="1">
      <pivotArea type="data" outline="0" fieldPosition="0">
        <references count="2">
          <reference field="4294967294" count="1" selected="0">
            <x v="0"/>
          </reference>
          <reference field="4" count="1" selected="0">
            <x v="54"/>
          </reference>
        </references>
      </pivotArea>
    </chartFormat>
    <chartFormat chart="2" format="55" series="1">
      <pivotArea type="data" outline="0" fieldPosition="0">
        <references count="2">
          <reference field="4294967294" count="1" selected="0">
            <x v="0"/>
          </reference>
          <reference field="4" count="1" selected="0">
            <x v="55"/>
          </reference>
        </references>
      </pivotArea>
    </chartFormat>
    <chartFormat chart="2" format="56" series="1">
      <pivotArea type="data" outline="0" fieldPosition="0">
        <references count="2">
          <reference field="4294967294" count="1" selected="0">
            <x v="0"/>
          </reference>
          <reference field="4" count="1" selected="0">
            <x v="56"/>
          </reference>
        </references>
      </pivotArea>
    </chartFormat>
    <chartFormat chart="2" format="57" series="1">
      <pivotArea type="data" outline="0" fieldPosition="0">
        <references count="2">
          <reference field="4294967294" count="1" selected="0">
            <x v="0"/>
          </reference>
          <reference field="4" count="1" selected="0">
            <x v="57"/>
          </reference>
        </references>
      </pivotArea>
    </chartFormat>
    <chartFormat chart="2" format="58" series="1">
      <pivotArea type="data" outline="0" fieldPosition="0">
        <references count="2">
          <reference field="4294967294" count="1" selected="0">
            <x v="0"/>
          </reference>
          <reference field="4" count="1" selected="0">
            <x v="58"/>
          </reference>
        </references>
      </pivotArea>
    </chartFormat>
    <chartFormat chart="2" format="59" series="1">
      <pivotArea type="data" outline="0" fieldPosition="0">
        <references count="2">
          <reference field="4294967294" count="1" selected="0">
            <x v="0"/>
          </reference>
          <reference field="4" count="1" selected="0">
            <x v="59"/>
          </reference>
        </references>
      </pivotArea>
    </chartFormat>
    <chartFormat chart="2" format="60" series="1">
      <pivotArea type="data" outline="0" fieldPosition="0">
        <references count="2">
          <reference field="4294967294" count="1" selected="0">
            <x v="0"/>
          </reference>
          <reference field="4" count="1" selected="0">
            <x v="60"/>
          </reference>
        </references>
      </pivotArea>
    </chartFormat>
    <chartFormat chart="2" format="61" series="1">
      <pivotArea type="data" outline="0" fieldPosition="0">
        <references count="2">
          <reference field="4294967294" count="1" selected="0">
            <x v="0"/>
          </reference>
          <reference field="4" count="1" selected="0">
            <x v="61"/>
          </reference>
        </references>
      </pivotArea>
    </chartFormat>
    <chartFormat chart="2" format="62" series="1">
      <pivotArea type="data" outline="0" fieldPosition="0">
        <references count="2">
          <reference field="4294967294" count="1" selected="0">
            <x v="0"/>
          </reference>
          <reference field="4" count="1" selected="0">
            <x v="62"/>
          </reference>
        </references>
      </pivotArea>
    </chartFormat>
    <chartFormat chart="2" format="63" series="1">
      <pivotArea type="data" outline="0" fieldPosition="0">
        <references count="2">
          <reference field="4294967294" count="1" selected="0">
            <x v="0"/>
          </reference>
          <reference field="4" count="1" selected="0">
            <x v="63"/>
          </reference>
        </references>
      </pivotArea>
    </chartFormat>
    <chartFormat chart="2" format="64" series="1">
      <pivotArea type="data" outline="0" fieldPosition="0">
        <references count="2">
          <reference field="4294967294" count="1" selected="0">
            <x v="0"/>
          </reference>
          <reference field="4" count="1" selected="0">
            <x v="64"/>
          </reference>
        </references>
      </pivotArea>
    </chartFormat>
    <chartFormat chart="2" format="65" series="1">
      <pivotArea type="data" outline="0" fieldPosition="0">
        <references count="2">
          <reference field="4294967294" count="1" selected="0">
            <x v="0"/>
          </reference>
          <reference field="4" count="1" selected="0">
            <x v="65"/>
          </reference>
        </references>
      </pivotArea>
    </chartFormat>
    <chartFormat chart="2" format="66" series="1">
      <pivotArea type="data" outline="0" fieldPosition="0">
        <references count="2">
          <reference field="4294967294" count="1" selected="0">
            <x v="0"/>
          </reference>
          <reference field="4" count="1" selected="0">
            <x v="66"/>
          </reference>
        </references>
      </pivotArea>
    </chartFormat>
    <chartFormat chart="2" format="67" series="1">
      <pivotArea type="data" outline="0" fieldPosition="0">
        <references count="2">
          <reference field="4294967294" count="1" selected="0">
            <x v="0"/>
          </reference>
          <reference field="4" count="1" selected="0">
            <x v="67"/>
          </reference>
        </references>
      </pivotArea>
    </chartFormat>
    <chartFormat chart="2" format="68" series="1">
      <pivotArea type="data" outline="0" fieldPosition="0">
        <references count="2">
          <reference field="4294967294" count="1" selected="0">
            <x v="0"/>
          </reference>
          <reference field="4" count="1" selected="0">
            <x v="68"/>
          </reference>
        </references>
      </pivotArea>
    </chartFormat>
    <chartFormat chart="2" format="69" series="1">
      <pivotArea type="data" outline="0" fieldPosition="0">
        <references count="2">
          <reference field="4294967294" count="1" selected="0">
            <x v="0"/>
          </reference>
          <reference field="4" count="1" selected="0">
            <x v="69"/>
          </reference>
        </references>
      </pivotArea>
    </chartFormat>
    <chartFormat chart="2" format="70" series="1">
      <pivotArea type="data" outline="0" fieldPosition="0">
        <references count="2">
          <reference field="4294967294" count="1" selected="0">
            <x v="0"/>
          </reference>
          <reference field="4" count="1" selected="0">
            <x v="70"/>
          </reference>
        </references>
      </pivotArea>
    </chartFormat>
    <chartFormat chart="2" format="71" series="1">
      <pivotArea type="data" outline="0" fieldPosition="0">
        <references count="2">
          <reference field="4294967294" count="1" selected="0">
            <x v="0"/>
          </reference>
          <reference field="4" count="1" selected="0">
            <x v="71"/>
          </reference>
        </references>
      </pivotArea>
    </chartFormat>
    <chartFormat chart="2" format="72" series="1">
      <pivotArea type="data" outline="0" fieldPosition="0">
        <references count="2">
          <reference field="4294967294" count="1" selected="0">
            <x v="0"/>
          </reference>
          <reference field="4" count="1" selected="0">
            <x v="72"/>
          </reference>
        </references>
      </pivotArea>
    </chartFormat>
    <chartFormat chart="2" format="73" series="1">
      <pivotArea type="data" outline="0" fieldPosition="0">
        <references count="2">
          <reference field="4294967294" count="1" selected="0">
            <x v="0"/>
          </reference>
          <reference field="4" count="1" selected="0">
            <x v="73"/>
          </reference>
        </references>
      </pivotArea>
    </chartFormat>
    <chartFormat chart="2" format="74" series="1">
      <pivotArea type="data" outline="0" fieldPosition="0">
        <references count="2">
          <reference field="4294967294" count="1" selected="0">
            <x v="0"/>
          </reference>
          <reference field="4" count="1" selected="0">
            <x v="74"/>
          </reference>
        </references>
      </pivotArea>
    </chartFormat>
    <chartFormat chart="2" format="75" series="1">
      <pivotArea type="data" outline="0" fieldPosition="0">
        <references count="2">
          <reference field="4294967294" count="1" selected="0">
            <x v="0"/>
          </reference>
          <reference field="4" count="1" selected="0">
            <x v="75"/>
          </reference>
        </references>
      </pivotArea>
    </chartFormat>
    <chartFormat chart="2" format="76" series="1">
      <pivotArea type="data" outline="0" fieldPosition="0">
        <references count="2">
          <reference field="4294967294" count="1" selected="0">
            <x v="0"/>
          </reference>
          <reference field="4" count="1" selected="0">
            <x v="76"/>
          </reference>
        </references>
      </pivotArea>
    </chartFormat>
    <chartFormat chart="2" format="77" series="1">
      <pivotArea type="data" outline="0" fieldPosition="0">
        <references count="2">
          <reference field="4294967294" count="1" selected="0">
            <x v="0"/>
          </reference>
          <reference field="4" count="1" selected="0">
            <x v="77"/>
          </reference>
        </references>
      </pivotArea>
    </chartFormat>
    <chartFormat chart="2" format="78" series="1">
      <pivotArea type="data" outline="0" fieldPosition="0">
        <references count="2">
          <reference field="4294967294" count="1" selected="0">
            <x v="0"/>
          </reference>
          <reference field="4" count="1" selected="0">
            <x v="78"/>
          </reference>
        </references>
      </pivotArea>
    </chartFormat>
    <chartFormat chart="2" format="79" series="1">
      <pivotArea type="data" outline="0" fieldPosition="0">
        <references count="2">
          <reference field="4294967294" count="1" selected="0">
            <x v="0"/>
          </reference>
          <reference field="4" count="1" selected="0">
            <x v="79"/>
          </reference>
        </references>
      </pivotArea>
    </chartFormat>
    <chartFormat chart="2" format="80" series="1">
      <pivotArea type="data" outline="0" fieldPosition="0">
        <references count="2">
          <reference field="4294967294" count="1" selected="0">
            <x v="0"/>
          </reference>
          <reference field="4" count="1" selected="0">
            <x v="80"/>
          </reference>
        </references>
      </pivotArea>
    </chartFormat>
    <chartFormat chart="2" format="81" series="1">
      <pivotArea type="data" outline="0" fieldPosition="0">
        <references count="2">
          <reference field="4294967294" count="1" selected="0">
            <x v="0"/>
          </reference>
          <reference field="4" count="1" selected="0">
            <x v="81"/>
          </reference>
        </references>
      </pivotArea>
    </chartFormat>
    <chartFormat chart="2" format="82" series="1">
      <pivotArea type="data" outline="0" fieldPosition="0">
        <references count="2">
          <reference field="4294967294" count="1" selected="0">
            <x v="0"/>
          </reference>
          <reference field="4" count="1" selected="0">
            <x v="82"/>
          </reference>
        </references>
      </pivotArea>
    </chartFormat>
    <chartFormat chart="2" format="83" series="1">
      <pivotArea type="data" outline="0" fieldPosition="0">
        <references count="2">
          <reference field="4294967294" count="1" selected="0">
            <x v="0"/>
          </reference>
          <reference field="4" count="1" selected="0">
            <x v="83"/>
          </reference>
        </references>
      </pivotArea>
    </chartFormat>
    <chartFormat chart="2" format="84" series="1">
      <pivotArea type="data" outline="0" fieldPosition="0">
        <references count="2">
          <reference field="4294967294" count="1" selected="0">
            <x v="0"/>
          </reference>
          <reference field="4" count="1" selected="0">
            <x v="84"/>
          </reference>
        </references>
      </pivotArea>
    </chartFormat>
    <chartFormat chart="2" format="85" series="1">
      <pivotArea type="data" outline="0" fieldPosition="0">
        <references count="2">
          <reference field="4294967294" count="1" selected="0">
            <x v="0"/>
          </reference>
          <reference field="4" count="1" selected="0">
            <x v="85"/>
          </reference>
        </references>
      </pivotArea>
    </chartFormat>
    <chartFormat chart="2" format="86" series="1">
      <pivotArea type="data" outline="0" fieldPosition="0">
        <references count="2">
          <reference field="4294967294" count="1" selected="0">
            <x v="0"/>
          </reference>
          <reference field="4" count="1" selected="0">
            <x v="86"/>
          </reference>
        </references>
      </pivotArea>
    </chartFormat>
    <chartFormat chart="2" format="87" series="1">
      <pivotArea type="data" outline="0" fieldPosition="0">
        <references count="2">
          <reference field="4294967294" count="1" selected="0">
            <x v="0"/>
          </reference>
          <reference field="4" count="1" selected="0">
            <x v="87"/>
          </reference>
        </references>
      </pivotArea>
    </chartFormat>
    <chartFormat chart="2" format="88" series="1">
      <pivotArea type="data" outline="0" fieldPosition="0">
        <references count="2">
          <reference field="4294967294" count="1" selected="0">
            <x v="0"/>
          </reference>
          <reference field="4" count="1" selected="0">
            <x v="88"/>
          </reference>
        </references>
      </pivotArea>
    </chartFormat>
    <chartFormat chart="2" format="89" series="1">
      <pivotArea type="data" outline="0" fieldPosition="0">
        <references count="2">
          <reference field="4294967294" count="1" selected="0">
            <x v="0"/>
          </reference>
          <reference field="4" count="1" selected="0">
            <x v="89"/>
          </reference>
        </references>
      </pivotArea>
    </chartFormat>
    <chartFormat chart="2" format="90" series="1">
      <pivotArea type="data" outline="0" fieldPosition="0">
        <references count="2">
          <reference field="4294967294" count="1" selected="0">
            <x v="0"/>
          </reference>
          <reference field="4" count="1" selected="0">
            <x v="90"/>
          </reference>
        </references>
      </pivotArea>
    </chartFormat>
    <chartFormat chart="2" format="91" series="1">
      <pivotArea type="data" outline="0" fieldPosition="0">
        <references count="2">
          <reference field="4294967294" count="1" selected="0">
            <x v="0"/>
          </reference>
          <reference field="4" count="1" selected="0">
            <x v="91"/>
          </reference>
        </references>
      </pivotArea>
    </chartFormat>
    <chartFormat chart="2" format="92" series="1">
      <pivotArea type="data" outline="0" fieldPosition="0">
        <references count="2">
          <reference field="4294967294" count="1" selected="0">
            <x v="0"/>
          </reference>
          <reference field="4" count="1" selected="0">
            <x v="92"/>
          </reference>
        </references>
      </pivotArea>
    </chartFormat>
    <chartFormat chart="2" format="93" series="1">
      <pivotArea type="data" outline="0" fieldPosition="0">
        <references count="2">
          <reference field="4294967294" count="1" selected="0">
            <x v="0"/>
          </reference>
          <reference field="4" count="1" selected="0">
            <x v="93"/>
          </reference>
        </references>
      </pivotArea>
    </chartFormat>
    <chartFormat chart="2" format="94" series="1">
      <pivotArea type="data" outline="0" fieldPosition="0">
        <references count="2">
          <reference field="4294967294" count="1" selected="0">
            <x v="0"/>
          </reference>
          <reference field="4" count="1" selected="0">
            <x v="94"/>
          </reference>
        </references>
      </pivotArea>
    </chartFormat>
    <chartFormat chart="2" format="95" series="1">
      <pivotArea type="data" outline="0" fieldPosition="0">
        <references count="2">
          <reference field="4294967294" count="1" selected="0">
            <x v="0"/>
          </reference>
          <reference field="4" count="1" selected="0">
            <x v="95"/>
          </reference>
        </references>
      </pivotArea>
    </chartFormat>
    <chartFormat chart="2" format="96" series="1">
      <pivotArea type="data" outline="0" fieldPosition="0">
        <references count="2">
          <reference field="4294967294" count="1" selected="0">
            <x v="0"/>
          </reference>
          <reference field="4" count="1" selected="0">
            <x v="96"/>
          </reference>
        </references>
      </pivotArea>
    </chartFormat>
    <chartFormat chart="2" format="97" series="1">
      <pivotArea type="data" outline="0" fieldPosition="0">
        <references count="2">
          <reference field="4294967294" count="1" selected="0">
            <x v="0"/>
          </reference>
          <reference field="4" count="1" selected="0">
            <x v="97"/>
          </reference>
        </references>
      </pivotArea>
    </chartFormat>
    <chartFormat chart="2" format="98" series="1">
      <pivotArea type="data" outline="0" fieldPosition="0">
        <references count="2">
          <reference field="4294967294" count="1" selected="0">
            <x v="0"/>
          </reference>
          <reference field="4" count="1" selected="0">
            <x v="98"/>
          </reference>
        </references>
      </pivotArea>
    </chartFormat>
    <chartFormat chart="2" format="99" series="1">
      <pivotArea type="data" outline="0" fieldPosition="0">
        <references count="2">
          <reference field="4294967294" count="1" selected="0">
            <x v="0"/>
          </reference>
          <reference field="4" count="1" selected="0">
            <x v="99"/>
          </reference>
        </references>
      </pivotArea>
    </chartFormat>
    <chartFormat chart="2" format="100" series="1">
      <pivotArea type="data" outline="0" fieldPosition="0">
        <references count="2">
          <reference field="4294967294" count="1" selected="0">
            <x v="0"/>
          </reference>
          <reference field="4" count="1" selected="0">
            <x v="100"/>
          </reference>
        </references>
      </pivotArea>
    </chartFormat>
    <chartFormat chart="2" format="101" series="1">
      <pivotArea type="data" outline="0" fieldPosition="0">
        <references count="2">
          <reference field="4294967294" count="1" selected="0">
            <x v="0"/>
          </reference>
          <reference field="4" count="1" selected="0">
            <x v="101"/>
          </reference>
        </references>
      </pivotArea>
    </chartFormat>
    <chartFormat chart="2" format="102" series="1">
      <pivotArea type="data" outline="0" fieldPosition="0">
        <references count="2">
          <reference field="4294967294" count="1" selected="0">
            <x v="0"/>
          </reference>
          <reference field="4" count="1" selected="0">
            <x v="102"/>
          </reference>
        </references>
      </pivotArea>
    </chartFormat>
    <chartFormat chart="2" format="103" series="1">
      <pivotArea type="data" outline="0" fieldPosition="0">
        <references count="2">
          <reference field="4294967294" count="1" selected="0">
            <x v="0"/>
          </reference>
          <reference field="4" count="1" selected="0">
            <x v="103"/>
          </reference>
        </references>
      </pivotArea>
    </chartFormat>
    <chartFormat chart="2" format="104" series="1">
      <pivotArea type="data" outline="0" fieldPosition="0">
        <references count="2">
          <reference field="4294967294" count="1" selected="0">
            <x v="0"/>
          </reference>
          <reference field="4" count="1" selected="0">
            <x v="104"/>
          </reference>
        </references>
      </pivotArea>
    </chartFormat>
    <chartFormat chart="2" format="105" series="1">
      <pivotArea type="data" outline="0" fieldPosition="0">
        <references count="2">
          <reference field="4294967294" count="1" selected="0">
            <x v="0"/>
          </reference>
          <reference field="4" count="1" selected="0">
            <x v="105"/>
          </reference>
        </references>
      </pivotArea>
    </chartFormat>
    <chartFormat chart="2" format="106" series="1">
      <pivotArea type="data" outline="0" fieldPosition="0">
        <references count="2">
          <reference field="4294967294" count="1" selected="0">
            <x v="0"/>
          </reference>
          <reference field="4" count="1" selected="0">
            <x v="106"/>
          </reference>
        </references>
      </pivotArea>
    </chartFormat>
    <chartFormat chart="2" format="107" series="1">
      <pivotArea type="data" outline="0" fieldPosition="0">
        <references count="2">
          <reference field="4294967294" count="1" selected="0">
            <x v="0"/>
          </reference>
          <reference field="4" count="1" selected="0">
            <x v="107"/>
          </reference>
        </references>
      </pivotArea>
    </chartFormat>
    <chartFormat chart="2" format="108" series="1">
      <pivotArea type="data" outline="0" fieldPosition="0">
        <references count="2">
          <reference field="4294967294" count="1" selected="0">
            <x v="0"/>
          </reference>
          <reference field="4" count="1" selected="0">
            <x v="108"/>
          </reference>
        </references>
      </pivotArea>
    </chartFormat>
    <chartFormat chart="2" format="109" series="1">
      <pivotArea type="data" outline="0" fieldPosition="0">
        <references count="2">
          <reference field="4294967294" count="1" selected="0">
            <x v="0"/>
          </reference>
          <reference field="4" count="1" selected="0">
            <x v="109"/>
          </reference>
        </references>
      </pivotArea>
    </chartFormat>
    <chartFormat chart="2" format="110" series="1">
      <pivotArea type="data" outline="0" fieldPosition="0">
        <references count="2">
          <reference field="4294967294" count="1" selected="0">
            <x v="0"/>
          </reference>
          <reference field="4" count="1" selected="0">
            <x v="110"/>
          </reference>
        </references>
      </pivotArea>
    </chartFormat>
    <chartFormat chart="2" format="111" series="1">
      <pivotArea type="data" outline="0" fieldPosition="0">
        <references count="2">
          <reference field="4294967294" count="1" selected="0">
            <x v="0"/>
          </reference>
          <reference field="4" count="1" selected="0">
            <x v="111"/>
          </reference>
        </references>
      </pivotArea>
    </chartFormat>
    <chartFormat chart="2" format="112" series="1">
      <pivotArea type="data" outline="0" fieldPosition="0">
        <references count="2">
          <reference field="4294967294" count="1" selected="0">
            <x v="0"/>
          </reference>
          <reference field="4" count="1" selected="0">
            <x v="112"/>
          </reference>
        </references>
      </pivotArea>
    </chartFormat>
    <chartFormat chart="2" format="113" series="1">
      <pivotArea type="data" outline="0" fieldPosition="0">
        <references count="2">
          <reference field="4294967294" count="1" selected="0">
            <x v="0"/>
          </reference>
          <reference field="4" count="1" selected="0">
            <x v="113"/>
          </reference>
        </references>
      </pivotArea>
    </chartFormat>
    <chartFormat chart="2" format="114" series="1">
      <pivotArea type="data" outline="0" fieldPosition="0">
        <references count="2">
          <reference field="4294967294" count="1" selected="0">
            <x v="0"/>
          </reference>
          <reference field="4" count="1" selected="0">
            <x v="114"/>
          </reference>
        </references>
      </pivotArea>
    </chartFormat>
    <chartFormat chart="2" format="115" series="1">
      <pivotArea type="data" outline="0" fieldPosition="0">
        <references count="2">
          <reference field="4294967294" count="1" selected="0">
            <x v="0"/>
          </reference>
          <reference field="4" count="1" selected="0">
            <x v="115"/>
          </reference>
        </references>
      </pivotArea>
    </chartFormat>
    <chartFormat chart="2" format="116" series="1">
      <pivotArea type="data" outline="0" fieldPosition="0">
        <references count="2">
          <reference field="4294967294" count="1" selected="0">
            <x v="0"/>
          </reference>
          <reference field="4" count="1" selected="0">
            <x v="116"/>
          </reference>
        </references>
      </pivotArea>
    </chartFormat>
    <chartFormat chart="2" format="117" series="1">
      <pivotArea type="data" outline="0" fieldPosition="0">
        <references count="2">
          <reference field="4294967294" count="1" selected="0">
            <x v="0"/>
          </reference>
          <reference field="4" count="1" selected="0">
            <x v="117"/>
          </reference>
        </references>
      </pivotArea>
    </chartFormat>
    <chartFormat chart="2" format="118" series="1">
      <pivotArea type="data" outline="0" fieldPosition="0">
        <references count="2">
          <reference field="4294967294" count="1" selected="0">
            <x v="0"/>
          </reference>
          <reference field="4" count="1" selected="0">
            <x v="118"/>
          </reference>
        </references>
      </pivotArea>
    </chartFormat>
    <chartFormat chart="2" format="119" series="1">
      <pivotArea type="data" outline="0" fieldPosition="0">
        <references count="2">
          <reference field="4294967294" count="1" selected="0">
            <x v="0"/>
          </reference>
          <reference field="4" count="1" selected="0">
            <x v="119"/>
          </reference>
        </references>
      </pivotArea>
    </chartFormat>
    <chartFormat chart="2" format="120" series="1">
      <pivotArea type="data" outline="0" fieldPosition="0">
        <references count="2">
          <reference field="4294967294" count="1" selected="0">
            <x v="0"/>
          </reference>
          <reference field="4" count="1" selected="0">
            <x v="120"/>
          </reference>
        </references>
      </pivotArea>
    </chartFormat>
    <chartFormat chart="2" format="121" series="1">
      <pivotArea type="data" outline="0" fieldPosition="0">
        <references count="2">
          <reference field="4294967294" count="1" selected="0">
            <x v="0"/>
          </reference>
          <reference field="4" count="1" selected="0">
            <x v="121"/>
          </reference>
        </references>
      </pivotArea>
    </chartFormat>
    <chartFormat chart="2" format="122" series="1">
      <pivotArea type="data" outline="0" fieldPosition="0">
        <references count="2">
          <reference field="4294967294" count="1" selected="0">
            <x v="0"/>
          </reference>
          <reference field="4" count="1" selected="0">
            <x v="122"/>
          </reference>
        </references>
      </pivotArea>
    </chartFormat>
    <chartFormat chart="2" format="123" series="1">
      <pivotArea type="data" outline="0" fieldPosition="0">
        <references count="2">
          <reference field="4294967294" count="1" selected="0">
            <x v="0"/>
          </reference>
          <reference field="4" count="1" selected="0">
            <x v="123"/>
          </reference>
        </references>
      </pivotArea>
    </chartFormat>
    <chartFormat chart="2" format="124" series="1">
      <pivotArea type="data" outline="0" fieldPosition="0">
        <references count="2">
          <reference field="4294967294" count="1" selected="0">
            <x v="0"/>
          </reference>
          <reference field="4" count="1" selected="0">
            <x v="124"/>
          </reference>
        </references>
      </pivotArea>
    </chartFormat>
    <chartFormat chart="2" format="125" series="1">
      <pivotArea type="data" outline="0" fieldPosition="0">
        <references count="2">
          <reference field="4294967294" count="1" selected="0">
            <x v="0"/>
          </reference>
          <reference field="4" count="1" selected="0">
            <x v="125"/>
          </reference>
        </references>
      </pivotArea>
    </chartFormat>
    <chartFormat chart="2" format="126" series="1">
      <pivotArea type="data" outline="0" fieldPosition="0">
        <references count="2">
          <reference field="4294967294" count="1" selected="0">
            <x v="0"/>
          </reference>
          <reference field="4" count="1" selected="0">
            <x v="126"/>
          </reference>
        </references>
      </pivotArea>
    </chartFormat>
    <chartFormat chart="2" format="127" series="1">
      <pivotArea type="data" outline="0" fieldPosition="0">
        <references count="2">
          <reference field="4294967294" count="1" selected="0">
            <x v="0"/>
          </reference>
          <reference field="4" count="1" selected="0">
            <x v="127"/>
          </reference>
        </references>
      </pivotArea>
    </chartFormat>
    <chartFormat chart="2" format="128" series="1">
      <pivotArea type="data" outline="0" fieldPosition="0">
        <references count="2">
          <reference field="4294967294" count="1" selected="0">
            <x v="0"/>
          </reference>
          <reference field="4" count="1" selected="0">
            <x v="128"/>
          </reference>
        </references>
      </pivotArea>
    </chartFormat>
    <chartFormat chart="2" format="129" series="1">
      <pivotArea type="data" outline="0" fieldPosition="0">
        <references count="2">
          <reference field="4294967294" count="1" selected="0">
            <x v="0"/>
          </reference>
          <reference field="4" count="1" selected="0">
            <x v="129"/>
          </reference>
        </references>
      </pivotArea>
    </chartFormat>
    <chartFormat chart="2" format="130" series="1">
      <pivotArea type="data" outline="0" fieldPosition="0">
        <references count="2">
          <reference field="4294967294" count="1" selected="0">
            <x v="0"/>
          </reference>
          <reference field="4" count="1" selected="0">
            <x v="130"/>
          </reference>
        </references>
      </pivotArea>
    </chartFormat>
    <chartFormat chart="2" format="131" series="1">
      <pivotArea type="data" outline="0" fieldPosition="0">
        <references count="2">
          <reference field="4294967294" count="1" selected="0">
            <x v="0"/>
          </reference>
          <reference field="4" count="1" selected="0">
            <x v="131"/>
          </reference>
        </references>
      </pivotArea>
    </chartFormat>
    <chartFormat chart="2" format="132" series="1">
      <pivotArea type="data" outline="0" fieldPosition="0">
        <references count="2">
          <reference field="4294967294" count="1" selected="0">
            <x v="0"/>
          </reference>
          <reference field="4" count="1" selected="0">
            <x v="132"/>
          </reference>
        </references>
      </pivotArea>
    </chartFormat>
    <chartFormat chart="2" format="133" series="1">
      <pivotArea type="data" outline="0" fieldPosition="0">
        <references count="2">
          <reference field="4294967294" count="1" selected="0">
            <x v="0"/>
          </reference>
          <reference field="4" count="1" selected="0">
            <x v="133"/>
          </reference>
        </references>
      </pivotArea>
    </chartFormat>
    <chartFormat chart="2" format="134" series="1">
      <pivotArea type="data" outline="0" fieldPosition="0">
        <references count="2">
          <reference field="4294967294" count="1" selected="0">
            <x v="0"/>
          </reference>
          <reference field="4" count="1" selected="0">
            <x v="134"/>
          </reference>
        </references>
      </pivotArea>
    </chartFormat>
    <chartFormat chart="2" format="135" series="1">
      <pivotArea type="data" outline="0" fieldPosition="0">
        <references count="2">
          <reference field="4294967294" count="1" selected="0">
            <x v="0"/>
          </reference>
          <reference field="4" count="1" selected="0">
            <x v="135"/>
          </reference>
        </references>
      </pivotArea>
    </chartFormat>
    <chartFormat chart="2" format="136" series="1">
      <pivotArea type="data" outline="0" fieldPosition="0">
        <references count="2">
          <reference field="4294967294" count="1" selected="0">
            <x v="0"/>
          </reference>
          <reference field="4" count="1" selected="0">
            <x v="136"/>
          </reference>
        </references>
      </pivotArea>
    </chartFormat>
    <chartFormat chart="2" format="137" series="1">
      <pivotArea type="data" outline="0" fieldPosition="0">
        <references count="2">
          <reference field="4294967294" count="1" selected="0">
            <x v="0"/>
          </reference>
          <reference field="4" count="1" selected="0">
            <x v="137"/>
          </reference>
        </references>
      </pivotArea>
    </chartFormat>
    <chartFormat chart="2" format="138" series="1">
      <pivotArea type="data" outline="0" fieldPosition="0">
        <references count="2">
          <reference field="4294967294" count="1" selected="0">
            <x v="0"/>
          </reference>
          <reference field="4" count="1" selected="0">
            <x v="138"/>
          </reference>
        </references>
      </pivotArea>
    </chartFormat>
    <chartFormat chart="2" format="139" series="1">
      <pivotArea type="data" outline="0" fieldPosition="0">
        <references count="2">
          <reference field="4294967294" count="1" selected="0">
            <x v="0"/>
          </reference>
          <reference field="4" count="1" selected="0">
            <x v="139"/>
          </reference>
        </references>
      </pivotArea>
    </chartFormat>
    <chartFormat chart="2" format="140" series="1">
      <pivotArea type="data" outline="0" fieldPosition="0">
        <references count="2">
          <reference field="4294967294" count="1" selected="0">
            <x v="0"/>
          </reference>
          <reference field="4" count="1" selected="0">
            <x v="140"/>
          </reference>
        </references>
      </pivotArea>
    </chartFormat>
    <chartFormat chart="2" format="141" series="1">
      <pivotArea type="data" outline="0" fieldPosition="0">
        <references count="2">
          <reference field="4294967294" count="1" selected="0">
            <x v="0"/>
          </reference>
          <reference field="4" count="1" selected="0">
            <x v="141"/>
          </reference>
        </references>
      </pivotArea>
    </chartFormat>
    <chartFormat chart="2" format="142" series="1">
      <pivotArea type="data" outline="0" fieldPosition="0">
        <references count="2">
          <reference field="4294967294" count="1" selected="0">
            <x v="0"/>
          </reference>
          <reference field="4" count="1" selected="0">
            <x v="142"/>
          </reference>
        </references>
      </pivotArea>
    </chartFormat>
    <chartFormat chart="2" format="143" series="1">
      <pivotArea type="data" outline="0" fieldPosition="0">
        <references count="2">
          <reference field="4294967294" count="1" selected="0">
            <x v="0"/>
          </reference>
          <reference field="4" count="1" selected="0">
            <x v="143"/>
          </reference>
        </references>
      </pivotArea>
    </chartFormat>
    <chartFormat chart="2" format="144" series="1">
      <pivotArea type="data" outline="0" fieldPosition="0">
        <references count="2">
          <reference field="4294967294" count="1" selected="0">
            <x v="0"/>
          </reference>
          <reference field="4" count="1" selected="0">
            <x v="144"/>
          </reference>
        </references>
      </pivotArea>
    </chartFormat>
    <chartFormat chart="2" format="145" series="1">
      <pivotArea type="data" outline="0" fieldPosition="0">
        <references count="2">
          <reference field="4294967294" count="1" selected="0">
            <x v="0"/>
          </reference>
          <reference field="4" count="1" selected="0">
            <x v="145"/>
          </reference>
        </references>
      </pivotArea>
    </chartFormat>
    <chartFormat chart="2" format="146" series="1">
      <pivotArea type="data" outline="0" fieldPosition="0">
        <references count="2">
          <reference field="4294967294" count="1" selected="0">
            <x v="0"/>
          </reference>
          <reference field="4" count="1" selected="0">
            <x v="146"/>
          </reference>
        </references>
      </pivotArea>
    </chartFormat>
    <chartFormat chart="2" format="147" series="1">
      <pivotArea type="data" outline="0" fieldPosition="0">
        <references count="2">
          <reference field="4294967294" count="1" selected="0">
            <x v="0"/>
          </reference>
          <reference field="4" count="1" selected="0">
            <x v="147"/>
          </reference>
        </references>
      </pivotArea>
    </chartFormat>
    <chartFormat chart="2" format="148" series="1">
      <pivotArea type="data" outline="0" fieldPosition="0">
        <references count="2">
          <reference field="4294967294" count="1" selected="0">
            <x v="0"/>
          </reference>
          <reference field="4" count="1" selected="0">
            <x v="148"/>
          </reference>
        </references>
      </pivotArea>
    </chartFormat>
    <chartFormat chart="2" format="149" series="1">
      <pivotArea type="data" outline="0" fieldPosition="0">
        <references count="2">
          <reference field="4294967294" count="1" selected="0">
            <x v="0"/>
          </reference>
          <reference field="4" count="1" selected="0">
            <x v="149"/>
          </reference>
        </references>
      </pivotArea>
    </chartFormat>
    <chartFormat chart="2" format="150" series="1">
      <pivotArea type="data" outline="0" fieldPosition="0">
        <references count="2">
          <reference field="4294967294" count="1" selected="0">
            <x v="0"/>
          </reference>
          <reference field="4" count="1" selected="0">
            <x v="150"/>
          </reference>
        </references>
      </pivotArea>
    </chartFormat>
    <chartFormat chart="2" format="151" series="1">
      <pivotArea type="data" outline="0" fieldPosition="0">
        <references count="2">
          <reference field="4294967294" count="1" selected="0">
            <x v="0"/>
          </reference>
          <reference field="4" count="1" selected="0">
            <x v="151"/>
          </reference>
        </references>
      </pivotArea>
    </chartFormat>
    <chartFormat chart="2" format="152" series="1">
      <pivotArea type="data" outline="0" fieldPosition="0">
        <references count="2">
          <reference field="4294967294" count="1" selected="0">
            <x v="0"/>
          </reference>
          <reference field="4" count="1" selected="0">
            <x v="152"/>
          </reference>
        </references>
      </pivotArea>
    </chartFormat>
    <chartFormat chart="2" format="153" series="1">
      <pivotArea type="data" outline="0" fieldPosition="0">
        <references count="2">
          <reference field="4294967294" count="1" selected="0">
            <x v="0"/>
          </reference>
          <reference field="4" count="1" selected="0">
            <x v="153"/>
          </reference>
        </references>
      </pivotArea>
    </chartFormat>
    <chartFormat chart="2" format="154" series="1">
      <pivotArea type="data" outline="0" fieldPosition="0">
        <references count="2">
          <reference field="4294967294" count="1" selected="0">
            <x v="0"/>
          </reference>
          <reference field="4" count="1" selected="0">
            <x v="154"/>
          </reference>
        </references>
      </pivotArea>
    </chartFormat>
    <chartFormat chart="2" format="155" series="1">
      <pivotArea type="data" outline="0" fieldPosition="0">
        <references count="2">
          <reference field="4294967294" count="1" selected="0">
            <x v="0"/>
          </reference>
          <reference field="4" count="1" selected="0">
            <x v="155"/>
          </reference>
        </references>
      </pivotArea>
    </chartFormat>
    <chartFormat chart="2" format="156" series="1">
      <pivotArea type="data" outline="0" fieldPosition="0">
        <references count="2">
          <reference field="4294967294" count="1" selected="0">
            <x v="0"/>
          </reference>
          <reference field="4" count="1" selected="0">
            <x v="156"/>
          </reference>
        </references>
      </pivotArea>
    </chartFormat>
    <chartFormat chart="2" format="157" series="1">
      <pivotArea type="data" outline="0" fieldPosition="0">
        <references count="2">
          <reference field="4294967294" count="1" selected="0">
            <x v="0"/>
          </reference>
          <reference field="4" count="1" selected="0">
            <x v="157"/>
          </reference>
        </references>
      </pivotArea>
    </chartFormat>
    <chartFormat chart="2" format="158" series="1">
      <pivotArea type="data" outline="0" fieldPosition="0">
        <references count="2">
          <reference field="4294967294" count="1" selected="0">
            <x v="0"/>
          </reference>
          <reference field="4" count="1" selected="0">
            <x v="158"/>
          </reference>
        </references>
      </pivotArea>
    </chartFormat>
    <chartFormat chart="2" format="159" series="1">
      <pivotArea type="data" outline="0" fieldPosition="0">
        <references count="2">
          <reference field="4294967294" count="1" selected="0">
            <x v="0"/>
          </reference>
          <reference field="4" count="1" selected="0">
            <x v="159"/>
          </reference>
        </references>
      </pivotArea>
    </chartFormat>
    <chartFormat chart="2" format="160" series="1">
      <pivotArea type="data" outline="0" fieldPosition="0">
        <references count="2">
          <reference field="4294967294" count="1" selected="0">
            <x v="0"/>
          </reference>
          <reference field="4" count="1" selected="0">
            <x v="160"/>
          </reference>
        </references>
      </pivotArea>
    </chartFormat>
    <chartFormat chart="2" format="161" series="1">
      <pivotArea type="data" outline="0" fieldPosition="0">
        <references count="2">
          <reference field="4294967294" count="1" selected="0">
            <x v="0"/>
          </reference>
          <reference field="4" count="1" selected="0">
            <x v="161"/>
          </reference>
        </references>
      </pivotArea>
    </chartFormat>
    <chartFormat chart="2" format="162" series="1">
      <pivotArea type="data" outline="0" fieldPosition="0">
        <references count="2">
          <reference field="4294967294" count="1" selected="0">
            <x v="0"/>
          </reference>
          <reference field="4" count="1" selected="0">
            <x v="162"/>
          </reference>
        </references>
      </pivotArea>
    </chartFormat>
    <chartFormat chart="2" format="163" series="1">
      <pivotArea type="data" outline="0" fieldPosition="0">
        <references count="2">
          <reference field="4294967294" count="1" selected="0">
            <x v="0"/>
          </reference>
          <reference field="4" count="1" selected="0">
            <x v="163"/>
          </reference>
        </references>
      </pivotArea>
    </chartFormat>
    <chartFormat chart="2" format="164" series="1">
      <pivotArea type="data" outline="0" fieldPosition="0">
        <references count="2">
          <reference field="4294967294" count="1" selected="0">
            <x v="0"/>
          </reference>
          <reference field="4" count="1" selected="0">
            <x v="164"/>
          </reference>
        </references>
      </pivotArea>
    </chartFormat>
    <chartFormat chart="2" format="165" series="1">
      <pivotArea type="data" outline="0" fieldPosition="0">
        <references count="2">
          <reference field="4294967294" count="1" selected="0">
            <x v="0"/>
          </reference>
          <reference field="4" count="1" selected="0">
            <x v="165"/>
          </reference>
        </references>
      </pivotArea>
    </chartFormat>
    <chartFormat chart="2" format="166" series="1">
      <pivotArea type="data" outline="0" fieldPosition="0">
        <references count="2">
          <reference field="4294967294" count="1" selected="0">
            <x v="0"/>
          </reference>
          <reference field="4" count="1" selected="0">
            <x v="166"/>
          </reference>
        </references>
      </pivotArea>
    </chartFormat>
    <chartFormat chart="2" format="167" series="1">
      <pivotArea type="data" outline="0" fieldPosition="0">
        <references count="2">
          <reference field="4294967294" count="1" selected="0">
            <x v="0"/>
          </reference>
          <reference field="4" count="1" selected="0">
            <x v="167"/>
          </reference>
        </references>
      </pivotArea>
    </chartFormat>
    <chartFormat chart="2" format="168" series="1">
      <pivotArea type="data" outline="0" fieldPosition="0">
        <references count="2">
          <reference field="4294967294" count="1" selected="0">
            <x v="0"/>
          </reference>
          <reference field="4" count="1" selected="0">
            <x v="168"/>
          </reference>
        </references>
      </pivotArea>
    </chartFormat>
    <chartFormat chart="2" format="169" series="1">
      <pivotArea type="data" outline="0" fieldPosition="0">
        <references count="2">
          <reference field="4294967294" count="1" selected="0">
            <x v="0"/>
          </reference>
          <reference field="4" count="1" selected="0">
            <x v="169"/>
          </reference>
        </references>
      </pivotArea>
    </chartFormat>
    <chartFormat chart="2" format="170" series="1">
      <pivotArea type="data" outline="0" fieldPosition="0">
        <references count="2">
          <reference field="4294967294" count="1" selected="0">
            <x v="0"/>
          </reference>
          <reference field="4" count="1" selected="0">
            <x v="170"/>
          </reference>
        </references>
      </pivotArea>
    </chartFormat>
    <chartFormat chart="2" format="171" series="1">
      <pivotArea type="data" outline="0" fieldPosition="0">
        <references count="2">
          <reference field="4294967294" count="1" selected="0">
            <x v="0"/>
          </reference>
          <reference field="4" count="1" selected="0">
            <x v="171"/>
          </reference>
        </references>
      </pivotArea>
    </chartFormat>
    <chartFormat chart="2" format="172" series="1">
      <pivotArea type="data" outline="0" fieldPosition="0">
        <references count="2">
          <reference field="4294967294" count="1" selected="0">
            <x v="0"/>
          </reference>
          <reference field="4" count="1" selected="0">
            <x v="172"/>
          </reference>
        </references>
      </pivotArea>
    </chartFormat>
    <chartFormat chart="2" format="173" series="1">
      <pivotArea type="data" outline="0" fieldPosition="0">
        <references count="2">
          <reference field="4294967294" count="1" selected="0">
            <x v="0"/>
          </reference>
          <reference field="4" count="1" selected="0">
            <x v="173"/>
          </reference>
        </references>
      </pivotArea>
    </chartFormat>
    <chartFormat chart="2" format="174" series="1">
      <pivotArea type="data" outline="0" fieldPosition="0">
        <references count="2">
          <reference field="4294967294" count="1" selected="0">
            <x v="0"/>
          </reference>
          <reference field="4" count="1" selected="0">
            <x v="174"/>
          </reference>
        </references>
      </pivotArea>
    </chartFormat>
    <chartFormat chart="2" format="175" series="1">
      <pivotArea type="data" outline="0" fieldPosition="0">
        <references count="2">
          <reference field="4294967294" count="1" selected="0">
            <x v="0"/>
          </reference>
          <reference field="4" count="1" selected="0">
            <x v="175"/>
          </reference>
        </references>
      </pivotArea>
    </chartFormat>
    <chartFormat chart="2" format="176" series="1">
      <pivotArea type="data" outline="0" fieldPosition="0">
        <references count="2">
          <reference field="4294967294" count="1" selected="0">
            <x v="0"/>
          </reference>
          <reference field="4" count="1" selected="0">
            <x v="176"/>
          </reference>
        </references>
      </pivotArea>
    </chartFormat>
    <chartFormat chart="2" format="177" series="1">
      <pivotArea type="data" outline="0" fieldPosition="0">
        <references count="2">
          <reference field="4294967294" count="1" selected="0">
            <x v="0"/>
          </reference>
          <reference field="4" count="1" selected="0">
            <x v="177"/>
          </reference>
        </references>
      </pivotArea>
    </chartFormat>
    <chartFormat chart="2" format="178" series="1">
      <pivotArea type="data" outline="0" fieldPosition="0">
        <references count="2">
          <reference field="4294967294" count="1" selected="0">
            <x v="0"/>
          </reference>
          <reference field="4" count="1" selected="0">
            <x v="178"/>
          </reference>
        </references>
      </pivotArea>
    </chartFormat>
    <chartFormat chart="2" format="179" series="1">
      <pivotArea type="data" outline="0" fieldPosition="0">
        <references count="2">
          <reference field="4294967294" count="1" selected="0">
            <x v="0"/>
          </reference>
          <reference field="4" count="1" selected="0">
            <x v="179"/>
          </reference>
        </references>
      </pivotArea>
    </chartFormat>
    <chartFormat chart="2" format="180" series="1">
      <pivotArea type="data" outline="0" fieldPosition="0">
        <references count="2">
          <reference field="4294967294" count="1" selected="0">
            <x v="0"/>
          </reference>
          <reference field="4" count="1" selected="0">
            <x v="180"/>
          </reference>
        </references>
      </pivotArea>
    </chartFormat>
    <chartFormat chart="2" format="181" series="1">
      <pivotArea type="data" outline="0" fieldPosition="0">
        <references count="2">
          <reference field="4294967294" count="1" selected="0">
            <x v="0"/>
          </reference>
          <reference field="4" count="1" selected="0">
            <x v="181"/>
          </reference>
        </references>
      </pivotArea>
    </chartFormat>
    <chartFormat chart="2" format="182" series="1">
      <pivotArea type="data" outline="0" fieldPosition="0">
        <references count="2">
          <reference field="4294967294" count="1" selected="0">
            <x v="0"/>
          </reference>
          <reference field="4" count="1" selected="0">
            <x v="182"/>
          </reference>
        </references>
      </pivotArea>
    </chartFormat>
    <chartFormat chart="2" format="183" series="1">
      <pivotArea type="data" outline="0" fieldPosition="0">
        <references count="2">
          <reference field="4294967294" count="1" selected="0">
            <x v="0"/>
          </reference>
          <reference field="4" count="1" selected="0">
            <x v="183"/>
          </reference>
        </references>
      </pivotArea>
    </chartFormat>
    <chartFormat chart="2" format="184" series="1">
      <pivotArea type="data" outline="0" fieldPosition="0">
        <references count="2">
          <reference field="4294967294" count="1" selected="0">
            <x v="0"/>
          </reference>
          <reference field="4" count="1" selected="0">
            <x v="184"/>
          </reference>
        </references>
      </pivotArea>
    </chartFormat>
    <chartFormat chart="2" format="185" series="1">
      <pivotArea type="data" outline="0" fieldPosition="0">
        <references count="2">
          <reference field="4294967294" count="1" selected="0">
            <x v="0"/>
          </reference>
          <reference field="4" count="1" selected="0">
            <x v="185"/>
          </reference>
        </references>
      </pivotArea>
    </chartFormat>
    <chartFormat chart="2" format="186" series="1">
      <pivotArea type="data" outline="0" fieldPosition="0">
        <references count="2">
          <reference field="4294967294" count="1" selected="0">
            <x v="0"/>
          </reference>
          <reference field="4" count="1" selected="0">
            <x v="186"/>
          </reference>
        </references>
      </pivotArea>
    </chartFormat>
    <chartFormat chart="2" format="187" series="1">
      <pivotArea type="data" outline="0" fieldPosition="0">
        <references count="2">
          <reference field="4294967294" count="1" selected="0">
            <x v="0"/>
          </reference>
          <reference field="4" count="1" selected="0">
            <x v="187"/>
          </reference>
        </references>
      </pivotArea>
    </chartFormat>
    <chartFormat chart="2" format="188" series="1">
      <pivotArea type="data" outline="0" fieldPosition="0">
        <references count="2">
          <reference field="4294967294" count="1" selected="0">
            <x v="0"/>
          </reference>
          <reference field="4" count="1" selected="0">
            <x v="188"/>
          </reference>
        </references>
      </pivotArea>
    </chartFormat>
    <chartFormat chart="2" format="189" series="1">
      <pivotArea type="data" outline="0" fieldPosition="0">
        <references count="2">
          <reference field="4294967294" count="1" selected="0">
            <x v="0"/>
          </reference>
          <reference field="4" count="1" selected="0">
            <x v="189"/>
          </reference>
        </references>
      </pivotArea>
    </chartFormat>
    <chartFormat chart="2" format="190" series="1">
      <pivotArea type="data" outline="0" fieldPosition="0">
        <references count="2">
          <reference field="4294967294" count="1" selected="0">
            <x v="0"/>
          </reference>
          <reference field="4" count="1" selected="0">
            <x v="190"/>
          </reference>
        </references>
      </pivotArea>
    </chartFormat>
    <chartFormat chart="2" format="191" series="1">
      <pivotArea type="data" outline="0" fieldPosition="0">
        <references count="2">
          <reference field="4294967294" count="1" selected="0">
            <x v="0"/>
          </reference>
          <reference field="4" count="1" selected="0">
            <x v="191"/>
          </reference>
        </references>
      </pivotArea>
    </chartFormat>
    <chartFormat chart="2" format="192" series="1">
      <pivotArea type="data" outline="0" fieldPosition="0">
        <references count="2">
          <reference field="4294967294" count="1" selected="0">
            <x v="0"/>
          </reference>
          <reference field="4" count="1" selected="0">
            <x v="192"/>
          </reference>
        </references>
      </pivotArea>
    </chartFormat>
    <chartFormat chart="2" format="193" series="1">
      <pivotArea type="data" outline="0" fieldPosition="0">
        <references count="2">
          <reference field="4294967294" count="1" selected="0">
            <x v="0"/>
          </reference>
          <reference field="4" count="1" selected="0">
            <x v="193"/>
          </reference>
        </references>
      </pivotArea>
    </chartFormat>
    <chartFormat chart="2" format="194" series="1">
      <pivotArea type="data" outline="0" fieldPosition="0">
        <references count="2">
          <reference field="4294967294" count="1" selected="0">
            <x v="0"/>
          </reference>
          <reference field="4" count="1" selected="0">
            <x v="194"/>
          </reference>
        </references>
      </pivotArea>
    </chartFormat>
    <chartFormat chart="2" format="195" series="1">
      <pivotArea type="data" outline="0" fieldPosition="0">
        <references count="2">
          <reference field="4294967294" count="1" selected="0">
            <x v="0"/>
          </reference>
          <reference field="4" count="1" selected="0">
            <x v="195"/>
          </reference>
        </references>
      </pivotArea>
    </chartFormat>
    <chartFormat chart="2" format="196" series="1">
      <pivotArea type="data" outline="0" fieldPosition="0">
        <references count="2">
          <reference field="4294967294" count="1" selected="0">
            <x v="0"/>
          </reference>
          <reference field="4" count="1" selected="0">
            <x v="196"/>
          </reference>
        </references>
      </pivotArea>
    </chartFormat>
    <chartFormat chart="2" format="197" series="1">
      <pivotArea type="data" outline="0" fieldPosition="0">
        <references count="2">
          <reference field="4294967294" count="1" selected="0">
            <x v="0"/>
          </reference>
          <reference field="4" count="1" selected="0">
            <x v="197"/>
          </reference>
        </references>
      </pivotArea>
    </chartFormat>
    <chartFormat chart="2" format="198" series="1">
      <pivotArea type="data" outline="0" fieldPosition="0">
        <references count="2">
          <reference field="4294967294" count="1" selected="0">
            <x v="0"/>
          </reference>
          <reference field="4" count="1" selected="0">
            <x v="198"/>
          </reference>
        </references>
      </pivotArea>
    </chartFormat>
    <chartFormat chart="2" format="199" series="1">
      <pivotArea type="data" outline="0" fieldPosition="0">
        <references count="2">
          <reference field="4294967294" count="1" selected="0">
            <x v="0"/>
          </reference>
          <reference field="4" count="1" selected="0">
            <x v="199"/>
          </reference>
        </references>
      </pivotArea>
    </chartFormat>
    <chartFormat chart="2" format="200" series="1">
      <pivotArea type="data" outline="0" fieldPosition="0">
        <references count="2">
          <reference field="4294967294" count="1" selected="0">
            <x v="0"/>
          </reference>
          <reference field="4" count="1" selected="0">
            <x v="200"/>
          </reference>
        </references>
      </pivotArea>
    </chartFormat>
    <chartFormat chart="2" format="201" series="1">
      <pivotArea type="data" outline="0" fieldPosition="0">
        <references count="2">
          <reference field="4294967294" count="1" selected="0">
            <x v="0"/>
          </reference>
          <reference field="4" count="1" selected="0">
            <x v="201"/>
          </reference>
        </references>
      </pivotArea>
    </chartFormat>
    <chartFormat chart="2" format="202" series="1">
      <pivotArea type="data" outline="0" fieldPosition="0">
        <references count="2">
          <reference field="4294967294" count="1" selected="0">
            <x v="0"/>
          </reference>
          <reference field="4" count="1" selected="0">
            <x v="202"/>
          </reference>
        </references>
      </pivotArea>
    </chartFormat>
    <chartFormat chart="2" format="203" series="1">
      <pivotArea type="data" outline="0" fieldPosition="0">
        <references count="2">
          <reference field="4294967294" count="1" selected="0">
            <x v="0"/>
          </reference>
          <reference field="4" count="1" selected="0">
            <x v="203"/>
          </reference>
        </references>
      </pivotArea>
    </chartFormat>
    <chartFormat chart="2" format="204" series="1">
      <pivotArea type="data" outline="0" fieldPosition="0">
        <references count="2">
          <reference field="4294967294" count="1" selected="0">
            <x v="0"/>
          </reference>
          <reference field="4" count="1" selected="0">
            <x v="204"/>
          </reference>
        </references>
      </pivotArea>
    </chartFormat>
    <chartFormat chart="2" format="205" series="1">
      <pivotArea type="data" outline="0" fieldPosition="0">
        <references count="2">
          <reference field="4294967294" count="1" selected="0">
            <x v="0"/>
          </reference>
          <reference field="4" count="1" selected="0">
            <x v="205"/>
          </reference>
        </references>
      </pivotArea>
    </chartFormat>
    <chartFormat chart="2" format="206" series="1">
      <pivotArea type="data" outline="0" fieldPosition="0">
        <references count="2">
          <reference field="4294967294" count="1" selected="0">
            <x v="0"/>
          </reference>
          <reference field="4" count="1" selected="0">
            <x v="206"/>
          </reference>
        </references>
      </pivotArea>
    </chartFormat>
    <chartFormat chart="2" format="207" series="1">
      <pivotArea type="data" outline="0" fieldPosition="0">
        <references count="2">
          <reference field="4294967294" count="1" selected="0">
            <x v="0"/>
          </reference>
          <reference field="4" count="1" selected="0">
            <x v="207"/>
          </reference>
        </references>
      </pivotArea>
    </chartFormat>
    <chartFormat chart="2" format="208" series="1">
      <pivotArea type="data" outline="0" fieldPosition="0">
        <references count="2">
          <reference field="4294967294" count="1" selected="0">
            <x v="0"/>
          </reference>
          <reference field="4" count="1" selected="0">
            <x v="208"/>
          </reference>
        </references>
      </pivotArea>
    </chartFormat>
    <chartFormat chart="2" format="209" series="1">
      <pivotArea type="data" outline="0" fieldPosition="0">
        <references count="2">
          <reference field="4294967294" count="1" selected="0">
            <x v="0"/>
          </reference>
          <reference field="4" count="1" selected="0">
            <x v="209"/>
          </reference>
        </references>
      </pivotArea>
    </chartFormat>
    <chartFormat chart="2" format="210" series="1">
      <pivotArea type="data" outline="0" fieldPosition="0">
        <references count="2">
          <reference field="4294967294" count="1" selected="0">
            <x v="0"/>
          </reference>
          <reference field="4" count="1" selected="0">
            <x v="210"/>
          </reference>
        </references>
      </pivotArea>
    </chartFormat>
    <chartFormat chart="2" format="211" series="1">
      <pivotArea type="data" outline="0" fieldPosition="0">
        <references count="2">
          <reference field="4294967294" count="1" selected="0">
            <x v="0"/>
          </reference>
          <reference field="4" count="1" selected="0">
            <x v="211"/>
          </reference>
        </references>
      </pivotArea>
    </chartFormat>
    <chartFormat chart="2" format="212" series="1">
      <pivotArea type="data" outline="0" fieldPosition="0">
        <references count="2">
          <reference field="4294967294" count="1" selected="0">
            <x v="0"/>
          </reference>
          <reference field="4" count="1" selected="0">
            <x v="212"/>
          </reference>
        </references>
      </pivotArea>
    </chartFormat>
    <chartFormat chart="2" format="213" series="1">
      <pivotArea type="data" outline="0" fieldPosition="0">
        <references count="2">
          <reference field="4294967294" count="1" selected="0">
            <x v="0"/>
          </reference>
          <reference field="4" count="1" selected="0">
            <x v="213"/>
          </reference>
        </references>
      </pivotArea>
    </chartFormat>
    <chartFormat chart="2" format="214" series="1">
      <pivotArea type="data" outline="0" fieldPosition="0">
        <references count="2">
          <reference field="4294967294" count="1" selected="0">
            <x v="0"/>
          </reference>
          <reference field="4" count="1" selected="0">
            <x v="214"/>
          </reference>
        </references>
      </pivotArea>
    </chartFormat>
    <chartFormat chart="2" format="215" series="1">
      <pivotArea type="data" outline="0" fieldPosition="0">
        <references count="2">
          <reference field="4294967294" count="1" selected="0">
            <x v="0"/>
          </reference>
          <reference field="4" count="1" selected="0">
            <x v="215"/>
          </reference>
        </references>
      </pivotArea>
    </chartFormat>
    <chartFormat chart="2" format="216" series="1">
      <pivotArea type="data" outline="0" fieldPosition="0">
        <references count="2">
          <reference field="4294967294" count="1" selected="0">
            <x v="0"/>
          </reference>
          <reference field="4" count="1" selected="0">
            <x v="216"/>
          </reference>
        </references>
      </pivotArea>
    </chartFormat>
    <chartFormat chart="2" format="217" series="1">
      <pivotArea type="data" outline="0" fieldPosition="0">
        <references count="2">
          <reference field="4294967294" count="1" selected="0">
            <x v="0"/>
          </reference>
          <reference field="4" count="1" selected="0">
            <x v="217"/>
          </reference>
        </references>
      </pivotArea>
    </chartFormat>
    <chartFormat chart="2" format="218" series="1">
      <pivotArea type="data" outline="0" fieldPosition="0">
        <references count="2">
          <reference field="4294967294" count="1" selected="0">
            <x v="0"/>
          </reference>
          <reference field="4" count="1" selected="0">
            <x v="218"/>
          </reference>
        </references>
      </pivotArea>
    </chartFormat>
    <chartFormat chart="2" format="219" series="1">
      <pivotArea type="data" outline="0" fieldPosition="0">
        <references count="2">
          <reference field="4294967294" count="1" selected="0">
            <x v="0"/>
          </reference>
          <reference field="4" count="1" selected="0">
            <x v="219"/>
          </reference>
        </references>
      </pivotArea>
    </chartFormat>
    <chartFormat chart="2" format="220" series="1">
      <pivotArea type="data" outline="0" fieldPosition="0">
        <references count="2">
          <reference field="4294967294" count="1" selected="0">
            <x v="0"/>
          </reference>
          <reference field="4" count="1" selected="0">
            <x v="220"/>
          </reference>
        </references>
      </pivotArea>
    </chartFormat>
    <chartFormat chart="2" format="221" series="1">
      <pivotArea type="data" outline="0" fieldPosition="0">
        <references count="2">
          <reference field="4294967294" count="1" selected="0">
            <x v="0"/>
          </reference>
          <reference field="4" count="1" selected="0">
            <x v="221"/>
          </reference>
        </references>
      </pivotArea>
    </chartFormat>
    <chartFormat chart="2" format="222" series="1">
      <pivotArea type="data" outline="0" fieldPosition="0">
        <references count="2">
          <reference field="4294967294" count="1" selected="0">
            <x v="0"/>
          </reference>
          <reference field="4" count="1" selected="0">
            <x v="222"/>
          </reference>
        </references>
      </pivotArea>
    </chartFormat>
    <chartFormat chart="2" format="223" series="1">
      <pivotArea type="data" outline="0" fieldPosition="0">
        <references count="2">
          <reference field="4294967294" count="1" selected="0">
            <x v="0"/>
          </reference>
          <reference field="4" count="1" selected="0">
            <x v="223"/>
          </reference>
        </references>
      </pivotArea>
    </chartFormat>
    <chartFormat chart="2" format="224" series="1">
      <pivotArea type="data" outline="0" fieldPosition="0">
        <references count="2">
          <reference field="4294967294" count="1" selected="0">
            <x v="0"/>
          </reference>
          <reference field="4" count="1" selected="0">
            <x v="224"/>
          </reference>
        </references>
      </pivotArea>
    </chartFormat>
    <chartFormat chart="2" format="225" series="1">
      <pivotArea type="data" outline="0" fieldPosition="0">
        <references count="2">
          <reference field="4294967294" count="1" selected="0">
            <x v="0"/>
          </reference>
          <reference field="4" count="1" selected="0">
            <x v="225"/>
          </reference>
        </references>
      </pivotArea>
    </chartFormat>
    <chartFormat chart="2" format="226" series="1">
      <pivotArea type="data" outline="0" fieldPosition="0">
        <references count="2">
          <reference field="4294967294" count="1" selected="0">
            <x v="0"/>
          </reference>
          <reference field="4" count="1" selected="0">
            <x v="226"/>
          </reference>
        </references>
      </pivotArea>
    </chartFormat>
    <chartFormat chart="2" format="227" series="1">
      <pivotArea type="data" outline="0" fieldPosition="0">
        <references count="2">
          <reference field="4294967294" count="1" selected="0">
            <x v="0"/>
          </reference>
          <reference field="4" count="1" selected="0">
            <x v="227"/>
          </reference>
        </references>
      </pivotArea>
    </chartFormat>
    <chartFormat chart="2" format="228" series="1">
      <pivotArea type="data" outline="0" fieldPosition="0">
        <references count="2">
          <reference field="4294967294" count="1" selected="0">
            <x v="0"/>
          </reference>
          <reference field="4" count="1" selected="0">
            <x v="228"/>
          </reference>
        </references>
      </pivotArea>
    </chartFormat>
    <chartFormat chart="2" format="229" series="1">
      <pivotArea type="data" outline="0" fieldPosition="0">
        <references count="2">
          <reference field="4294967294" count="1" selected="0">
            <x v="0"/>
          </reference>
          <reference field="4" count="1" selected="0">
            <x v="229"/>
          </reference>
        </references>
      </pivotArea>
    </chartFormat>
    <chartFormat chart="2" format="230" series="1">
      <pivotArea type="data" outline="0" fieldPosition="0">
        <references count="2">
          <reference field="4294967294" count="1" selected="0">
            <x v="0"/>
          </reference>
          <reference field="4" count="1" selected="0">
            <x v="230"/>
          </reference>
        </references>
      </pivotArea>
    </chartFormat>
    <chartFormat chart="2" format="231" series="1">
      <pivotArea type="data" outline="0" fieldPosition="0">
        <references count="2">
          <reference field="4294967294" count="1" selected="0">
            <x v="0"/>
          </reference>
          <reference field="4" count="1" selected="0">
            <x v="231"/>
          </reference>
        </references>
      </pivotArea>
    </chartFormat>
    <chartFormat chart="2" format="232" series="1">
      <pivotArea type="data" outline="0" fieldPosition="0">
        <references count="2">
          <reference field="4294967294" count="1" selected="0">
            <x v="0"/>
          </reference>
          <reference field="4" count="1" selected="0">
            <x v="23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6" firstHeaderRow="1" firstDataRow="1" firstDataCol="1"/>
  <pivotFields count="19">
    <pivotField showAll="0"/>
    <pivotField showAll="0"/>
    <pivotField showAll="0" defaultSubtotal="0"/>
    <pivotField showAll="0"/>
    <pivotField showAll="0"/>
    <pivotField showAll="0">
      <items count="39">
        <item x="19"/>
        <item x="17"/>
        <item x="13"/>
        <item x="15"/>
        <item x="8"/>
        <item x="24"/>
        <item x="30"/>
        <item x="4"/>
        <item x="2"/>
        <item x="33"/>
        <item x="21"/>
        <item x="23"/>
        <item x="27"/>
        <item x="11"/>
        <item m="1" x="36"/>
        <item x="0"/>
        <item m="1" x="37"/>
        <item x="7"/>
        <item x="31"/>
        <item x="22"/>
        <item x="14"/>
        <item x="9"/>
        <item x="16"/>
        <item m="1" x="35"/>
        <item x="1"/>
        <item x="6"/>
        <item x="18"/>
        <item x="32"/>
        <item x="5"/>
        <item x="26"/>
        <item x="29"/>
        <item x="28"/>
        <item x="10"/>
        <item x="25"/>
        <item x="12"/>
        <item x="20"/>
        <item x="3"/>
        <item x="34"/>
        <item t="default"/>
      </items>
    </pivotField>
    <pivotField showAll="0"/>
    <pivotField showAll="0"/>
    <pivotField showAll="0"/>
    <pivotField axis="axisRow" showAll="0">
      <items count="4">
        <item x="1"/>
        <item x="0"/>
        <item h="1" x="2"/>
        <item t="default"/>
      </items>
    </pivotField>
    <pivotField dataField="1" showAll="0">
      <items count="15">
        <item x="1"/>
        <item x="6"/>
        <item x="2"/>
        <item x="12"/>
        <item x="9"/>
        <item x="0"/>
        <item x="7"/>
        <item x="8"/>
        <item x="5"/>
        <item x="4"/>
        <item x="11"/>
        <item x="3"/>
        <item x="10"/>
        <item x="13"/>
        <item t="default"/>
      </items>
    </pivotField>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9" count="1" selected="0">
            <x v="0"/>
          </reference>
        </references>
      </pivotArea>
    </chartFormat>
    <chartFormat chart="31"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9">
    <pivotField showAll="0"/>
    <pivotField showAll="0"/>
    <pivotField showAll="0" defaultSubtotal="0"/>
    <pivotField showAll="0"/>
    <pivotField axis="axisRow" showAll="0" measureFilter="1">
      <items count="234">
        <item x="133"/>
        <item x="34"/>
        <item x="28"/>
        <item x="23"/>
        <item x="226"/>
        <item x="58"/>
        <item x="72"/>
        <item x="182"/>
        <item x="73"/>
        <item x="46"/>
        <item x="177"/>
        <item x="11"/>
        <item x="75"/>
        <item x="122"/>
        <item x="69"/>
        <item x="162"/>
        <item x="137"/>
        <item x="189"/>
        <item x="117"/>
        <item x="147"/>
        <item x="158"/>
        <item x="214"/>
        <item x="205"/>
        <item x="82"/>
        <item x="131"/>
        <item x="155"/>
        <item x="65"/>
        <item x="203"/>
        <item x="110"/>
        <item x="190"/>
        <item x="0"/>
        <item x="185"/>
        <item x="66"/>
        <item x="132"/>
        <item x="151"/>
        <item x="45"/>
        <item x="178"/>
        <item x="156"/>
        <item x="224"/>
        <item x="128"/>
        <item x="179"/>
        <item x="25"/>
        <item x="223"/>
        <item x="141"/>
        <item x="78"/>
        <item x="94"/>
        <item x="31"/>
        <item x="160"/>
        <item x="4"/>
        <item x="143"/>
        <item x="217"/>
        <item x="42"/>
        <item x="51"/>
        <item x="29"/>
        <item x="60"/>
        <item x="100"/>
        <item x="169"/>
        <item x="121"/>
        <item x="56"/>
        <item x="30"/>
        <item x="15"/>
        <item x="140"/>
        <item x="161"/>
        <item x="150"/>
        <item x="62"/>
        <item x="88"/>
        <item x="216"/>
        <item x="50"/>
        <item x="170"/>
        <item x="184"/>
        <item x="197"/>
        <item x="104"/>
        <item x="19"/>
        <item x="218"/>
        <item x="106"/>
        <item x="208"/>
        <item x="105"/>
        <item x="36"/>
        <item x="204"/>
        <item x="192"/>
        <item x="124"/>
        <item x="92"/>
        <item x="10"/>
        <item x="114"/>
        <item x="55"/>
        <item x="188"/>
        <item x="202"/>
        <item x="212"/>
        <item x="52"/>
        <item x="138"/>
        <item x="215"/>
        <item x="89"/>
        <item x="9"/>
        <item x="35"/>
        <item x="183"/>
        <item x="220"/>
        <item x="145"/>
        <item x="157"/>
        <item x="200"/>
        <item x="76"/>
        <item x="219"/>
        <item x="127"/>
        <item x="81"/>
        <item x="191"/>
        <item x="209"/>
        <item x="199"/>
        <item x="26"/>
        <item x="211"/>
        <item x="193"/>
        <item x="148"/>
        <item x="159"/>
        <item x="67"/>
        <item x="61"/>
        <item x="93"/>
        <item x="120"/>
        <item x="44"/>
        <item x="32"/>
        <item x="80"/>
        <item x="136"/>
        <item x="163"/>
        <item x="165"/>
        <item x="129"/>
        <item x="171"/>
        <item x="99"/>
        <item x="1"/>
        <item x="2"/>
        <item x="144"/>
        <item x="84"/>
        <item x="173"/>
        <item x="68"/>
        <item x="70"/>
        <item x="7"/>
        <item x="102"/>
        <item x="152"/>
        <item x="119"/>
        <item x="194"/>
        <item x="196"/>
        <item x="181"/>
        <item x="109"/>
        <item x="135"/>
        <item x="13"/>
        <item x="139"/>
        <item x="207"/>
        <item x="175"/>
        <item x="3"/>
        <item x="187"/>
        <item x="168"/>
        <item x="77"/>
        <item x="37"/>
        <item x="130"/>
        <item x="107"/>
        <item x="146"/>
        <item x="98"/>
        <item x="83"/>
        <item x="230"/>
        <item x="229"/>
        <item x="87"/>
        <item x="48"/>
        <item x="231"/>
        <item x="153"/>
        <item x="174"/>
        <item x="90"/>
        <item x="63"/>
        <item x="41"/>
        <item x="91"/>
        <item x="108"/>
        <item x="228"/>
        <item x="18"/>
        <item x="118"/>
        <item x="195"/>
        <item x="186"/>
        <item x="227"/>
        <item x="115"/>
        <item x="57"/>
        <item x="86"/>
        <item x="43"/>
        <item x="180"/>
        <item x="47"/>
        <item x="74"/>
        <item x="95"/>
        <item x="111"/>
        <item x="59"/>
        <item x="113"/>
        <item x="210"/>
        <item x="126"/>
        <item x="101"/>
        <item x="22"/>
        <item x="17"/>
        <item x="176"/>
        <item x="154"/>
        <item x="54"/>
        <item x="97"/>
        <item x="24"/>
        <item x="16"/>
        <item x="123"/>
        <item x="225"/>
        <item x="27"/>
        <item x="221"/>
        <item x="39"/>
        <item x="96"/>
        <item x="64"/>
        <item x="79"/>
        <item x="213"/>
        <item x="12"/>
        <item x="20"/>
        <item x="222"/>
        <item x="21"/>
        <item x="33"/>
        <item x="125"/>
        <item x="116"/>
        <item x="40"/>
        <item x="5"/>
        <item x="164"/>
        <item x="14"/>
        <item x="142"/>
        <item x="201"/>
        <item x="167"/>
        <item x="206"/>
        <item x="85"/>
        <item x="49"/>
        <item x="38"/>
        <item x="134"/>
        <item x="103"/>
        <item x="6"/>
        <item x="166"/>
        <item x="198"/>
        <item x="112"/>
        <item x="71"/>
        <item x="8"/>
        <item x="149"/>
        <item x="53"/>
        <item x="172"/>
        <item x="232"/>
        <item t="default"/>
      </items>
    </pivotField>
    <pivotField showAll="0">
      <items count="39">
        <item x="19"/>
        <item x="17"/>
        <item x="13"/>
        <item x="15"/>
        <item x="8"/>
        <item x="24"/>
        <item x="30"/>
        <item x="4"/>
        <item x="2"/>
        <item x="33"/>
        <item x="21"/>
        <item x="23"/>
        <item x="27"/>
        <item x="11"/>
        <item m="1" x="36"/>
        <item x="0"/>
        <item m="1" x="37"/>
        <item x="7"/>
        <item x="31"/>
        <item x="22"/>
        <item x="14"/>
        <item x="9"/>
        <item x="16"/>
        <item m="1" x="35"/>
        <item x="1"/>
        <item x="6"/>
        <item x="18"/>
        <item x="32"/>
        <item x="5"/>
        <item x="26"/>
        <item x="29"/>
        <item x="28"/>
        <item x="10"/>
        <item x="25"/>
        <item x="12"/>
        <item x="20"/>
        <item x="3"/>
        <item x="34"/>
        <item t="default"/>
      </items>
    </pivotField>
    <pivotField showAll="0"/>
    <pivotField showAll="0"/>
    <pivotField showAll="0"/>
    <pivotField showAll="0"/>
    <pivotField dataField="1" showAll="0">
      <items count="15">
        <item x="1"/>
        <item x="6"/>
        <item x="2"/>
        <item x="12"/>
        <item x="9"/>
        <item x="0"/>
        <item x="7"/>
        <item x="8"/>
        <item x="5"/>
        <item x="4"/>
        <item x="11"/>
        <item x="3"/>
        <item x="10"/>
        <item x="13"/>
        <item t="default"/>
      </items>
    </pivotField>
    <pivotField showAll="0"/>
    <pivotField showAll="0"/>
    <pivotField showAll="0"/>
    <pivotField showAll="0"/>
    <pivotField showAll="0"/>
    <pivotField showAll="0"/>
    <pivotField showAll="0"/>
    <pivotField showAll="0"/>
  </pivotFields>
  <rowFields count="1">
    <field x="4"/>
  </rowFields>
  <rowItems count="13">
    <i>
      <x v="9"/>
    </i>
    <i>
      <x v="18"/>
    </i>
    <i>
      <x v="35"/>
    </i>
    <i>
      <x v="44"/>
    </i>
    <i>
      <x v="58"/>
    </i>
    <i>
      <x v="124"/>
    </i>
    <i>
      <x v="140"/>
    </i>
    <i>
      <x v="173"/>
    </i>
    <i>
      <x v="198"/>
    </i>
    <i>
      <x v="211"/>
    </i>
    <i>
      <x v="222"/>
    </i>
    <i>
      <x v="228"/>
    </i>
    <i t="grand">
      <x/>
    </i>
  </rowItems>
  <colItems count="1">
    <i/>
  </colItems>
  <dataFields count="1">
    <dataField name="Count of Winner" fld="1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9000000}"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M8:O25" firstHeaderRow="1" firstDataRow="1" firstDataCol="0"/>
  <pivotFields count="21">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B6" firstHeaderRow="1" firstDataRow="1" firstDataCol="1"/>
  <pivotFields count="21">
    <pivotField showAll="0">
      <items count="800">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t="default"/>
      </items>
    </pivotField>
    <pivotField showAll="0"/>
    <pivotField dataField="1" showAll="0">
      <items count="14">
        <item x="0"/>
        <item x="1"/>
        <item x="2"/>
        <item x="3"/>
        <item x="4"/>
        <item x="5"/>
        <item x="6"/>
        <item x="7"/>
        <item x="8"/>
        <item x="9"/>
        <item x="10"/>
        <item x="11"/>
        <item x="12"/>
        <item t="default"/>
      </items>
    </pivotField>
    <pivotField numFmtId="14"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s>
  <rowFields count="1">
    <field x="20"/>
  </rowFields>
  <rowItems count="3">
    <i>
      <x/>
    </i>
    <i>
      <x v="1"/>
    </i>
    <i t="grand">
      <x/>
    </i>
  </rowItems>
  <colItems count="1">
    <i/>
  </colItems>
  <dataFields count="1">
    <dataField name="Count of Season" fld="2" subtotal="count" baseField="0" baseItem="46"/>
  </dataFields>
  <chartFormats count="9">
    <chartFormat chart="0" format="5"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20" count="1" selected="0">
            <x v="0"/>
          </reference>
        </references>
      </pivotArea>
    </chartFormat>
    <chartFormat chart="22" format="9">
      <pivotArea type="data" outline="0" fieldPosition="0">
        <references count="2">
          <reference field="4294967294" count="1" selected="0">
            <x v="0"/>
          </reference>
          <reference field="20" count="1" selected="0">
            <x v="1"/>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20" count="1" selected="0">
            <x v="0"/>
          </reference>
        </references>
      </pivotArea>
    </chartFormat>
    <chartFormat chart="24" format="12">
      <pivotArea type="data" outline="0" fieldPosition="0">
        <references count="2">
          <reference field="4294967294" count="1" selected="0">
            <x v="0"/>
          </reference>
          <reference field="20" count="1" selected="0">
            <x v="1"/>
          </reference>
        </references>
      </pivotArea>
    </chartFormat>
    <chartFormat chart="0" format="7">
      <pivotArea type="data" outline="0" fieldPosition="0">
        <references count="2">
          <reference field="4294967294" count="1" selected="0">
            <x v="0"/>
          </reference>
          <reference field="20" count="1" selected="0">
            <x v="0"/>
          </reference>
        </references>
      </pivotArea>
    </chartFormat>
    <chartFormat chart="0"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36">
    <queryTableFields count="21">
      <queryTableField id="21" name="ID" tableColumnId="21"/>
      <queryTableField id="2" name="City" tableColumnId="2"/>
      <queryTableField id="34" dataBound="0" tableColumnId="24"/>
      <queryTableField id="20" name="Date " tableColumnId="20"/>
      <queryTableField id="6" name="Player of the Match" tableColumnId="6"/>
      <queryTableField id="7" name="Venue" tableColumnId="7"/>
      <queryTableField id="9" name="Team 1" tableColumnId="9"/>
      <queryTableField id="10" name="Team 2" tableColumnId="10"/>
      <queryTableField id="11" name="Toss Winner" tableColumnId="11"/>
      <queryTableField id="12" name="Toss Decision" tableColumnId="12"/>
      <queryTableField id="13" name="Winner" tableColumnId="13"/>
      <queryTableField id="14" name="Result" tableColumnId="14"/>
      <queryTableField id="15" name="Result Margin" tableColumnId="15"/>
      <queryTableField id="16" name="Eliminator" tableColumnId="16"/>
      <queryTableField id="17" name="Method" tableColumnId="17"/>
      <queryTableField id="18" name="Umpire 1" tableColumnId="18"/>
      <queryTableField id="19" name="Umpire 2" tableColumnId="19"/>
      <queryTableField id="30" name="Year" tableColumnId="1"/>
      <queryTableField id="31" name="Win Type" tableColumnId="3"/>
      <queryTableField id="35" dataBound="0" tableColumnId="25"/>
      <queryTableField id="32" name="Toss Impac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00000000-0013-0000-FFFF-FFFF01000000}" sourceName="Winner">
  <pivotTables>
    <pivotTable tabId="3" name="PivotTable1"/>
    <pivotTable tabId="4" name="PivotTable2"/>
    <pivotTable tabId="7" name="PivotTable5"/>
    <pivotTable tabId="6" name="PivotTable4"/>
    <pivotTable tabId="8" name="PivotTable6"/>
  </pivotTables>
  <data>
    <tabular pivotCacheId="349345262">
      <items count="14">
        <i x="1" s="1"/>
        <i x="6" s="1"/>
        <i x="2" s="1"/>
        <i x="12" s="1"/>
        <i x="9" s="1"/>
        <i x="0" s="1"/>
        <i x="7" s="1"/>
        <i x="8" s="1"/>
        <i x="5" s="1"/>
        <i x="4" s="1"/>
        <i x="11" s="1"/>
        <i x="3" s="1"/>
        <i x="10" s="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3" name="PivotTable1"/>
  </pivotTables>
  <data>
    <tabular pivotCacheId="349345262">
      <items count="14">
        <i x="0" s="1"/>
        <i x="1" s="1"/>
        <i x="2" s="1"/>
        <i x="3" s="1"/>
        <i x="4" s="1"/>
        <i x="5" s="1"/>
        <i x="6" s="1"/>
        <i x="7" s="1"/>
        <i x="8" s="1"/>
        <i x="9" s="1"/>
        <i x="10" s="1"/>
        <i x="11" s="1"/>
        <i x="12" s="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3000000}" sourceName="Year">
  <pivotTables>
    <pivotTable tabId="12" name="PivotTable1"/>
  </pivotTables>
  <data>
    <tabular pivotCacheId="1710041354">
      <items count="13">
        <i x="0" s="1"/>
        <i x="1" s="1"/>
        <i x="2" s="1"/>
        <i x="3" s="1"/>
        <i x="4" s="1"/>
        <i x="5" s="1"/>
        <i x="6" s="1"/>
        <i x="7" s="1"/>
        <i x="8" s="1"/>
        <i x="9" s="1"/>
        <i x="10" s="1"/>
        <i x="11"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00000000-0013-0000-FFFF-FFFF04000000}" sourceName="Venue">
  <pivotTables>
    <pivotTable tabId="4" name="PivotTable2"/>
    <pivotTable tabId="7" name="PivotTable5"/>
    <pivotTable tabId="6" name="PivotTable4"/>
    <pivotTable tabId="3" name="PivotTable1"/>
    <pivotTable tabId="8" name="PivotTable6"/>
  </pivotTables>
  <data>
    <tabular pivotCacheId="349345262">
      <items count="38">
        <i x="19" s="1"/>
        <i x="17" s="1"/>
        <i x="13" s="1"/>
        <i x="15" s="1"/>
        <i x="8" s="1"/>
        <i x="24" s="1"/>
        <i x="30" s="1"/>
        <i x="4" s="1"/>
        <i x="2" s="1"/>
        <i x="33" s="1"/>
        <i x="21" s="1"/>
        <i x="23" s="1"/>
        <i x="27" s="1"/>
        <i x="11" s="1"/>
        <i x="0" s="1"/>
        <i x="7" s="1"/>
        <i x="31" s="1"/>
        <i x="22" s="1"/>
        <i x="14" s="1"/>
        <i x="9" s="1"/>
        <i x="16" s="1"/>
        <i x="1" s="1"/>
        <i x="6" s="1"/>
        <i x="18" s="1"/>
        <i x="32" s="1"/>
        <i x="5" s="1"/>
        <i x="26" s="1"/>
        <i x="29" s="1"/>
        <i x="28" s="1"/>
        <i x="10" s="1"/>
        <i x="25" s="1"/>
        <i x="12" s="1"/>
        <i x="20" s="1"/>
        <i x="3" s="1"/>
        <i x="36" s="1" nd="1"/>
        <i x="37" s="1" nd="1"/>
        <i x="35" s="1" nd="1"/>
        <i x="3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5000000}" sourceName="Season">
  <pivotTables>
    <pivotTable tabId="14" name="PivotTable3"/>
    <pivotTable tabId="16" name="PivotTable4"/>
    <pivotTable tabId="12" name="PivotTable1"/>
  </pivotTables>
  <data>
    <tabular pivotCacheId="1710041354">
      <items count="13">
        <i x="0" s="1"/>
        <i x="1" s="1"/>
        <i x="2" s="1"/>
        <i x="3" s="1"/>
        <i x="4" s="1"/>
        <i x="5" s="1"/>
        <i x="6" s="1"/>
        <i x="7" s="1"/>
        <i x="8" s="1"/>
        <i x="9" s="1"/>
        <i x="10" s="1"/>
        <i x="11" s="1"/>
        <i x="12"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ss_Win" xr10:uid="{00000000-0013-0000-FFFF-FFFF06000000}" sourceName="Toss Win ">
  <pivotTables>
    <pivotTable tabId="14" name="PivotTable3"/>
  </pivotTables>
  <data>
    <tabular pivotCacheId="17100413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ner 1" xr10:uid="{00000000-0014-0000-FFFF-FFFF01000000}" cache="Slicer_Winner" caption="Winner" style="SlicerStyleLight2" rowHeight="241300"/>
  <slicer name="Venue" xr10:uid="{00000000-0014-0000-FFFF-FFFF02000000}" cache="Slicer_Venue" caption="Venue" startItem="9" style="SlicerStyleLight2" rowHeight="241300"/>
  <slicer name="Season 1" xr10:uid="{00000000-0014-0000-FFFF-FFFF03000000}" cache="Slicer_Season" caption="Season"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4000000}"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ner" xr10:uid="{00000000-0014-0000-FFFF-FFFF05000000}" cache="Slicer_Winner" caption="Winner" rowHeight="234950"/>
  <slicer name="Year" xr10:uid="{00000000-0014-0000-FFFF-FFFF06000000}" cache="Slicer_Year" caption="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7000000}" cache="Slicer_Season" caption="Season" rowHeight="241300"/>
  <slicer name="Toss Win " xr10:uid="{00000000-0014-0000-FFFF-FFFF08000000}" cache="Slicer_Toss_Win" caption="Toss Win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PL_Matches_2008_2020___New" displayName="IPL_Matches_2008_2020___New" ref="A1:U800" tableType="queryTable" totalsRowShown="0">
  <autoFilter ref="A1:U800" xr:uid="{00000000-0009-0000-0100-000001000000}"/>
  <tableColumns count="21">
    <tableColumn id="21" xr3:uid="{00000000-0010-0000-0000-000015000000}" uniqueName="21" name="ID" queryTableFieldId="21" dataDxfId="16"/>
    <tableColumn id="2" xr3:uid="{00000000-0010-0000-0000-000002000000}" uniqueName="2" name="City" queryTableFieldId="2" dataDxfId="15"/>
    <tableColumn id="24" xr3:uid="{00000000-0010-0000-0000-000018000000}" uniqueName="24" name="Season" queryTableFieldId="34" dataDxfId="14">
      <calculatedColumnFormula>YEAR(IPL_Matches_2008_2020___New[[#This Row],[Date ]])</calculatedColumnFormula>
    </tableColumn>
    <tableColumn id="20" xr3:uid="{00000000-0010-0000-0000-000014000000}" uniqueName="20" name="Date " queryTableFieldId="20" dataDxfId="13"/>
    <tableColumn id="6" xr3:uid="{00000000-0010-0000-0000-000006000000}" uniqueName="6" name="Player of the Match" queryTableFieldId="6" dataDxfId="12"/>
    <tableColumn id="7" xr3:uid="{00000000-0010-0000-0000-000007000000}" uniqueName="7" name="Venue" queryTableFieldId="7" dataDxfId="11"/>
    <tableColumn id="9" xr3:uid="{00000000-0010-0000-0000-000009000000}" uniqueName="9" name="Team 1" queryTableFieldId="9" dataDxfId="10"/>
    <tableColumn id="10" xr3:uid="{00000000-0010-0000-0000-00000A000000}" uniqueName="10" name="Team 2" queryTableFieldId="10" dataDxfId="9"/>
    <tableColumn id="11" xr3:uid="{00000000-0010-0000-0000-00000B000000}" uniqueName="11" name="Toss Winner" queryTableFieldId="11" dataDxfId="8"/>
    <tableColumn id="12" xr3:uid="{00000000-0010-0000-0000-00000C000000}" uniqueName="12" name="Toss Decision" queryTableFieldId="12" dataDxfId="7"/>
    <tableColumn id="13" xr3:uid="{00000000-0010-0000-0000-00000D000000}" uniqueName="13" name="Winner" queryTableFieldId="13" dataDxfId="6"/>
    <tableColumn id="14" xr3:uid="{00000000-0010-0000-0000-00000E000000}" uniqueName="14" name="Result" queryTableFieldId="14" dataDxfId="5"/>
    <tableColumn id="15" xr3:uid="{00000000-0010-0000-0000-00000F000000}" uniqueName="15" name="Result Margin" queryTableFieldId="15"/>
    <tableColumn id="16" xr3:uid="{00000000-0010-0000-0000-000010000000}" uniqueName="16" name="Eliminator" queryTableFieldId="16" dataDxfId="4"/>
    <tableColumn id="17" xr3:uid="{00000000-0010-0000-0000-000011000000}" uniqueName="17" name="Method" queryTableFieldId="17" dataDxfId="3"/>
    <tableColumn id="18" xr3:uid="{00000000-0010-0000-0000-000012000000}" uniqueName="18" name="Umpire 1" queryTableFieldId="18" dataDxfId="2"/>
    <tableColumn id="19" xr3:uid="{00000000-0010-0000-0000-000013000000}" uniqueName="19" name="Umpire 2" queryTableFieldId="19" dataDxfId="1"/>
    <tableColumn id="1" xr3:uid="{00000000-0010-0000-0000-000001000000}" uniqueName="1" name="Year" queryTableFieldId="30"/>
    <tableColumn id="3" xr3:uid="{00000000-0010-0000-0000-000003000000}" uniqueName="3" name="Win Type" queryTableFieldId="31"/>
    <tableColumn id="25" xr3:uid="{00000000-0010-0000-0000-000019000000}" uniqueName="25" name="Toss Win " queryTableFieldId="35" dataDxfId="0">
      <calculatedColumnFormula>IF(IPL_Matches_2008_2020___New[[#This Row],[Toss Winner]]=IPL_Matches_2008_2020___New[[#This Row],[Winner]],1,0)</calculatedColumnFormula>
    </tableColumn>
    <tableColumn id="4" xr3:uid="{00000000-0010-0000-0000-000004000000}" uniqueName="4" name="Toss Impact" queryTableFieldId="3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
  <sheetViews>
    <sheetView showGridLines="0" tabSelected="1" topLeftCell="P1" zoomScale="62" zoomScaleNormal="62" workbookViewId="0">
      <selection activeCell="K47" sqref="K47"/>
    </sheetView>
  </sheetViews>
  <sheetFormatPr defaultRowHeight="14.4" x14ac:dyDescent="0.3"/>
  <cols>
    <col min="1" max="36" width="9.1093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Q817"/>
  <sheetViews>
    <sheetView workbookViewId="0">
      <selection activeCell="D1" sqref="D1"/>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335982</v>
      </c>
      <c r="B2" t="s">
        <v>17</v>
      </c>
      <c r="C2" t="s">
        <v>18</v>
      </c>
      <c r="D2" t="s">
        <v>19</v>
      </c>
      <c r="E2" t="s">
        <v>20</v>
      </c>
      <c r="F2">
        <v>0</v>
      </c>
      <c r="G2" t="s">
        <v>21</v>
      </c>
      <c r="H2" t="s">
        <v>22</v>
      </c>
      <c r="I2" t="s">
        <v>21</v>
      </c>
      <c r="J2" t="s">
        <v>23</v>
      </c>
      <c r="K2" t="s">
        <v>22</v>
      </c>
      <c r="L2" t="s">
        <v>24</v>
      </c>
      <c r="M2">
        <v>140</v>
      </c>
      <c r="N2" t="s">
        <v>25</v>
      </c>
      <c r="O2" t="s">
        <v>26</v>
      </c>
      <c r="P2" t="s">
        <v>27</v>
      </c>
      <c r="Q2" t="s">
        <v>28</v>
      </c>
    </row>
    <row r="3" spans="1:17" x14ac:dyDescent="0.3">
      <c r="A3">
        <v>335983</v>
      </c>
      <c r="B3" t="s">
        <v>29</v>
      </c>
      <c r="C3" t="s">
        <v>30</v>
      </c>
      <c r="D3" t="s">
        <v>31</v>
      </c>
      <c r="E3" t="s">
        <v>32</v>
      </c>
      <c r="F3">
        <v>0</v>
      </c>
      <c r="G3" t="s">
        <v>33</v>
      </c>
      <c r="H3" t="s">
        <v>34</v>
      </c>
      <c r="I3" t="s">
        <v>34</v>
      </c>
      <c r="J3" t="s">
        <v>35</v>
      </c>
      <c r="K3" t="s">
        <v>34</v>
      </c>
      <c r="L3" t="s">
        <v>24</v>
      </c>
      <c r="M3">
        <v>33</v>
      </c>
      <c r="N3" t="s">
        <v>25</v>
      </c>
      <c r="O3" t="s">
        <v>26</v>
      </c>
      <c r="P3" t="s">
        <v>36</v>
      </c>
      <c r="Q3" t="s">
        <v>37</v>
      </c>
    </row>
    <row r="4" spans="1:17" x14ac:dyDescent="0.3">
      <c r="A4">
        <v>335984</v>
      </c>
      <c r="B4" t="s">
        <v>38</v>
      </c>
      <c r="C4" t="s">
        <v>30</v>
      </c>
      <c r="D4" t="s">
        <v>39</v>
      </c>
      <c r="E4" t="s">
        <v>40</v>
      </c>
      <c r="F4">
        <v>0</v>
      </c>
      <c r="G4" t="s">
        <v>41</v>
      </c>
      <c r="H4" t="s">
        <v>42</v>
      </c>
      <c r="I4" t="s">
        <v>42</v>
      </c>
      <c r="J4" t="s">
        <v>35</v>
      </c>
      <c r="K4" t="s">
        <v>41</v>
      </c>
      <c r="L4" t="s">
        <v>43</v>
      </c>
      <c r="M4">
        <v>9</v>
      </c>
      <c r="N4" t="s">
        <v>25</v>
      </c>
      <c r="O4" t="s">
        <v>26</v>
      </c>
      <c r="P4" t="s">
        <v>44</v>
      </c>
      <c r="Q4" t="s">
        <v>45</v>
      </c>
    </row>
    <row r="5" spans="1:17" x14ac:dyDescent="0.3">
      <c r="A5">
        <v>335985</v>
      </c>
      <c r="B5" t="s">
        <v>46</v>
      </c>
      <c r="C5" t="s">
        <v>47</v>
      </c>
      <c r="D5" t="s">
        <v>48</v>
      </c>
      <c r="E5" t="s">
        <v>49</v>
      </c>
      <c r="F5">
        <v>0</v>
      </c>
      <c r="G5" t="s">
        <v>50</v>
      </c>
      <c r="H5" t="s">
        <v>21</v>
      </c>
      <c r="I5" t="s">
        <v>50</v>
      </c>
      <c r="J5" t="s">
        <v>35</v>
      </c>
      <c r="K5" t="s">
        <v>21</v>
      </c>
      <c r="L5" t="s">
        <v>43</v>
      </c>
      <c r="M5">
        <v>5</v>
      </c>
      <c r="N5" t="s">
        <v>25</v>
      </c>
      <c r="O5" t="s">
        <v>26</v>
      </c>
      <c r="P5" t="s">
        <v>51</v>
      </c>
      <c r="Q5" t="s">
        <v>52</v>
      </c>
    </row>
    <row r="6" spans="1:17" x14ac:dyDescent="0.3">
      <c r="A6">
        <v>335986</v>
      </c>
      <c r="B6" t="s">
        <v>53</v>
      </c>
      <c r="C6" t="s">
        <v>47</v>
      </c>
      <c r="D6" t="s">
        <v>54</v>
      </c>
      <c r="E6" t="s">
        <v>55</v>
      </c>
      <c r="F6">
        <v>0</v>
      </c>
      <c r="G6" t="s">
        <v>22</v>
      </c>
      <c r="H6" t="s">
        <v>56</v>
      </c>
      <c r="I6" t="s">
        <v>56</v>
      </c>
      <c r="J6" t="s">
        <v>35</v>
      </c>
      <c r="K6" t="s">
        <v>22</v>
      </c>
      <c r="L6" t="s">
        <v>43</v>
      </c>
      <c r="M6">
        <v>5</v>
      </c>
      <c r="N6" t="s">
        <v>25</v>
      </c>
      <c r="O6" t="s">
        <v>26</v>
      </c>
      <c r="P6" t="s">
        <v>57</v>
      </c>
      <c r="Q6" t="s">
        <v>58</v>
      </c>
    </row>
    <row r="7" spans="1:17" x14ac:dyDescent="0.3">
      <c r="A7">
        <v>335987</v>
      </c>
      <c r="B7" t="s">
        <v>59</v>
      </c>
      <c r="C7" t="s">
        <v>60</v>
      </c>
      <c r="D7" t="s">
        <v>61</v>
      </c>
      <c r="E7" t="s">
        <v>62</v>
      </c>
      <c r="F7">
        <v>0</v>
      </c>
      <c r="G7" t="s">
        <v>42</v>
      </c>
      <c r="H7" t="s">
        <v>33</v>
      </c>
      <c r="I7" t="s">
        <v>33</v>
      </c>
      <c r="J7" t="s">
        <v>35</v>
      </c>
      <c r="K7" t="s">
        <v>42</v>
      </c>
      <c r="L7" t="s">
        <v>43</v>
      </c>
      <c r="M7">
        <v>6</v>
      </c>
      <c r="N7" t="s">
        <v>25</v>
      </c>
      <c r="O7" t="s">
        <v>26</v>
      </c>
      <c r="P7" t="s">
        <v>44</v>
      </c>
      <c r="Q7" t="s">
        <v>63</v>
      </c>
    </row>
    <row r="8" spans="1:17" x14ac:dyDescent="0.3">
      <c r="A8">
        <v>335988</v>
      </c>
      <c r="B8" t="s">
        <v>64</v>
      </c>
      <c r="C8" t="s">
        <v>65</v>
      </c>
      <c r="D8" t="s">
        <v>66</v>
      </c>
      <c r="E8" t="s">
        <v>67</v>
      </c>
      <c r="F8">
        <v>0</v>
      </c>
      <c r="G8" t="s">
        <v>56</v>
      </c>
      <c r="H8" t="s">
        <v>41</v>
      </c>
      <c r="I8" t="s">
        <v>56</v>
      </c>
      <c r="J8" t="s">
        <v>35</v>
      </c>
      <c r="K8" t="s">
        <v>41</v>
      </c>
      <c r="L8" t="s">
        <v>43</v>
      </c>
      <c r="M8">
        <v>9</v>
      </c>
      <c r="N8" t="s">
        <v>25</v>
      </c>
      <c r="O8" t="s">
        <v>26</v>
      </c>
      <c r="P8" t="s">
        <v>68</v>
      </c>
      <c r="Q8" t="s">
        <v>69</v>
      </c>
    </row>
    <row r="9" spans="1:17" x14ac:dyDescent="0.3">
      <c r="A9">
        <v>335989</v>
      </c>
      <c r="B9" t="s">
        <v>70</v>
      </c>
      <c r="C9" t="s">
        <v>71</v>
      </c>
      <c r="D9" t="s">
        <v>72</v>
      </c>
      <c r="E9" t="s">
        <v>73</v>
      </c>
      <c r="F9">
        <v>0</v>
      </c>
      <c r="G9" t="s">
        <v>34</v>
      </c>
      <c r="H9" t="s">
        <v>50</v>
      </c>
      <c r="I9" t="s">
        <v>50</v>
      </c>
      <c r="J9" t="s">
        <v>23</v>
      </c>
      <c r="K9" t="s">
        <v>34</v>
      </c>
      <c r="L9" t="s">
        <v>24</v>
      </c>
      <c r="M9">
        <v>6</v>
      </c>
      <c r="N9" t="s">
        <v>25</v>
      </c>
      <c r="O9" t="s">
        <v>26</v>
      </c>
      <c r="P9" t="s">
        <v>52</v>
      </c>
      <c r="Q9" t="s">
        <v>45</v>
      </c>
    </row>
    <row r="10" spans="1:17" x14ac:dyDescent="0.3">
      <c r="A10">
        <v>335990</v>
      </c>
      <c r="B10" t="s">
        <v>64</v>
      </c>
      <c r="C10" t="s">
        <v>74</v>
      </c>
      <c r="D10" t="s">
        <v>75</v>
      </c>
      <c r="E10" t="s">
        <v>67</v>
      </c>
      <c r="F10">
        <v>0</v>
      </c>
      <c r="G10" t="s">
        <v>56</v>
      </c>
      <c r="H10" t="s">
        <v>42</v>
      </c>
      <c r="I10" t="s">
        <v>42</v>
      </c>
      <c r="J10" t="s">
        <v>23</v>
      </c>
      <c r="K10" t="s">
        <v>42</v>
      </c>
      <c r="L10" t="s">
        <v>43</v>
      </c>
      <c r="M10">
        <v>3</v>
      </c>
      <c r="N10" t="s">
        <v>25</v>
      </c>
      <c r="O10" t="s">
        <v>26</v>
      </c>
      <c r="P10" t="s">
        <v>27</v>
      </c>
      <c r="Q10" t="s">
        <v>36</v>
      </c>
    </row>
    <row r="11" spans="1:17" x14ac:dyDescent="0.3">
      <c r="A11">
        <v>335991</v>
      </c>
      <c r="B11" t="s">
        <v>29</v>
      </c>
      <c r="C11" t="s">
        <v>76</v>
      </c>
      <c r="D11" t="s">
        <v>77</v>
      </c>
      <c r="E11" t="s">
        <v>32</v>
      </c>
      <c r="F11">
        <v>0</v>
      </c>
      <c r="G11" t="s">
        <v>33</v>
      </c>
      <c r="H11" t="s">
        <v>50</v>
      </c>
      <c r="I11" t="s">
        <v>50</v>
      </c>
      <c r="J11" t="s">
        <v>23</v>
      </c>
      <c r="K11" t="s">
        <v>33</v>
      </c>
      <c r="L11" t="s">
        <v>24</v>
      </c>
      <c r="M11">
        <v>66</v>
      </c>
      <c r="N11" t="s">
        <v>25</v>
      </c>
      <c r="O11" t="s">
        <v>26</v>
      </c>
      <c r="P11" t="s">
        <v>44</v>
      </c>
      <c r="Q11" t="s">
        <v>69</v>
      </c>
    </row>
    <row r="12" spans="1:17" x14ac:dyDescent="0.3">
      <c r="A12">
        <v>335992</v>
      </c>
      <c r="B12" t="s">
        <v>17</v>
      </c>
      <c r="C12" t="s">
        <v>78</v>
      </c>
      <c r="D12" t="s">
        <v>61</v>
      </c>
      <c r="E12" t="s">
        <v>20</v>
      </c>
      <c r="F12">
        <v>0</v>
      </c>
      <c r="G12" t="s">
        <v>21</v>
      </c>
      <c r="H12" t="s">
        <v>42</v>
      </c>
      <c r="I12" t="s">
        <v>42</v>
      </c>
      <c r="J12" t="s">
        <v>23</v>
      </c>
      <c r="K12" t="s">
        <v>42</v>
      </c>
      <c r="L12" t="s">
        <v>43</v>
      </c>
      <c r="M12">
        <v>7</v>
      </c>
      <c r="N12" t="s">
        <v>25</v>
      </c>
      <c r="O12" t="s">
        <v>26</v>
      </c>
      <c r="P12" t="s">
        <v>36</v>
      </c>
      <c r="Q12" t="s">
        <v>68</v>
      </c>
    </row>
    <row r="13" spans="1:17" x14ac:dyDescent="0.3">
      <c r="A13">
        <v>335993</v>
      </c>
      <c r="B13" t="s">
        <v>70</v>
      </c>
      <c r="C13" t="s">
        <v>78</v>
      </c>
      <c r="D13" t="s">
        <v>79</v>
      </c>
      <c r="E13" t="s">
        <v>73</v>
      </c>
      <c r="F13">
        <v>0</v>
      </c>
      <c r="G13" t="s">
        <v>34</v>
      </c>
      <c r="H13" t="s">
        <v>22</v>
      </c>
      <c r="I13" t="s">
        <v>22</v>
      </c>
      <c r="J13" t="s">
        <v>35</v>
      </c>
      <c r="K13" t="s">
        <v>34</v>
      </c>
      <c r="L13" t="s">
        <v>43</v>
      </c>
      <c r="M13">
        <v>9</v>
      </c>
      <c r="N13" t="s">
        <v>25</v>
      </c>
      <c r="O13" t="s">
        <v>26</v>
      </c>
      <c r="P13" t="s">
        <v>57</v>
      </c>
      <c r="Q13" t="s">
        <v>80</v>
      </c>
    </row>
    <row r="14" spans="1:17" x14ac:dyDescent="0.3">
      <c r="A14">
        <v>335994</v>
      </c>
      <c r="B14" t="s">
        <v>46</v>
      </c>
      <c r="C14" t="s">
        <v>81</v>
      </c>
      <c r="D14" t="s">
        <v>82</v>
      </c>
      <c r="E14" t="s">
        <v>83</v>
      </c>
      <c r="F14">
        <v>0</v>
      </c>
      <c r="G14" t="s">
        <v>50</v>
      </c>
      <c r="H14" t="s">
        <v>56</v>
      </c>
      <c r="I14" t="s">
        <v>56</v>
      </c>
      <c r="J14" t="s">
        <v>23</v>
      </c>
      <c r="K14" t="s">
        <v>56</v>
      </c>
      <c r="L14" t="s">
        <v>43</v>
      </c>
      <c r="M14">
        <v>10</v>
      </c>
      <c r="N14" t="s">
        <v>25</v>
      </c>
      <c r="O14" t="s">
        <v>26</v>
      </c>
      <c r="P14" t="s">
        <v>27</v>
      </c>
      <c r="Q14" t="s">
        <v>37</v>
      </c>
    </row>
    <row r="15" spans="1:17" x14ac:dyDescent="0.3">
      <c r="A15">
        <v>335995</v>
      </c>
      <c r="B15" t="s">
        <v>29</v>
      </c>
      <c r="C15" t="s">
        <v>81</v>
      </c>
      <c r="D15" t="s">
        <v>84</v>
      </c>
      <c r="E15" t="s">
        <v>32</v>
      </c>
      <c r="F15">
        <v>0</v>
      </c>
      <c r="G15" t="s">
        <v>33</v>
      </c>
      <c r="H15" t="s">
        <v>41</v>
      </c>
      <c r="I15" t="s">
        <v>41</v>
      </c>
      <c r="J15" t="s">
        <v>35</v>
      </c>
      <c r="K15" t="s">
        <v>33</v>
      </c>
      <c r="L15" t="s">
        <v>43</v>
      </c>
      <c r="M15">
        <v>4</v>
      </c>
      <c r="N15" t="s">
        <v>25</v>
      </c>
      <c r="O15" t="s">
        <v>26</v>
      </c>
      <c r="P15" t="s">
        <v>28</v>
      </c>
      <c r="Q15" t="s">
        <v>85</v>
      </c>
    </row>
    <row r="16" spans="1:17" x14ac:dyDescent="0.3">
      <c r="A16">
        <v>335996</v>
      </c>
      <c r="B16" t="s">
        <v>17</v>
      </c>
      <c r="C16" t="s">
        <v>86</v>
      </c>
      <c r="D16" t="s">
        <v>87</v>
      </c>
      <c r="E16" t="s">
        <v>20</v>
      </c>
      <c r="F16">
        <v>0</v>
      </c>
      <c r="G16" t="s">
        <v>21</v>
      </c>
      <c r="H16" t="s">
        <v>34</v>
      </c>
      <c r="I16" t="s">
        <v>34</v>
      </c>
      <c r="J16" t="s">
        <v>35</v>
      </c>
      <c r="K16" t="s">
        <v>34</v>
      </c>
      <c r="L16" t="s">
        <v>24</v>
      </c>
      <c r="M16">
        <v>13</v>
      </c>
      <c r="N16" t="s">
        <v>25</v>
      </c>
      <c r="O16" t="s">
        <v>26</v>
      </c>
      <c r="P16" t="s">
        <v>88</v>
      </c>
      <c r="Q16" t="s">
        <v>63</v>
      </c>
    </row>
    <row r="17" spans="1:17" x14ac:dyDescent="0.3">
      <c r="A17">
        <v>335997</v>
      </c>
      <c r="B17" t="s">
        <v>53</v>
      </c>
      <c r="C17" t="s">
        <v>89</v>
      </c>
      <c r="D17" t="s">
        <v>90</v>
      </c>
      <c r="E17" t="s">
        <v>55</v>
      </c>
      <c r="F17">
        <v>0</v>
      </c>
      <c r="G17" t="s">
        <v>22</v>
      </c>
      <c r="H17" t="s">
        <v>50</v>
      </c>
      <c r="I17" t="s">
        <v>22</v>
      </c>
      <c r="J17" t="s">
        <v>35</v>
      </c>
      <c r="K17" t="s">
        <v>50</v>
      </c>
      <c r="L17" t="s">
        <v>43</v>
      </c>
      <c r="M17">
        <v>7</v>
      </c>
      <c r="N17" t="s">
        <v>25</v>
      </c>
      <c r="O17" t="s">
        <v>26</v>
      </c>
      <c r="P17" t="s">
        <v>57</v>
      </c>
      <c r="Q17" t="s">
        <v>80</v>
      </c>
    </row>
    <row r="18" spans="1:17" x14ac:dyDescent="0.3">
      <c r="A18">
        <v>335998</v>
      </c>
      <c r="B18" t="s">
        <v>38</v>
      </c>
      <c r="C18" t="s">
        <v>91</v>
      </c>
      <c r="D18" t="s">
        <v>92</v>
      </c>
      <c r="E18" t="s">
        <v>40</v>
      </c>
      <c r="F18">
        <v>0</v>
      </c>
      <c r="G18" t="s">
        <v>41</v>
      </c>
      <c r="H18" t="s">
        <v>21</v>
      </c>
      <c r="I18" t="s">
        <v>21</v>
      </c>
      <c r="J18" t="s">
        <v>23</v>
      </c>
      <c r="K18" t="s">
        <v>41</v>
      </c>
      <c r="L18" t="s">
        <v>24</v>
      </c>
      <c r="M18">
        <v>10</v>
      </c>
      <c r="N18" t="s">
        <v>25</v>
      </c>
      <c r="O18" t="s">
        <v>26</v>
      </c>
      <c r="P18" t="s">
        <v>44</v>
      </c>
      <c r="Q18" t="s">
        <v>85</v>
      </c>
    </row>
    <row r="19" spans="1:17" x14ac:dyDescent="0.3">
      <c r="A19">
        <v>335999</v>
      </c>
      <c r="B19" t="s">
        <v>64</v>
      </c>
      <c r="C19" s="1">
        <v>39452</v>
      </c>
      <c r="D19" t="s">
        <v>93</v>
      </c>
      <c r="E19" t="s">
        <v>67</v>
      </c>
      <c r="F19">
        <v>0</v>
      </c>
      <c r="G19" t="s">
        <v>56</v>
      </c>
      <c r="H19" t="s">
        <v>33</v>
      </c>
      <c r="I19" t="s">
        <v>33</v>
      </c>
      <c r="J19" t="s">
        <v>23</v>
      </c>
      <c r="K19" t="s">
        <v>33</v>
      </c>
      <c r="L19" t="s">
        <v>43</v>
      </c>
      <c r="M19">
        <v>7</v>
      </c>
      <c r="N19" t="s">
        <v>25</v>
      </c>
      <c r="O19" t="s">
        <v>26</v>
      </c>
      <c r="P19" t="s">
        <v>88</v>
      </c>
      <c r="Q19" t="s">
        <v>63</v>
      </c>
    </row>
    <row r="20" spans="1:17" x14ac:dyDescent="0.3">
      <c r="A20">
        <v>336000</v>
      </c>
      <c r="B20" t="s">
        <v>59</v>
      </c>
      <c r="C20" s="1">
        <v>39452</v>
      </c>
      <c r="D20" t="s">
        <v>94</v>
      </c>
      <c r="E20" t="s">
        <v>62</v>
      </c>
      <c r="F20">
        <v>0</v>
      </c>
      <c r="G20" t="s">
        <v>42</v>
      </c>
      <c r="H20" t="s">
        <v>22</v>
      </c>
      <c r="I20" t="s">
        <v>42</v>
      </c>
      <c r="J20" t="s">
        <v>35</v>
      </c>
      <c r="K20" t="s">
        <v>42</v>
      </c>
      <c r="L20" t="s">
        <v>24</v>
      </c>
      <c r="M20">
        <v>45</v>
      </c>
      <c r="N20" t="s">
        <v>25</v>
      </c>
      <c r="O20" t="s">
        <v>26</v>
      </c>
      <c r="P20" t="s">
        <v>28</v>
      </c>
      <c r="Q20" t="s">
        <v>45</v>
      </c>
    </row>
    <row r="21" spans="1:17" x14ac:dyDescent="0.3">
      <c r="A21">
        <v>336001</v>
      </c>
      <c r="B21" t="s">
        <v>70</v>
      </c>
      <c r="C21" s="1">
        <v>39483</v>
      </c>
      <c r="D21" t="s">
        <v>66</v>
      </c>
      <c r="E21" t="s">
        <v>73</v>
      </c>
      <c r="F21">
        <v>0</v>
      </c>
      <c r="G21" t="s">
        <v>34</v>
      </c>
      <c r="H21" t="s">
        <v>41</v>
      </c>
      <c r="I21" t="s">
        <v>34</v>
      </c>
      <c r="J21" t="s">
        <v>35</v>
      </c>
      <c r="K21" t="s">
        <v>41</v>
      </c>
      <c r="L21" t="s">
        <v>43</v>
      </c>
      <c r="M21">
        <v>8</v>
      </c>
      <c r="N21" t="s">
        <v>25</v>
      </c>
      <c r="O21" t="s">
        <v>26</v>
      </c>
      <c r="P21" t="s">
        <v>57</v>
      </c>
      <c r="Q21" t="s">
        <v>58</v>
      </c>
    </row>
    <row r="22" spans="1:17" x14ac:dyDescent="0.3">
      <c r="A22">
        <v>336002</v>
      </c>
      <c r="B22" t="s">
        <v>64</v>
      </c>
      <c r="C22" t="s">
        <v>95</v>
      </c>
      <c r="D22" t="s">
        <v>96</v>
      </c>
      <c r="E22" t="s">
        <v>67</v>
      </c>
      <c r="F22">
        <v>0</v>
      </c>
      <c r="G22" t="s">
        <v>56</v>
      </c>
      <c r="H22" t="s">
        <v>21</v>
      </c>
      <c r="I22" t="s">
        <v>56</v>
      </c>
      <c r="J22" t="s">
        <v>35</v>
      </c>
      <c r="K22" t="s">
        <v>21</v>
      </c>
      <c r="L22" t="s">
        <v>43</v>
      </c>
      <c r="M22">
        <v>5</v>
      </c>
      <c r="N22" t="s">
        <v>25</v>
      </c>
      <c r="O22" t="s">
        <v>26</v>
      </c>
      <c r="P22" t="s">
        <v>27</v>
      </c>
      <c r="Q22" t="s">
        <v>28</v>
      </c>
    </row>
    <row r="23" spans="1:17" x14ac:dyDescent="0.3">
      <c r="A23">
        <v>336003</v>
      </c>
      <c r="B23" t="s">
        <v>29</v>
      </c>
      <c r="C23" s="1">
        <v>39512</v>
      </c>
      <c r="D23" t="s">
        <v>97</v>
      </c>
      <c r="E23" t="s">
        <v>32</v>
      </c>
      <c r="F23">
        <v>0</v>
      </c>
      <c r="G23" t="s">
        <v>33</v>
      </c>
      <c r="H23" t="s">
        <v>22</v>
      </c>
      <c r="I23" t="s">
        <v>33</v>
      </c>
      <c r="J23" t="s">
        <v>35</v>
      </c>
      <c r="K23" t="s">
        <v>33</v>
      </c>
      <c r="L23" t="s">
        <v>24</v>
      </c>
      <c r="M23">
        <v>9</v>
      </c>
      <c r="N23" t="s">
        <v>25</v>
      </c>
      <c r="O23" t="s">
        <v>26</v>
      </c>
      <c r="P23" t="s">
        <v>52</v>
      </c>
      <c r="Q23" t="s">
        <v>85</v>
      </c>
    </row>
    <row r="24" spans="1:17" x14ac:dyDescent="0.3">
      <c r="A24">
        <v>336004</v>
      </c>
      <c r="B24" t="s">
        <v>46</v>
      </c>
      <c r="C24" s="1">
        <v>39543</v>
      </c>
      <c r="D24" t="s">
        <v>98</v>
      </c>
      <c r="E24" t="s">
        <v>83</v>
      </c>
      <c r="F24">
        <v>0</v>
      </c>
      <c r="G24" t="s">
        <v>50</v>
      </c>
      <c r="H24" t="s">
        <v>41</v>
      </c>
      <c r="I24" t="s">
        <v>41</v>
      </c>
      <c r="J24" t="s">
        <v>23</v>
      </c>
      <c r="K24" t="s">
        <v>50</v>
      </c>
      <c r="L24" t="s">
        <v>24</v>
      </c>
      <c r="M24">
        <v>29</v>
      </c>
      <c r="N24" t="s">
        <v>25</v>
      </c>
      <c r="O24" t="s">
        <v>26</v>
      </c>
      <c r="P24" t="s">
        <v>68</v>
      </c>
      <c r="Q24" t="s">
        <v>28</v>
      </c>
    </row>
    <row r="25" spans="1:17" x14ac:dyDescent="0.3">
      <c r="A25">
        <v>336005</v>
      </c>
      <c r="B25" t="s">
        <v>59</v>
      </c>
      <c r="C25" s="1">
        <v>39543</v>
      </c>
      <c r="D25" t="s">
        <v>99</v>
      </c>
      <c r="E25" t="s">
        <v>62</v>
      </c>
      <c r="F25">
        <v>0</v>
      </c>
      <c r="G25" t="s">
        <v>42</v>
      </c>
      <c r="H25" t="s">
        <v>34</v>
      </c>
      <c r="I25" t="s">
        <v>34</v>
      </c>
      <c r="J25" t="s">
        <v>35</v>
      </c>
      <c r="K25" t="s">
        <v>42</v>
      </c>
      <c r="L25" t="s">
        <v>43</v>
      </c>
      <c r="M25">
        <v>8</v>
      </c>
      <c r="N25" t="s">
        <v>25</v>
      </c>
      <c r="O25" t="s">
        <v>26</v>
      </c>
      <c r="P25" t="s">
        <v>27</v>
      </c>
      <c r="Q25" t="s">
        <v>80</v>
      </c>
    </row>
    <row r="26" spans="1:17" x14ac:dyDescent="0.3">
      <c r="A26">
        <v>336006</v>
      </c>
      <c r="B26" t="s">
        <v>17</v>
      </c>
      <c r="C26" s="1">
        <v>39573</v>
      </c>
      <c r="D26" t="s">
        <v>100</v>
      </c>
      <c r="E26" t="s">
        <v>20</v>
      </c>
      <c r="F26">
        <v>0</v>
      </c>
      <c r="G26" t="s">
        <v>21</v>
      </c>
      <c r="H26" t="s">
        <v>33</v>
      </c>
      <c r="I26" t="s">
        <v>33</v>
      </c>
      <c r="J26" t="s">
        <v>23</v>
      </c>
      <c r="K26" t="s">
        <v>33</v>
      </c>
      <c r="L26" t="s">
        <v>43</v>
      </c>
      <c r="M26">
        <v>6</v>
      </c>
      <c r="N26" t="s">
        <v>25</v>
      </c>
      <c r="O26" t="s">
        <v>26</v>
      </c>
      <c r="P26" t="s">
        <v>51</v>
      </c>
      <c r="Q26" t="s">
        <v>88</v>
      </c>
    </row>
    <row r="27" spans="1:17" x14ac:dyDescent="0.3">
      <c r="A27">
        <v>336007</v>
      </c>
      <c r="B27" t="s">
        <v>70</v>
      </c>
      <c r="C27" s="1">
        <v>39604</v>
      </c>
      <c r="D27" t="s">
        <v>82</v>
      </c>
      <c r="E27" t="s">
        <v>73</v>
      </c>
      <c r="F27">
        <v>0</v>
      </c>
      <c r="G27" t="s">
        <v>34</v>
      </c>
      <c r="H27" t="s">
        <v>56</v>
      </c>
      <c r="I27" t="s">
        <v>56</v>
      </c>
      <c r="J27" t="s">
        <v>23</v>
      </c>
      <c r="K27" t="s">
        <v>56</v>
      </c>
      <c r="L27" t="s">
        <v>43</v>
      </c>
      <c r="M27">
        <v>7</v>
      </c>
      <c r="N27" t="s">
        <v>25</v>
      </c>
      <c r="O27" t="s">
        <v>26</v>
      </c>
      <c r="P27" t="s">
        <v>36</v>
      </c>
      <c r="Q27" t="s">
        <v>63</v>
      </c>
    </row>
    <row r="28" spans="1:17" x14ac:dyDescent="0.3">
      <c r="A28">
        <v>336008</v>
      </c>
      <c r="B28" t="s">
        <v>46</v>
      </c>
      <c r="C28" s="1">
        <v>39634</v>
      </c>
      <c r="D28" t="s">
        <v>101</v>
      </c>
      <c r="E28" t="s">
        <v>83</v>
      </c>
      <c r="F28">
        <v>0</v>
      </c>
      <c r="G28" t="s">
        <v>50</v>
      </c>
      <c r="H28" t="s">
        <v>42</v>
      </c>
      <c r="I28" t="s">
        <v>50</v>
      </c>
      <c r="J28" t="s">
        <v>23</v>
      </c>
      <c r="K28" t="s">
        <v>50</v>
      </c>
      <c r="L28" t="s">
        <v>43</v>
      </c>
      <c r="M28">
        <v>7</v>
      </c>
      <c r="N28" t="s">
        <v>25</v>
      </c>
      <c r="O28" t="s">
        <v>26</v>
      </c>
      <c r="P28" t="s">
        <v>52</v>
      </c>
      <c r="Q28" t="s">
        <v>28</v>
      </c>
    </row>
    <row r="29" spans="1:17" x14ac:dyDescent="0.3">
      <c r="A29">
        <v>336009</v>
      </c>
      <c r="B29" t="s">
        <v>38</v>
      </c>
      <c r="C29" s="1">
        <v>39665</v>
      </c>
      <c r="D29" t="s">
        <v>87</v>
      </c>
      <c r="E29" t="s">
        <v>40</v>
      </c>
      <c r="F29">
        <v>0</v>
      </c>
      <c r="G29" t="s">
        <v>41</v>
      </c>
      <c r="H29" t="s">
        <v>34</v>
      </c>
      <c r="I29" t="s">
        <v>34</v>
      </c>
      <c r="J29" t="s">
        <v>23</v>
      </c>
      <c r="K29" t="s">
        <v>34</v>
      </c>
      <c r="L29" t="s">
        <v>43</v>
      </c>
      <c r="M29">
        <v>4</v>
      </c>
      <c r="N29" t="s">
        <v>25</v>
      </c>
      <c r="O29" t="s">
        <v>26</v>
      </c>
      <c r="P29" t="s">
        <v>44</v>
      </c>
      <c r="Q29" t="s">
        <v>63</v>
      </c>
    </row>
    <row r="30" spans="1:17" x14ac:dyDescent="0.3">
      <c r="A30">
        <v>336010</v>
      </c>
      <c r="B30" t="s">
        <v>53</v>
      </c>
      <c r="C30" s="1">
        <v>39665</v>
      </c>
      <c r="D30" t="s">
        <v>102</v>
      </c>
      <c r="E30" t="s">
        <v>55</v>
      </c>
      <c r="F30">
        <v>0</v>
      </c>
      <c r="G30" t="s">
        <v>22</v>
      </c>
      <c r="H30" t="s">
        <v>21</v>
      </c>
      <c r="I30" t="s">
        <v>22</v>
      </c>
      <c r="J30" t="s">
        <v>35</v>
      </c>
      <c r="K30" t="s">
        <v>22</v>
      </c>
      <c r="L30" t="s">
        <v>24</v>
      </c>
      <c r="M30">
        <v>5</v>
      </c>
      <c r="N30" t="s">
        <v>25</v>
      </c>
      <c r="O30" t="s">
        <v>26</v>
      </c>
      <c r="P30" t="s">
        <v>27</v>
      </c>
      <c r="Q30" t="s">
        <v>68</v>
      </c>
    </row>
    <row r="31" spans="1:17" x14ac:dyDescent="0.3">
      <c r="A31">
        <v>336011</v>
      </c>
      <c r="B31" t="s">
        <v>59</v>
      </c>
      <c r="C31" s="1">
        <v>39696</v>
      </c>
      <c r="D31" t="s">
        <v>75</v>
      </c>
      <c r="E31" t="s">
        <v>62</v>
      </c>
      <c r="F31">
        <v>0</v>
      </c>
      <c r="G31" t="s">
        <v>42</v>
      </c>
      <c r="H31" t="s">
        <v>56</v>
      </c>
      <c r="I31" t="s">
        <v>42</v>
      </c>
      <c r="J31" t="s">
        <v>23</v>
      </c>
      <c r="K31" t="s">
        <v>42</v>
      </c>
      <c r="L31" t="s">
        <v>43</v>
      </c>
      <c r="M31">
        <v>8</v>
      </c>
      <c r="N31" t="s">
        <v>25</v>
      </c>
      <c r="O31" t="s">
        <v>26</v>
      </c>
      <c r="P31" t="s">
        <v>36</v>
      </c>
      <c r="Q31" t="s">
        <v>69</v>
      </c>
    </row>
    <row r="32" spans="1:17" x14ac:dyDescent="0.3">
      <c r="A32">
        <v>336012</v>
      </c>
      <c r="B32" t="s">
        <v>17</v>
      </c>
      <c r="C32" t="s">
        <v>103</v>
      </c>
      <c r="D32" t="s">
        <v>104</v>
      </c>
      <c r="E32" t="s">
        <v>20</v>
      </c>
      <c r="F32">
        <v>0</v>
      </c>
      <c r="G32" t="s">
        <v>21</v>
      </c>
      <c r="H32" t="s">
        <v>50</v>
      </c>
      <c r="I32" t="s">
        <v>50</v>
      </c>
      <c r="J32" t="s">
        <v>23</v>
      </c>
      <c r="K32" t="s">
        <v>50</v>
      </c>
      <c r="L32" t="s">
        <v>43</v>
      </c>
      <c r="M32">
        <v>9</v>
      </c>
      <c r="N32" t="s">
        <v>25</v>
      </c>
      <c r="O32" t="s">
        <v>26</v>
      </c>
      <c r="P32" t="s">
        <v>57</v>
      </c>
      <c r="Q32" t="s">
        <v>80</v>
      </c>
    </row>
    <row r="33" spans="1:17" x14ac:dyDescent="0.3">
      <c r="A33">
        <v>336013</v>
      </c>
      <c r="B33" t="s">
        <v>70</v>
      </c>
      <c r="C33" s="1">
        <v>39726</v>
      </c>
      <c r="D33" t="s">
        <v>105</v>
      </c>
      <c r="E33" t="s">
        <v>73</v>
      </c>
      <c r="F33">
        <v>0</v>
      </c>
      <c r="G33" t="s">
        <v>34</v>
      </c>
      <c r="H33" t="s">
        <v>33</v>
      </c>
      <c r="I33" t="s">
        <v>33</v>
      </c>
      <c r="J33" t="s">
        <v>23</v>
      </c>
      <c r="K33" t="s">
        <v>34</v>
      </c>
      <c r="L33" t="s">
        <v>24</v>
      </c>
      <c r="M33">
        <v>18</v>
      </c>
      <c r="N33" t="s">
        <v>25</v>
      </c>
      <c r="O33" t="s">
        <v>26</v>
      </c>
      <c r="P33" t="s">
        <v>80</v>
      </c>
      <c r="Q33" t="s">
        <v>106</v>
      </c>
    </row>
    <row r="34" spans="1:17" x14ac:dyDescent="0.3">
      <c r="A34">
        <v>336014</v>
      </c>
      <c r="B34" t="s">
        <v>64</v>
      </c>
      <c r="C34" s="1">
        <v>39757</v>
      </c>
      <c r="D34" t="s">
        <v>102</v>
      </c>
      <c r="E34" t="s">
        <v>67</v>
      </c>
      <c r="F34">
        <v>0</v>
      </c>
      <c r="G34" t="s">
        <v>56</v>
      </c>
      <c r="H34" t="s">
        <v>22</v>
      </c>
      <c r="I34" t="s">
        <v>22</v>
      </c>
      <c r="J34" t="s">
        <v>35</v>
      </c>
      <c r="K34" t="s">
        <v>22</v>
      </c>
      <c r="L34" t="s">
        <v>24</v>
      </c>
      <c r="M34">
        <v>23</v>
      </c>
      <c r="N34" t="s">
        <v>25</v>
      </c>
      <c r="O34" t="s">
        <v>26</v>
      </c>
      <c r="P34" t="s">
        <v>68</v>
      </c>
      <c r="Q34" t="s">
        <v>69</v>
      </c>
    </row>
    <row r="35" spans="1:17" x14ac:dyDescent="0.3">
      <c r="A35">
        <v>336015</v>
      </c>
      <c r="B35" t="s">
        <v>59</v>
      </c>
      <c r="C35" s="1">
        <v>39757</v>
      </c>
      <c r="D35" t="s">
        <v>61</v>
      </c>
      <c r="E35" t="s">
        <v>62</v>
      </c>
      <c r="F35">
        <v>0</v>
      </c>
      <c r="G35" t="s">
        <v>42</v>
      </c>
      <c r="H35" t="s">
        <v>41</v>
      </c>
      <c r="I35" t="s">
        <v>42</v>
      </c>
      <c r="J35" t="s">
        <v>23</v>
      </c>
      <c r="K35" t="s">
        <v>42</v>
      </c>
      <c r="L35" t="s">
        <v>43</v>
      </c>
      <c r="M35">
        <v>3</v>
      </c>
      <c r="N35" t="s">
        <v>25</v>
      </c>
      <c r="O35" t="s">
        <v>26</v>
      </c>
      <c r="P35" t="s">
        <v>51</v>
      </c>
      <c r="Q35" t="s">
        <v>28</v>
      </c>
    </row>
    <row r="36" spans="1:17" x14ac:dyDescent="0.3">
      <c r="A36">
        <v>336016</v>
      </c>
      <c r="B36" t="s">
        <v>29</v>
      </c>
      <c r="C36" s="1">
        <v>39787</v>
      </c>
      <c r="D36" t="s">
        <v>93</v>
      </c>
      <c r="E36" t="s">
        <v>32</v>
      </c>
      <c r="F36">
        <v>0</v>
      </c>
      <c r="G36" t="s">
        <v>33</v>
      </c>
      <c r="H36" t="s">
        <v>21</v>
      </c>
      <c r="I36" t="s">
        <v>21</v>
      </c>
      <c r="J36" t="s">
        <v>35</v>
      </c>
      <c r="K36" t="s">
        <v>33</v>
      </c>
      <c r="L36" t="s">
        <v>43</v>
      </c>
      <c r="M36">
        <v>9</v>
      </c>
      <c r="N36" t="s">
        <v>25</v>
      </c>
      <c r="O36" t="s">
        <v>26</v>
      </c>
      <c r="P36" t="s">
        <v>88</v>
      </c>
      <c r="Q36" t="s">
        <v>85</v>
      </c>
    </row>
    <row r="37" spans="1:17" x14ac:dyDescent="0.3">
      <c r="A37">
        <v>336017</v>
      </c>
      <c r="B37" t="s">
        <v>53</v>
      </c>
      <c r="C37" t="s">
        <v>107</v>
      </c>
      <c r="D37" t="s">
        <v>108</v>
      </c>
      <c r="E37" t="s">
        <v>55</v>
      </c>
      <c r="F37">
        <v>0</v>
      </c>
      <c r="G37" t="s">
        <v>22</v>
      </c>
      <c r="H37" t="s">
        <v>41</v>
      </c>
      <c r="I37" t="s">
        <v>22</v>
      </c>
      <c r="J37" t="s">
        <v>35</v>
      </c>
      <c r="K37" t="s">
        <v>22</v>
      </c>
      <c r="L37" t="s">
        <v>24</v>
      </c>
      <c r="M37">
        <v>23</v>
      </c>
      <c r="N37" t="s">
        <v>25</v>
      </c>
      <c r="O37" t="s">
        <v>26</v>
      </c>
      <c r="P37" t="s">
        <v>27</v>
      </c>
      <c r="Q37" t="s">
        <v>68</v>
      </c>
    </row>
    <row r="38" spans="1:17" x14ac:dyDescent="0.3">
      <c r="A38">
        <v>336018</v>
      </c>
      <c r="B38" t="s">
        <v>46</v>
      </c>
      <c r="C38" t="s">
        <v>109</v>
      </c>
      <c r="D38" t="s">
        <v>90</v>
      </c>
      <c r="E38" t="s">
        <v>49</v>
      </c>
      <c r="F38">
        <v>0</v>
      </c>
      <c r="G38" t="s">
        <v>50</v>
      </c>
      <c r="H38" t="s">
        <v>34</v>
      </c>
      <c r="I38" t="s">
        <v>50</v>
      </c>
      <c r="J38" t="s">
        <v>23</v>
      </c>
      <c r="K38" t="s">
        <v>50</v>
      </c>
      <c r="L38" t="s">
        <v>43</v>
      </c>
      <c r="M38">
        <v>9</v>
      </c>
      <c r="N38" t="s">
        <v>25</v>
      </c>
      <c r="O38" t="s">
        <v>26</v>
      </c>
      <c r="P38" t="s">
        <v>88</v>
      </c>
      <c r="Q38" t="s">
        <v>69</v>
      </c>
    </row>
    <row r="39" spans="1:17" x14ac:dyDescent="0.3">
      <c r="A39">
        <v>336019</v>
      </c>
      <c r="B39" t="s">
        <v>29</v>
      </c>
      <c r="C39" t="s">
        <v>103</v>
      </c>
      <c r="D39" t="s">
        <v>93</v>
      </c>
      <c r="E39" t="s">
        <v>32</v>
      </c>
      <c r="F39">
        <v>0</v>
      </c>
      <c r="G39" t="s">
        <v>33</v>
      </c>
      <c r="H39" t="s">
        <v>42</v>
      </c>
      <c r="I39" t="s">
        <v>42</v>
      </c>
      <c r="J39" t="s">
        <v>23</v>
      </c>
      <c r="K39" t="s">
        <v>33</v>
      </c>
      <c r="L39" t="s">
        <v>24</v>
      </c>
      <c r="M39">
        <v>41</v>
      </c>
      <c r="N39" t="s">
        <v>25</v>
      </c>
      <c r="O39" t="s">
        <v>26</v>
      </c>
      <c r="P39" t="s">
        <v>51</v>
      </c>
      <c r="Q39" t="s">
        <v>58</v>
      </c>
    </row>
    <row r="40" spans="1:17" x14ac:dyDescent="0.3">
      <c r="A40">
        <v>336020</v>
      </c>
      <c r="B40" t="s">
        <v>38</v>
      </c>
      <c r="C40" t="s">
        <v>110</v>
      </c>
      <c r="D40" t="s">
        <v>111</v>
      </c>
      <c r="E40" t="s">
        <v>40</v>
      </c>
      <c r="F40">
        <v>0</v>
      </c>
      <c r="G40" t="s">
        <v>41</v>
      </c>
      <c r="H40" t="s">
        <v>56</v>
      </c>
      <c r="I40" t="s">
        <v>56</v>
      </c>
      <c r="J40" t="s">
        <v>23</v>
      </c>
      <c r="K40" t="s">
        <v>41</v>
      </c>
      <c r="L40" t="s">
        <v>24</v>
      </c>
      <c r="M40">
        <v>12</v>
      </c>
      <c r="N40" t="s">
        <v>25</v>
      </c>
      <c r="O40" t="s">
        <v>26</v>
      </c>
      <c r="P40" t="s">
        <v>106</v>
      </c>
      <c r="Q40" t="s">
        <v>45</v>
      </c>
    </row>
    <row r="41" spans="1:17" x14ac:dyDescent="0.3">
      <c r="A41">
        <v>336021</v>
      </c>
      <c r="B41" t="s">
        <v>46</v>
      </c>
      <c r="C41" t="s">
        <v>112</v>
      </c>
      <c r="D41" t="s">
        <v>98</v>
      </c>
      <c r="E41" t="s">
        <v>49</v>
      </c>
      <c r="F41">
        <v>0</v>
      </c>
      <c r="G41" t="s">
        <v>50</v>
      </c>
      <c r="H41" t="s">
        <v>22</v>
      </c>
      <c r="I41" t="s">
        <v>50</v>
      </c>
      <c r="J41" t="s">
        <v>23</v>
      </c>
      <c r="K41" t="s">
        <v>50</v>
      </c>
      <c r="L41" t="s">
        <v>43</v>
      </c>
      <c r="M41">
        <v>8</v>
      </c>
      <c r="N41" t="s">
        <v>25</v>
      </c>
      <c r="O41" t="s">
        <v>26</v>
      </c>
      <c r="P41" t="s">
        <v>88</v>
      </c>
      <c r="Q41" t="s">
        <v>52</v>
      </c>
    </row>
    <row r="42" spans="1:17" x14ac:dyDescent="0.3">
      <c r="A42">
        <v>336022</v>
      </c>
      <c r="B42" t="s">
        <v>38</v>
      </c>
      <c r="C42" t="s">
        <v>113</v>
      </c>
      <c r="D42" t="s">
        <v>114</v>
      </c>
      <c r="E42" t="s">
        <v>40</v>
      </c>
      <c r="F42">
        <v>0</v>
      </c>
      <c r="G42" t="s">
        <v>41</v>
      </c>
      <c r="H42" t="s">
        <v>33</v>
      </c>
      <c r="I42" t="s">
        <v>41</v>
      </c>
      <c r="J42" t="s">
        <v>35</v>
      </c>
      <c r="K42" t="s">
        <v>33</v>
      </c>
      <c r="L42" t="s">
        <v>24</v>
      </c>
      <c r="M42">
        <v>6</v>
      </c>
      <c r="N42" t="s">
        <v>25</v>
      </c>
      <c r="O42" t="s">
        <v>115</v>
      </c>
      <c r="P42" t="s">
        <v>80</v>
      </c>
      <c r="Q42" t="s">
        <v>28</v>
      </c>
    </row>
    <row r="43" spans="1:17" x14ac:dyDescent="0.3">
      <c r="A43">
        <v>336023</v>
      </c>
      <c r="B43" t="s">
        <v>59</v>
      </c>
      <c r="C43" t="s">
        <v>113</v>
      </c>
      <c r="D43" t="s">
        <v>116</v>
      </c>
      <c r="E43" t="s">
        <v>62</v>
      </c>
      <c r="F43">
        <v>0</v>
      </c>
      <c r="G43" t="s">
        <v>42</v>
      </c>
      <c r="H43" t="s">
        <v>21</v>
      </c>
      <c r="I43" t="s">
        <v>21</v>
      </c>
      <c r="J43" t="s">
        <v>23</v>
      </c>
      <c r="K43" t="s">
        <v>42</v>
      </c>
      <c r="L43" t="s">
        <v>24</v>
      </c>
      <c r="M43">
        <v>65</v>
      </c>
      <c r="N43" t="s">
        <v>25</v>
      </c>
      <c r="O43" t="s">
        <v>26</v>
      </c>
      <c r="P43" t="s">
        <v>57</v>
      </c>
      <c r="Q43" t="s">
        <v>37</v>
      </c>
    </row>
    <row r="44" spans="1:17" x14ac:dyDescent="0.3">
      <c r="A44">
        <v>336024</v>
      </c>
      <c r="B44" t="s">
        <v>64</v>
      </c>
      <c r="C44" t="s">
        <v>117</v>
      </c>
      <c r="D44" t="s">
        <v>118</v>
      </c>
      <c r="E44" t="s">
        <v>67</v>
      </c>
      <c r="F44">
        <v>0</v>
      </c>
      <c r="G44" t="s">
        <v>56</v>
      </c>
      <c r="H44" t="s">
        <v>50</v>
      </c>
      <c r="I44" t="s">
        <v>56</v>
      </c>
      <c r="J44" t="s">
        <v>23</v>
      </c>
      <c r="K44" t="s">
        <v>50</v>
      </c>
      <c r="L44" t="s">
        <v>24</v>
      </c>
      <c r="M44">
        <v>25</v>
      </c>
      <c r="N44" t="s">
        <v>25</v>
      </c>
      <c r="O44" t="s">
        <v>26</v>
      </c>
      <c r="P44" t="s">
        <v>88</v>
      </c>
      <c r="Q44" t="s">
        <v>52</v>
      </c>
    </row>
    <row r="45" spans="1:17" x14ac:dyDescent="0.3">
      <c r="A45">
        <v>336025</v>
      </c>
      <c r="B45" t="s">
        <v>53</v>
      </c>
      <c r="C45" t="s">
        <v>117</v>
      </c>
      <c r="D45" t="s">
        <v>119</v>
      </c>
      <c r="E45" t="s">
        <v>55</v>
      </c>
      <c r="F45">
        <v>0</v>
      </c>
      <c r="G45" t="s">
        <v>22</v>
      </c>
      <c r="H45" t="s">
        <v>34</v>
      </c>
      <c r="I45" t="s">
        <v>22</v>
      </c>
      <c r="J45" t="s">
        <v>35</v>
      </c>
      <c r="K45" t="s">
        <v>34</v>
      </c>
      <c r="L45" t="s">
        <v>24</v>
      </c>
      <c r="M45">
        <v>3</v>
      </c>
      <c r="N45" t="s">
        <v>25</v>
      </c>
      <c r="O45" t="s">
        <v>115</v>
      </c>
      <c r="P45" t="s">
        <v>27</v>
      </c>
      <c r="Q45" t="s">
        <v>58</v>
      </c>
    </row>
    <row r="46" spans="1:17" x14ac:dyDescent="0.3">
      <c r="A46">
        <v>336026</v>
      </c>
      <c r="B46" t="s">
        <v>17</v>
      </c>
      <c r="C46" t="s">
        <v>120</v>
      </c>
      <c r="D46" t="s">
        <v>121</v>
      </c>
      <c r="E46" t="s">
        <v>20</v>
      </c>
      <c r="F46">
        <v>0</v>
      </c>
      <c r="G46" t="s">
        <v>21</v>
      </c>
      <c r="H46" t="s">
        <v>41</v>
      </c>
      <c r="I46" t="s">
        <v>41</v>
      </c>
      <c r="J46" t="s">
        <v>23</v>
      </c>
      <c r="K46" t="s">
        <v>41</v>
      </c>
      <c r="L46" t="s">
        <v>43</v>
      </c>
      <c r="M46">
        <v>5</v>
      </c>
      <c r="N46" t="s">
        <v>25</v>
      </c>
      <c r="O46" t="s">
        <v>26</v>
      </c>
      <c r="P46" t="s">
        <v>51</v>
      </c>
      <c r="Q46" t="s">
        <v>45</v>
      </c>
    </row>
    <row r="47" spans="1:17" x14ac:dyDescent="0.3">
      <c r="A47">
        <v>336027</v>
      </c>
      <c r="B47" t="s">
        <v>53</v>
      </c>
      <c r="C47" t="s">
        <v>122</v>
      </c>
      <c r="D47" t="s">
        <v>75</v>
      </c>
      <c r="E47" t="s">
        <v>55</v>
      </c>
      <c r="F47">
        <v>0</v>
      </c>
      <c r="G47" t="s">
        <v>22</v>
      </c>
      <c r="H47" t="s">
        <v>42</v>
      </c>
      <c r="I47" t="s">
        <v>42</v>
      </c>
      <c r="J47" t="s">
        <v>23</v>
      </c>
      <c r="K47" t="s">
        <v>42</v>
      </c>
      <c r="L47" t="s">
        <v>43</v>
      </c>
      <c r="M47">
        <v>6</v>
      </c>
      <c r="N47" t="s">
        <v>25</v>
      </c>
      <c r="O47" t="s">
        <v>26</v>
      </c>
      <c r="P47" t="s">
        <v>106</v>
      </c>
      <c r="Q47" t="s">
        <v>28</v>
      </c>
    </row>
    <row r="48" spans="1:17" x14ac:dyDescent="0.3">
      <c r="A48">
        <v>336028</v>
      </c>
      <c r="B48" t="s">
        <v>46</v>
      </c>
      <c r="C48" t="s">
        <v>123</v>
      </c>
      <c r="D48" t="s">
        <v>93</v>
      </c>
      <c r="E48" t="s">
        <v>49</v>
      </c>
      <c r="F48">
        <v>0</v>
      </c>
      <c r="G48" t="s">
        <v>50</v>
      </c>
      <c r="H48" t="s">
        <v>33</v>
      </c>
      <c r="I48" t="s">
        <v>50</v>
      </c>
      <c r="J48" t="s">
        <v>23</v>
      </c>
      <c r="K48" t="s">
        <v>33</v>
      </c>
      <c r="L48" t="s">
        <v>24</v>
      </c>
      <c r="M48">
        <v>1</v>
      </c>
      <c r="N48" t="s">
        <v>25</v>
      </c>
      <c r="O48" t="s">
        <v>26</v>
      </c>
      <c r="P48" t="s">
        <v>57</v>
      </c>
      <c r="Q48" t="s">
        <v>45</v>
      </c>
    </row>
    <row r="49" spans="1:17" x14ac:dyDescent="0.3">
      <c r="A49">
        <v>336029</v>
      </c>
      <c r="B49" t="s">
        <v>70</v>
      </c>
      <c r="C49" t="s">
        <v>123</v>
      </c>
      <c r="D49" t="s">
        <v>124</v>
      </c>
      <c r="E49" t="s">
        <v>73</v>
      </c>
      <c r="F49">
        <v>0</v>
      </c>
      <c r="G49" t="s">
        <v>34</v>
      </c>
      <c r="H49" t="s">
        <v>21</v>
      </c>
      <c r="I49" t="s">
        <v>21</v>
      </c>
      <c r="J49" t="s">
        <v>35</v>
      </c>
      <c r="K49" t="s">
        <v>21</v>
      </c>
      <c r="L49" t="s">
        <v>24</v>
      </c>
      <c r="M49">
        <v>14</v>
      </c>
      <c r="N49" t="s">
        <v>25</v>
      </c>
      <c r="O49" t="s">
        <v>26</v>
      </c>
      <c r="P49" t="s">
        <v>52</v>
      </c>
      <c r="Q49" t="s">
        <v>85</v>
      </c>
    </row>
    <row r="50" spans="1:17" x14ac:dyDescent="0.3">
      <c r="A50">
        <v>336031</v>
      </c>
      <c r="B50" t="s">
        <v>29</v>
      </c>
      <c r="C50" t="s">
        <v>125</v>
      </c>
      <c r="D50" t="s">
        <v>93</v>
      </c>
      <c r="E50" t="s">
        <v>32</v>
      </c>
      <c r="F50">
        <v>0</v>
      </c>
      <c r="G50" t="s">
        <v>33</v>
      </c>
      <c r="H50" t="s">
        <v>56</v>
      </c>
      <c r="I50" t="s">
        <v>33</v>
      </c>
      <c r="J50" t="s">
        <v>23</v>
      </c>
      <c r="K50" t="s">
        <v>33</v>
      </c>
      <c r="L50" t="s">
        <v>43</v>
      </c>
      <c r="M50">
        <v>6</v>
      </c>
      <c r="N50" t="s">
        <v>25</v>
      </c>
      <c r="O50" t="s">
        <v>26</v>
      </c>
      <c r="P50" t="s">
        <v>27</v>
      </c>
      <c r="Q50" t="s">
        <v>51</v>
      </c>
    </row>
    <row r="51" spans="1:17" x14ac:dyDescent="0.3">
      <c r="A51">
        <v>336032</v>
      </c>
      <c r="B51" t="s">
        <v>38</v>
      </c>
      <c r="C51" t="s">
        <v>126</v>
      </c>
      <c r="D51" t="s">
        <v>127</v>
      </c>
      <c r="E51" t="s">
        <v>40</v>
      </c>
      <c r="F51">
        <v>0</v>
      </c>
      <c r="G51" t="s">
        <v>41</v>
      </c>
      <c r="H51" t="s">
        <v>50</v>
      </c>
      <c r="I51" t="s">
        <v>41</v>
      </c>
      <c r="J51" t="s">
        <v>23</v>
      </c>
      <c r="K51" t="s">
        <v>41</v>
      </c>
      <c r="L51" t="s">
        <v>43</v>
      </c>
      <c r="M51">
        <v>5</v>
      </c>
      <c r="N51" t="s">
        <v>25</v>
      </c>
      <c r="O51" t="s">
        <v>26</v>
      </c>
      <c r="P51" t="s">
        <v>57</v>
      </c>
      <c r="Q51" t="s">
        <v>58</v>
      </c>
    </row>
    <row r="52" spans="1:17" x14ac:dyDescent="0.3">
      <c r="A52">
        <v>336033</v>
      </c>
      <c r="B52" t="s">
        <v>70</v>
      </c>
      <c r="C52" t="s">
        <v>126</v>
      </c>
      <c r="D52" t="s">
        <v>128</v>
      </c>
      <c r="E52" t="s">
        <v>73</v>
      </c>
      <c r="F52">
        <v>0</v>
      </c>
      <c r="G52" t="s">
        <v>34</v>
      </c>
      <c r="H52" t="s">
        <v>42</v>
      </c>
      <c r="I52" t="s">
        <v>42</v>
      </c>
      <c r="J52" t="s">
        <v>35</v>
      </c>
      <c r="K52" t="s">
        <v>42</v>
      </c>
      <c r="L52" t="s">
        <v>24</v>
      </c>
      <c r="M52">
        <v>10</v>
      </c>
      <c r="N52" t="s">
        <v>25</v>
      </c>
      <c r="O52" t="s">
        <v>26</v>
      </c>
      <c r="P52" t="s">
        <v>52</v>
      </c>
      <c r="Q52" t="s">
        <v>37</v>
      </c>
    </row>
    <row r="53" spans="1:17" x14ac:dyDescent="0.3">
      <c r="A53">
        <v>336034</v>
      </c>
      <c r="B53" t="s">
        <v>17</v>
      </c>
      <c r="C53" s="1">
        <v>39512</v>
      </c>
      <c r="D53" t="s">
        <v>129</v>
      </c>
      <c r="E53" t="s">
        <v>20</v>
      </c>
      <c r="F53">
        <v>0</v>
      </c>
      <c r="G53" t="s">
        <v>21</v>
      </c>
      <c r="H53" t="s">
        <v>56</v>
      </c>
      <c r="I53" t="s">
        <v>56</v>
      </c>
      <c r="J53" t="s">
        <v>23</v>
      </c>
      <c r="K53" t="s">
        <v>21</v>
      </c>
      <c r="L53" t="s">
        <v>24</v>
      </c>
      <c r="M53">
        <v>3</v>
      </c>
      <c r="N53" t="s">
        <v>25</v>
      </c>
      <c r="O53" t="s">
        <v>26</v>
      </c>
      <c r="P53" t="s">
        <v>88</v>
      </c>
      <c r="Q53" t="s">
        <v>37</v>
      </c>
    </row>
    <row r="54" spans="1:17" x14ac:dyDescent="0.3">
      <c r="A54">
        <v>336035</v>
      </c>
      <c r="B54" t="s">
        <v>53</v>
      </c>
      <c r="C54" t="s">
        <v>95</v>
      </c>
      <c r="D54" t="s">
        <v>130</v>
      </c>
      <c r="E54" t="s">
        <v>55</v>
      </c>
      <c r="F54">
        <v>0</v>
      </c>
      <c r="G54" t="s">
        <v>22</v>
      </c>
      <c r="H54" t="s">
        <v>33</v>
      </c>
      <c r="I54" t="s">
        <v>33</v>
      </c>
      <c r="J54" t="s">
        <v>35</v>
      </c>
      <c r="K54" t="s">
        <v>22</v>
      </c>
      <c r="L54" t="s">
        <v>43</v>
      </c>
      <c r="M54">
        <v>3</v>
      </c>
      <c r="N54" t="s">
        <v>25</v>
      </c>
      <c r="O54" t="s">
        <v>26</v>
      </c>
      <c r="P54" t="s">
        <v>51</v>
      </c>
      <c r="Q54" t="s">
        <v>85</v>
      </c>
    </row>
    <row r="55" spans="1:17" x14ac:dyDescent="0.3">
      <c r="A55">
        <v>336036</v>
      </c>
      <c r="B55" t="s">
        <v>59</v>
      </c>
      <c r="C55" t="s">
        <v>131</v>
      </c>
      <c r="D55" t="s">
        <v>99</v>
      </c>
      <c r="E55" t="s">
        <v>62</v>
      </c>
      <c r="F55">
        <v>0</v>
      </c>
      <c r="G55" t="s">
        <v>42</v>
      </c>
      <c r="H55" t="s">
        <v>50</v>
      </c>
      <c r="I55" t="s">
        <v>42</v>
      </c>
      <c r="J55" t="s">
        <v>23</v>
      </c>
      <c r="K55" t="s">
        <v>42</v>
      </c>
      <c r="L55" t="s">
        <v>43</v>
      </c>
      <c r="M55">
        <v>5</v>
      </c>
      <c r="N55" t="s">
        <v>25</v>
      </c>
      <c r="O55" t="s">
        <v>26</v>
      </c>
      <c r="P55" t="s">
        <v>57</v>
      </c>
      <c r="Q55" t="s">
        <v>58</v>
      </c>
    </row>
    <row r="56" spans="1:17" x14ac:dyDescent="0.3">
      <c r="A56">
        <v>336037</v>
      </c>
      <c r="B56" t="s">
        <v>64</v>
      </c>
      <c r="C56" t="s">
        <v>132</v>
      </c>
      <c r="D56" t="s">
        <v>133</v>
      </c>
      <c r="E56" t="s">
        <v>67</v>
      </c>
      <c r="F56">
        <v>0</v>
      </c>
      <c r="G56" t="s">
        <v>56</v>
      </c>
      <c r="H56" t="s">
        <v>34</v>
      </c>
      <c r="I56" t="s">
        <v>56</v>
      </c>
      <c r="J56" t="s">
        <v>35</v>
      </c>
      <c r="K56" t="s">
        <v>34</v>
      </c>
      <c r="L56" t="s">
        <v>43</v>
      </c>
      <c r="M56">
        <v>7</v>
      </c>
      <c r="N56" t="s">
        <v>25</v>
      </c>
      <c r="O56" t="s">
        <v>26</v>
      </c>
      <c r="P56" t="s">
        <v>106</v>
      </c>
      <c r="Q56" t="s">
        <v>69</v>
      </c>
    </row>
    <row r="57" spans="1:17" x14ac:dyDescent="0.3">
      <c r="A57">
        <v>336038</v>
      </c>
      <c r="B57" t="s">
        <v>46</v>
      </c>
      <c r="C57" t="s">
        <v>134</v>
      </c>
      <c r="D57" t="s">
        <v>61</v>
      </c>
      <c r="E57" t="s">
        <v>49</v>
      </c>
      <c r="F57">
        <v>0</v>
      </c>
      <c r="G57" t="s">
        <v>41</v>
      </c>
      <c r="H57" t="s">
        <v>42</v>
      </c>
      <c r="I57" t="s">
        <v>41</v>
      </c>
      <c r="J57" t="s">
        <v>23</v>
      </c>
      <c r="K57" t="s">
        <v>42</v>
      </c>
      <c r="L57" t="s">
        <v>24</v>
      </c>
      <c r="M57">
        <v>105</v>
      </c>
      <c r="N57" t="s">
        <v>25</v>
      </c>
      <c r="O57" t="s">
        <v>26</v>
      </c>
      <c r="P57" t="s">
        <v>57</v>
      </c>
      <c r="Q57" t="s">
        <v>28</v>
      </c>
    </row>
    <row r="58" spans="1:17" x14ac:dyDescent="0.3">
      <c r="A58">
        <v>336039</v>
      </c>
      <c r="B58" t="s">
        <v>46</v>
      </c>
      <c r="C58" t="s">
        <v>135</v>
      </c>
      <c r="D58" t="s">
        <v>119</v>
      </c>
      <c r="E58" t="s">
        <v>49</v>
      </c>
      <c r="F58">
        <v>0</v>
      </c>
      <c r="G58" t="s">
        <v>34</v>
      </c>
      <c r="H58" t="s">
        <v>33</v>
      </c>
      <c r="I58" t="s">
        <v>33</v>
      </c>
      <c r="J58" t="s">
        <v>35</v>
      </c>
      <c r="K58" t="s">
        <v>34</v>
      </c>
      <c r="L58" t="s">
        <v>43</v>
      </c>
      <c r="M58">
        <v>9</v>
      </c>
      <c r="N58" t="s">
        <v>25</v>
      </c>
      <c r="O58" t="s">
        <v>26</v>
      </c>
      <c r="P58" t="s">
        <v>27</v>
      </c>
      <c r="Q58" t="s">
        <v>52</v>
      </c>
    </row>
    <row r="59" spans="1:17" x14ac:dyDescent="0.3">
      <c r="A59">
        <v>336040</v>
      </c>
      <c r="B59" t="s">
        <v>46</v>
      </c>
      <c r="C59" s="1">
        <v>39453</v>
      </c>
      <c r="D59" t="s">
        <v>75</v>
      </c>
      <c r="E59" t="s">
        <v>83</v>
      </c>
      <c r="F59">
        <v>0</v>
      </c>
      <c r="G59" t="s">
        <v>34</v>
      </c>
      <c r="H59" t="s">
        <v>42</v>
      </c>
      <c r="I59" t="s">
        <v>42</v>
      </c>
      <c r="J59" t="s">
        <v>23</v>
      </c>
      <c r="K59" t="s">
        <v>42</v>
      </c>
      <c r="L59" t="s">
        <v>43</v>
      </c>
      <c r="M59">
        <v>3</v>
      </c>
      <c r="N59" t="s">
        <v>25</v>
      </c>
      <c r="O59" t="s">
        <v>26</v>
      </c>
      <c r="P59" t="s">
        <v>57</v>
      </c>
      <c r="Q59" t="s">
        <v>28</v>
      </c>
    </row>
    <row r="60" spans="1:17" x14ac:dyDescent="0.3">
      <c r="A60">
        <v>392181</v>
      </c>
      <c r="B60" t="s">
        <v>136</v>
      </c>
      <c r="C60" t="s">
        <v>137</v>
      </c>
      <c r="D60" t="s">
        <v>138</v>
      </c>
      <c r="E60" t="s">
        <v>139</v>
      </c>
      <c r="F60">
        <v>1</v>
      </c>
      <c r="G60" t="s">
        <v>34</v>
      </c>
      <c r="H60" t="s">
        <v>50</v>
      </c>
      <c r="I60" t="s">
        <v>34</v>
      </c>
      <c r="J60" t="s">
        <v>23</v>
      </c>
      <c r="K60" t="s">
        <v>50</v>
      </c>
      <c r="L60" t="s">
        <v>24</v>
      </c>
      <c r="M60">
        <v>19</v>
      </c>
      <c r="N60" t="s">
        <v>25</v>
      </c>
      <c r="O60" t="s">
        <v>26</v>
      </c>
      <c r="P60" t="s">
        <v>88</v>
      </c>
      <c r="Q60" t="s">
        <v>58</v>
      </c>
    </row>
    <row r="61" spans="1:17" x14ac:dyDescent="0.3">
      <c r="A61">
        <v>392182</v>
      </c>
      <c r="B61" t="s">
        <v>136</v>
      </c>
      <c r="C61" t="s">
        <v>137</v>
      </c>
      <c r="D61" t="s">
        <v>140</v>
      </c>
      <c r="E61" t="s">
        <v>139</v>
      </c>
      <c r="F61">
        <v>1</v>
      </c>
      <c r="G61" t="s">
        <v>21</v>
      </c>
      <c r="H61" t="s">
        <v>42</v>
      </c>
      <c r="I61" t="s">
        <v>21</v>
      </c>
      <c r="J61" t="s">
        <v>35</v>
      </c>
      <c r="K61" t="s">
        <v>21</v>
      </c>
      <c r="L61" t="s">
        <v>24</v>
      </c>
      <c r="M61">
        <v>75</v>
      </c>
      <c r="N61" t="s">
        <v>25</v>
      </c>
      <c r="O61" t="s">
        <v>26</v>
      </c>
      <c r="P61" t="s">
        <v>88</v>
      </c>
      <c r="Q61" t="s">
        <v>63</v>
      </c>
    </row>
    <row r="62" spans="1:17" x14ac:dyDescent="0.3">
      <c r="A62">
        <v>392183</v>
      </c>
      <c r="B62" t="s">
        <v>136</v>
      </c>
      <c r="C62" t="s">
        <v>141</v>
      </c>
      <c r="D62" t="s">
        <v>142</v>
      </c>
      <c r="E62" t="s">
        <v>139</v>
      </c>
      <c r="F62">
        <v>1</v>
      </c>
      <c r="G62" t="s">
        <v>41</v>
      </c>
      <c r="H62" t="s">
        <v>33</v>
      </c>
      <c r="I62" t="s">
        <v>41</v>
      </c>
      <c r="J62" t="s">
        <v>23</v>
      </c>
      <c r="K62" t="s">
        <v>41</v>
      </c>
      <c r="L62" t="s">
        <v>43</v>
      </c>
      <c r="M62">
        <v>10</v>
      </c>
      <c r="N62" t="s">
        <v>25</v>
      </c>
      <c r="O62" t="s">
        <v>115</v>
      </c>
      <c r="P62" t="s">
        <v>36</v>
      </c>
      <c r="Q62" t="s">
        <v>143</v>
      </c>
    </row>
    <row r="63" spans="1:17" x14ac:dyDescent="0.3">
      <c r="A63">
        <v>392184</v>
      </c>
      <c r="B63" t="s">
        <v>136</v>
      </c>
      <c r="C63" t="s">
        <v>141</v>
      </c>
      <c r="D63" t="s">
        <v>144</v>
      </c>
      <c r="E63" t="s">
        <v>139</v>
      </c>
      <c r="F63">
        <v>1</v>
      </c>
      <c r="G63" t="s">
        <v>56</v>
      </c>
      <c r="H63" t="s">
        <v>22</v>
      </c>
      <c r="I63" t="s">
        <v>22</v>
      </c>
      <c r="J63" t="s">
        <v>35</v>
      </c>
      <c r="K63" t="s">
        <v>56</v>
      </c>
      <c r="L63" t="s">
        <v>43</v>
      </c>
      <c r="M63">
        <v>8</v>
      </c>
      <c r="N63" t="s">
        <v>25</v>
      </c>
      <c r="O63" t="s">
        <v>26</v>
      </c>
      <c r="P63" t="s">
        <v>36</v>
      </c>
      <c r="Q63" t="s">
        <v>88</v>
      </c>
    </row>
    <row r="64" spans="1:17" x14ac:dyDescent="0.3">
      <c r="A64">
        <v>392185</v>
      </c>
      <c r="B64" t="s">
        <v>145</v>
      </c>
      <c r="C64" t="s">
        <v>146</v>
      </c>
      <c r="D64" t="s">
        <v>147</v>
      </c>
      <c r="E64" t="s">
        <v>148</v>
      </c>
      <c r="F64">
        <v>1</v>
      </c>
      <c r="G64" t="s">
        <v>21</v>
      </c>
      <c r="H64" t="s">
        <v>34</v>
      </c>
      <c r="I64" t="s">
        <v>34</v>
      </c>
      <c r="J64" t="s">
        <v>35</v>
      </c>
      <c r="K64" t="s">
        <v>34</v>
      </c>
      <c r="L64" t="s">
        <v>24</v>
      </c>
      <c r="M64">
        <v>92</v>
      </c>
      <c r="N64" t="s">
        <v>25</v>
      </c>
      <c r="O64" t="s">
        <v>26</v>
      </c>
      <c r="P64" t="s">
        <v>106</v>
      </c>
      <c r="Q64" t="s">
        <v>149</v>
      </c>
    </row>
    <row r="65" spans="1:17" x14ac:dyDescent="0.3">
      <c r="A65">
        <v>392186</v>
      </c>
      <c r="B65" t="s">
        <v>150</v>
      </c>
      <c r="C65" t="s">
        <v>151</v>
      </c>
      <c r="D65" t="s">
        <v>152</v>
      </c>
      <c r="E65" t="s">
        <v>153</v>
      </c>
      <c r="F65">
        <v>1</v>
      </c>
      <c r="G65" t="s">
        <v>33</v>
      </c>
      <c r="H65" t="s">
        <v>22</v>
      </c>
      <c r="I65" t="s">
        <v>22</v>
      </c>
      <c r="J65" t="s">
        <v>23</v>
      </c>
      <c r="K65" t="s">
        <v>22</v>
      </c>
      <c r="L65" t="s">
        <v>24</v>
      </c>
      <c r="M65">
        <v>11</v>
      </c>
      <c r="N65" t="s">
        <v>25</v>
      </c>
      <c r="O65" t="s">
        <v>115</v>
      </c>
      <c r="P65" t="s">
        <v>52</v>
      </c>
      <c r="Q65" t="s">
        <v>143</v>
      </c>
    </row>
    <row r="66" spans="1:17" x14ac:dyDescent="0.3">
      <c r="A66">
        <v>392188</v>
      </c>
      <c r="B66" t="s">
        <v>136</v>
      </c>
      <c r="C66" t="s">
        <v>154</v>
      </c>
      <c r="D66" t="s">
        <v>82</v>
      </c>
      <c r="E66" t="s">
        <v>139</v>
      </c>
      <c r="F66">
        <v>1</v>
      </c>
      <c r="G66" t="s">
        <v>21</v>
      </c>
      <c r="H66" t="s">
        <v>56</v>
      </c>
      <c r="I66" t="s">
        <v>56</v>
      </c>
      <c r="J66" t="s">
        <v>35</v>
      </c>
      <c r="K66" t="s">
        <v>56</v>
      </c>
      <c r="L66" t="s">
        <v>24</v>
      </c>
      <c r="M66">
        <v>24</v>
      </c>
      <c r="N66" t="s">
        <v>25</v>
      </c>
      <c r="O66" t="s">
        <v>26</v>
      </c>
      <c r="P66" t="s">
        <v>155</v>
      </c>
      <c r="Q66" t="s">
        <v>69</v>
      </c>
    </row>
    <row r="67" spans="1:17" x14ac:dyDescent="0.3">
      <c r="A67">
        <v>392189</v>
      </c>
      <c r="B67" t="s">
        <v>150</v>
      </c>
      <c r="C67" t="s">
        <v>156</v>
      </c>
      <c r="D67" t="s">
        <v>157</v>
      </c>
      <c r="E67" t="s">
        <v>153</v>
      </c>
      <c r="F67">
        <v>1</v>
      </c>
      <c r="G67" t="s">
        <v>34</v>
      </c>
      <c r="H67" t="s">
        <v>41</v>
      </c>
      <c r="I67" t="s">
        <v>41</v>
      </c>
      <c r="J67" t="s">
        <v>35</v>
      </c>
      <c r="K67" t="s">
        <v>41</v>
      </c>
      <c r="L67" t="s">
        <v>24</v>
      </c>
      <c r="M67">
        <v>9</v>
      </c>
      <c r="N67" t="s">
        <v>25</v>
      </c>
      <c r="O67" t="s">
        <v>26</v>
      </c>
      <c r="P67" t="s">
        <v>88</v>
      </c>
      <c r="Q67" t="s">
        <v>149</v>
      </c>
    </row>
    <row r="68" spans="1:17" x14ac:dyDescent="0.3">
      <c r="A68">
        <v>392190</v>
      </c>
      <c r="B68" t="s">
        <v>136</v>
      </c>
      <c r="C68" t="s">
        <v>156</v>
      </c>
      <c r="D68" t="s">
        <v>75</v>
      </c>
      <c r="E68" t="s">
        <v>139</v>
      </c>
      <c r="F68">
        <v>1</v>
      </c>
      <c r="G68" t="s">
        <v>22</v>
      </c>
      <c r="H68" t="s">
        <v>42</v>
      </c>
      <c r="I68" t="s">
        <v>22</v>
      </c>
      <c r="J68" t="s">
        <v>23</v>
      </c>
      <c r="K68" t="s">
        <v>42</v>
      </c>
      <c r="L68" t="s">
        <v>158</v>
      </c>
      <c r="M68" t="s">
        <v>26</v>
      </c>
      <c r="N68" t="s">
        <v>159</v>
      </c>
      <c r="O68" t="s">
        <v>26</v>
      </c>
      <c r="P68" t="s">
        <v>36</v>
      </c>
      <c r="Q68" t="s">
        <v>155</v>
      </c>
    </row>
    <row r="69" spans="1:17" x14ac:dyDescent="0.3">
      <c r="A69">
        <v>392191</v>
      </c>
      <c r="B69" t="s">
        <v>150</v>
      </c>
      <c r="C69" t="s">
        <v>160</v>
      </c>
      <c r="D69" t="s">
        <v>161</v>
      </c>
      <c r="E69" t="s">
        <v>153</v>
      </c>
      <c r="F69">
        <v>1</v>
      </c>
      <c r="G69" t="s">
        <v>21</v>
      </c>
      <c r="H69" t="s">
        <v>33</v>
      </c>
      <c r="I69" t="s">
        <v>21</v>
      </c>
      <c r="J69" t="s">
        <v>35</v>
      </c>
      <c r="K69" t="s">
        <v>33</v>
      </c>
      <c r="L69" t="s">
        <v>43</v>
      </c>
      <c r="M69">
        <v>7</v>
      </c>
      <c r="N69" t="s">
        <v>25</v>
      </c>
      <c r="O69" t="s">
        <v>26</v>
      </c>
      <c r="P69" t="s">
        <v>88</v>
      </c>
      <c r="Q69" t="s">
        <v>162</v>
      </c>
    </row>
    <row r="70" spans="1:17" x14ac:dyDescent="0.3">
      <c r="A70">
        <v>392192</v>
      </c>
      <c r="B70" t="s">
        <v>150</v>
      </c>
      <c r="C70" t="s">
        <v>163</v>
      </c>
      <c r="D70" t="s">
        <v>164</v>
      </c>
      <c r="E70" t="s">
        <v>153</v>
      </c>
      <c r="F70">
        <v>1</v>
      </c>
      <c r="G70" t="s">
        <v>56</v>
      </c>
      <c r="H70" t="s">
        <v>50</v>
      </c>
      <c r="I70" t="s">
        <v>56</v>
      </c>
      <c r="J70" t="s">
        <v>35</v>
      </c>
      <c r="K70" t="s">
        <v>56</v>
      </c>
      <c r="L70" t="s">
        <v>24</v>
      </c>
      <c r="M70">
        <v>12</v>
      </c>
      <c r="N70" t="s">
        <v>25</v>
      </c>
      <c r="O70" t="s">
        <v>26</v>
      </c>
      <c r="P70" t="s">
        <v>165</v>
      </c>
      <c r="Q70" t="s">
        <v>149</v>
      </c>
    </row>
    <row r="71" spans="1:17" x14ac:dyDescent="0.3">
      <c r="A71">
        <v>392194</v>
      </c>
      <c r="B71" t="s">
        <v>145</v>
      </c>
      <c r="C71" t="s">
        <v>166</v>
      </c>
      <c r="D71" t="s">
        <v>167</v>
      </c>
      <c r="E71" t="s">
        <v>148</v>
      </c>
      <c r="F71">
        <v>1</v>
      </c>
      <c r="G71" t="s">
        <v>21</v>
      </c>
      <c r="H71" t="s">
        <v>41</v>
      </c>
      <c r="I71" t="s">
        <v>21</v>
      </c>
      <c r="J71" t="s">
        <v>35</v>
      </c>
      <c r="K71" t="s">
        <v>41</v>
      </c>
      <c r="L71" t="s">
        <v>43</v>
      </c>
      <c r="M71">
        <v>6</v>
      </c>
      <c r="N71" t="s">
        <v>25</v>
      </c>
      <c r="O71" t="s">
        <v>26</v>
      </c>
      <c r="P71" t="s">
        <v>168</v>
      </c>
      <c r="Q71" t="s">
        <v>106</v>
      </c>
    </row>
    <row r="72" spans="1:17" x14ac:dyDescent="0.3">
      <c r="A72">
        <v>392195</v>
      </c>
      <c r="B72" t="s">
        <v>136</v>
      </c>
      <c r="C72" t="s">
        <v>166</v>
      </c>
      <c r="D72" t="s">
        <v>77</v>
      </c>
      <c r="E72" t="s">
        <v>139</v>
      </c>
      <c r="F72">
        <v>1</v>
      </c>
      <c r="G72" t="s">
        <v>33</v>
      </c>
      <c r="H72" t="s">
        <v>42</v>
      </c>
      <c r="I72" t="s">
        <v>33</v>
      </c>
      <c r="J72" t="s">
        <v>35</v>
      </c>
      <c r="K72" t="s">
        <v>33</v>
      </c>
      <c r="L72" t="s">
        <v>24</v>
      </c>
      <c r="M72">
        <v>27</v>
      </c>
      <c r="N72" t="s">
        <v>25</v>
      </c>
      <c r="O72" t="s">
        <v>26</v>
      </c>
      <c r="P72" t="s">
        <v>155</v>
      </c>
      <c r="Q72" t="s">
        <v>58</v>
      </c>
    </row>
    <row r="73" spans="1:17" x14ac:dyDescent="0.3">
      <c r="A73">
        <v>392196</v>
      </c>
      <c r="B73" t="s">
        <v>150</v>
      </c>
      <c r="C73" t="s">
        <v>169</v>
      </c>
      <c r="D73" t="s">
        <v>170</v>
      </c>
      <c r="E73" t="s">
        <v>153</v>
      </c>
      <c r="F73">
        <v>1</v>
      </c>
      <c r="G73" t="s">
        <v>34</v>
      </c>
      <c r="H73" t="s">
        <v>56</v>
      </c>
      <c r="I73" t="s">
        <v>56</v>
      </c>
      <c r="J73" t="s">
        <v>23</v>
      </c>
      <c r="K73" t="s">
        <v>56</v>
      </c>
      <c r="L73" t="s">
        <v>43</v>
      </c>
      <c r="M73">
        <v>6</v>
      </c>
      <c r="N73" t="s">
        <v>25</v>
      </c>
      <c r="O73" t="s">
        <v>26</v>
      </c>
      <c r="P73" t="s">
        <v>68</v>
      </c>
      <c r="Q73" t="s">
        <v>162</v>
      </c>
    </row>
    <row r="74" spans="1:17" x14ac:dyDescent="0.3">
      <c r="A74">
        <v>392197</v>
      </c>
      <c r="B74" t="s">
        <v>145</v>
      </c>
      <c r="C74" t="s">
        <v>169</v>
      </c>
      <c r="D74" t="s">
        <v>138</v>
      </c>
      <c r="E74" t="s">
        <v>148</v>
      </c>
      <c r="F74">
        <v>1</v>
      </c>
      <c r="G74" t="s">
        <v>22</v>
      </c>
      <c r="H74" t="s">
        <v>50</v>
      </c>
      <c r="I74" t="s">
        <v>50</v>
      </c>
      <c r="J74" t="s">
        <v>35</v>
      </c>
      <c r="K74" t="s">
        <v>50</v>
      </c>
      <c r="L74" t="s">
        <v>24</v>
      </c>
      <c r="M74">
        <v>92</v>
      </c>
      <c r="N74" t="s">
        <v>25</v>
      </c>
      <c r="O74" t="s">
        <v>26</v>
      </c>
      <c r="P74" t="s">
        <v>106</v>
      </c>
      <c r="Q74" t="s">
        <v>63</v>
      </c>
    </row>
    <row r="75" spans="1:17" x14ac:dyDescent="0.3">
      <c r="A75">
        <v>392198</v>
      </c>
      <c r="B75" t="s">
        <v>171</v>
      </c>
      <c r="C75" t="s">
        <v>172</v>
      </c>
      <c r="D75" t="s">
        <v>75</v>
      </c>
      <c r="E75" t="s">
        <v>173</v>
      </c>
      <c r="F75">
        <v>1</v>
      </c>
      <c r="G75" t="s">
        <v>41</v>
      </c>
      <c r="H75" t="s">
        <v>42</v>
      </c>
      <c r="I75" t="s">
        <v>41</v>
      </c>
      <c r="J75" t="s">
        <v>35</v>
      </c>
      <c r="K75" t="s">
        <v>42</v>
      </c>
      <c r="L75" t="s">
        <v>43</v>
      </c>
      <c r="M75">
        <v>5</v>
      </c>
      <c r="N75" t="s">
        <v>25</v>
      </c>
      <c r="O75" t="s">
        <v>26</v>
      </c>
      <c r="P75" t="s">
        <v>174</v>
      </c>
      <c r="Q75" t="s">
        <v>28</v>
      </c>
    </row>
    <row r="76" spans="1:17" x14ac:dyDescent="0.3">
      <c r="A76">
        <v>392199</v>
      </c>
      <c r="B76" t="s">
        <v>150</v>
      </c>
      <c r="C76" t="s">
        <v>175</v>
      </c>
      <c r="D76" t="s">
        <v>48</v>
      </c>
      <c r="E76" t="s">
        <v>153</v>
      </c>
      <c r="F76">
        <v>1</v>
      </c>
      <c r="G76" t="s">
        <v>21</v>
      </c>
      <c r="H76" t="s">
        <v>22</v>
      </c>
      <c r="I76" t="s">
        <v>22</v>
      </c>
      <c r="J76" t="s">
        <v>35</v>
      </c>
      <c r="K76" t="s">
        <v>21</v>
      </c>
      <c r="L76" t="s">
        <v>43</v>
      </c>
      <c r="M76">
        <v>5</v>
      </c>
      <c r="N76" t="s">
        <v>25</v>
      </c>
      <c r="O76" t="s">
        <v>26</v>
      </c>
      <c r="P76" t="s">
        <v>36</v>
      </c>
      <c r="Q76" t="s">
        <v>162</v>
      </c>
    </row>
    <row r="77" spans="1:17" x14ac:dyDescent="0.3">
      <c r="A77">
        <v>392200</v>
      </c>
      <c r="B77" t="s">
        <v>150</v>
      </c>
      <c r="C77" t="s">
        <v>175</v>
      </c>
      <c r="D77" t="s">
        <v>77</v>
      </c>
      <c r="E77" t="s">
        <v>153</v>
      </c>
      <c r="F77">
        <v>1</v>
      </c>
      <c r="G77" t="s">
        <v>33</v>
      </c>
      <c r="H77" t="s">
        <v>50</v>
      </c>
      <c r="I77" t="s">
        <v>33</v>
      </c>
      <c r="J77" t="s">
        <v>35</v>
      </c>
      <c r="K77" t="s">
        <v>33</v>
      </c>
      <c r="L77" t="s">
        <v>24</v>
      </c>
      <c r="M77">
        <v>3</v>
      </c>
      <c r="N77" t="s">
        <v>25</v>
      </c>
      <c r="O77" t="s">
        <v>26</v>
      </c>
      <c r="P77" t="s">
        <v>36</v>
      </c>
      <c r="Q77" t="s">
        <v>37</v>
      </c>
    </row>
    <row r="78" spans="1:17" x14ac:dyDescent="0.3">
      <c r="A78">
        <v>392201</v>
      </c>
      <c r="B78" t="s">
        <v>171</v>
      </c>
      <c r="C78" t="s">
        <v>176</v>
      </c>
      <c r="D78" t="s">
        <v>177</v>
      </c>
      <c r="E78" t="s">
        <v>173</v>
      </c>
      <c r="F78">
        <v>1</v>
      </c>
      <c r="G78" t="s">
        <v>56</v>
      </c>
      <c r="H78" t="s">
        <v>41</v>
      </c>
      <c r="I78" t="s">
        <v>41</v>
      </c>
      <c r="J78" t="s">
        <v>23</v>
      </c>
      <c r="K78" t="s">
        <v>41</v>
      </c>
      <c r="L78" t="s">
        <v>43</v>
      </c>
      <c r="M78">
        <v>6</v>
      </c>
      <c r="N78" t="s">
        <v>25</v>
      </c>
      <c r="O78" t="s">
        <v>26</v>
      </c>
      <c r="P78" t="s">
        <v>174</v>
      </c>
      <c r="Q78" t="s">
        <v>69</v>
      </c>
    </row>
    <row r="79" spans="1:17" x14ac:dyDescent="0.3">
      <c r="A79">
        <v>392202</v>
      </c>
      <c r="B79" t="s">
        <v>171</v>
      </c>
      <c r="C79" t="s">
        <v>176</v>
      </c>
      <c r="D79" t="s">
        <v>133</v>
      </c>
      <c r="E79" t="s">
        <v>173</v>
      </c>
      <c r="F79">
        <v>1</v>
      </c>
      <c r="G79" t="s">
        <v>34</v>
      </c>
      <c r="H79" t="s">
        <v>42</v>
      </c>
      <c r="I79" t="s">
        <v>42</v>
      </c>
      <c r="J79" t="s">
        <v>23</v>
      </c>
      <c r="K79" t="s">
        <v>34</v>
      </c>
      <c r="L79" t="s">
        <v>24</v>
      </c>
      <c r="M79">
        <v>38</v>
      </c>
      <c r="N79" t="s">
        <v>25</v>
      </c>
      <c r="O79" t="s">
        <v>26</v>
      </c>
      <c r="P79" t="s">
        <v>174</v>
      </c>
      <c r="Q79" t="s">
        <v>28</v>
      </c>
    </row>
    <row r="80" spans="1:17" x14ac:dyDescent="0.3">
      <c r="A80">
        <v>392203</v>
      </c>
      <c r="B80" t="s">
        <v>178</v>
      </c>
      <c r="C80" s="1">
        <v>39818</v>
      </c>
      <c r="D80" t="s">
        <v>179</v>
      </c>
      <c r="E80" t="s">
        <v>180</v>
      </c>
      <c r="F80">
        <v>1</v>
      </c>
      <c r="G80" t="s">
        <v>22</v>
      </c>
      <c r="H80" t="s">
        <v>50</v>
      </c>
      <c r="I80" t="s">
        <v>50</v>
      </c>
      <c r="J80" t="s">
        <v>35</v>
      </c>
      <c r="K80" t="s">
        <v>50</v>
      </c>
      <c r="L80" t="s">
        <v>24</v>
      </c>
      <c r="M80">
        <v>9</v>
      </c>
      <c r="N80" t="s">
        <v>25</v>
      </c>
      <c r="O80" t="s">
        <v>26</v>
      </c>
      <c r="P80" t="s">
        <v>155</v>
      </c>
      <c r="Q80" t="s">
        <v>181</v>
      </c>
    </row>
    <row r="81" spans="1:17" x14ac:dyDescent="0.3">
      <c r="A81">
        <v>392204</v>
      </c>
      <c r="B81" t="s">
        <v>150</v>
      </c>
      <c r="C81" s="1">
        <v>39818</v>
      </c>
      <c r="D81" t="s">
        <v>182</v>
      </c>
      <c r="E81" t="s">
        <v>153</v>
      </c>
      <c r="F81">
        <v>1</v>
      </c>
      <c r="G81" t="s">
        <v>21</v>
      </c>
      <c r="H81" t="s">
        <v>33</v>
      </c>
      <c r="I81" t="s">
        <v>21</v>
      </c>
      <c r="J81" t="s">
        <v>35</v>
      </c>
      <c r="K81" t="s">
        <v>21</v>
      </c>
      <c r="L81" t="s">
        <v>24</v>
      </c>
      <c r="M81">
        <v>8</v>
      </c>
      <c r="N81" t="s">
        <v>25</v>
      </c>
      <c r="O81" t="s">
        <v>26</v>
      </c>
      <c r="P81" t="s">
        <v>165</v>
      </c>
      <c r="Q81" t="s">
        <v>183</v>
      </c>
    </row>
    <row r="82" spans="1:17" x14ac:dyDescent="0.3">
      <c r="A82">
        <v>392205</v>
      </c>
      <c r="B82" t="s">
        <v>145</v>
      </c>
      <c r="C82" s="1">
        <v>39849</v>
      </c>
      <c r="D82" t="s">
        <v>75</v>
      </c>
      <c r="E82" t="s">
        <v>148</v>
      </c>
      <c r="F82">
        <v>1</v>
      </c>
      <c r="G82" t="s">
        <v>56</v>
      </c>
      <c r="H82" t="s">
        <v>42</v>
      </c>
      <c r="I82" t="s">
        <v>56</v>
      </c>
      <c r="J82" t="s">
        <v>35</v>
      </c>
      <c r="K82" t="s">
        <v>42</v>
      </c>
      <c r="L82" t="s">
        <v>43</v>
      </c>
      <c r="M82">
        <v>3</v>
      </c>
      <c r="N82" t="s">
        <v>25</v>
      </c>
      <c r="O82" t="s">
        <v>26</v>
      </c>
      <c r="P82" t="s">
        <v>168</v>
      </c>
      <c r="Q82" t="s">
        <v>106</v>
      </c>
    </row>
    <row r="83" spans="1:17" x14ac:dyDescent="0.3">
      <c r="A83">
        <v>392206</v>
      </c>
      <c r="B83" t="s">
        <v>184</v>
      </c>
      <c r="C83" s="1">
        <v>39849</v>
      </c>
      <c r="D83" t="s">
        <v>185</v>
      </c>
      <c r="E83" t="s">
        <v>186</v>
      </c>
      <c r="F83">
        <v>1</v>
      </c>
      <c r="G83" t="s">
        <v>34</v>
      </c>
      <c r="H83" t="s">
        <v>41</v>
      </c>
      <c r="I83" t="s">
        <v>41</v>
      </c>
      <c r="J83" t="s">
        <v>23</v>
      </c>
      <c r="K83" t="s">
        <v>34</v>
      </c>
      <c r="L83" t="s">
        <v>24</v>
      </c>
      <c r="M83">
        <v>18</v>
      </c>
      <c r="N83" t="s">
        <v>25</v>
      </c>
      <c r="O83" t="s">
        <v>26</v>
      </c>
      <c r="P83" t="s">
        <v>52</v>
      </c>
      <c r="Q83" t="s">
        <v>28</v>
      </c>
    </row>
    <row r="84" spans="1:17" x14ac:dyDescent="0.3">
      <c r="A84">
        <v>392207</v>
      </c>
      <c r="B84" t="s">
        <v>145</v>
      </c>
      <c r="C84" s="1">
        <v>39877</v>
      </c>
      <c r="D84" t="s">
        <v>114</v>
      </c>
      <c r="E84" t="s">
        <v>148</v>
      </c>
      <c r="F84">
        <v>1</v>
      </c>
      <c r="G84" t="s">
        <v>33</v>
      </c>
      <c r="H84" t="s">
        <v>22</v>
      </c>
      <c r="I84" t="s">
        <v>22</v>
      </c>
      <c r="J84" t="s">
        <v>35</v>
      </c>
      <c r="K84" t="s">
        <v>33</v>
      </c>
      <c r="L84" t="s">
        <v>43</v>
      </c>
      <c r="M84">
        <v>6</v>
      </c>
      <c r="N84" t="s">
        <v>25</v>
      </c>
      <c r="O84" t="s">
        <v>26</v>
      </c>
      <c r="P84" t="s">
        <v>168</v>
      </c>
      <c r="Q84" t="s">
        <v>36</v>
      </c>
    </row>
    <row r="85" spans="1:17" x14ac:dyDescent="0.3">
      <c r="A85">
        <v>392208</v>
      </c>
      <c r="B85" t="s">
        <v>184</v>
      </c>
      <c r="C85" s="1">
        <v>39877</v>
      </c>
      <c r="D85" t="s">
        <v>187</v>
      </c>
      <c r="E85" t="s">
        <v>186</v>
      </c>
      <c r="F85">
        <v>1</v>
      </c>
      <c r="G85" t="s">
        <v>21</v>
      </c>
      <c r="H85" t="s">
        <v>50</v>
      </c>
      <c r="I85" t="s">
        <v>50</v>
      </c>
      <c r="J85" t="s">
        <v>35</v>
      </c>
      <c r="K85" t="s">
        <v>21</v>
      </c>
      <c r="L85" t="s">
        <v>43</v>
      </c>
      <c r="M85">
        <v>9</v>
      </c>
      <c r="N85" t="s">
        <v>25</v>
      </c>
      <c r="O85" t="s">
        <v>26</v>
      </c>
      <c r="P85" t="s">
        <v>28</v>
      </c>
      <c r="Q85" t="s">
        <v>162</v>
      </c>
    </row>
    <row r="86" spans="1:17" x14ac:dyDescent="0.3">
      <c r="A86">
        <v>392209</v>
      </c>
      <c r="B86" t="s">
        <v>178</v>
      </c>
      <c r="C86" s="1">
        <v>39908</v>
      </c>
      <c r="D86" t="s">
        <v>87</v>
      </c>
      <c r="E86" t="s">
        <v>180</v>
      </c>
      <c r="F86">
        <v>1</v>
      </c>
      <c r="G86" t="s">
        <v>34</v>
      </c>
      <c r="H86" t="s">
        <v>56</v>
      </c>
      <c r="I86" t="s">
        <v>34</v>
      </c>
      <c r="J86" t="s">
        <v>35</v>
      </c>
      <c r="K86" t="s">
        <v>34</v>
      </c>
      <c r="L86" t="s">
        <v>24</v>
      </c>
      <c r="M86">
        <v>78</v>
      </c>
      <c r="N86" t="s">
        <v>25</v>
      </c>
      <c r="O86" t="s">
        <v>26</v>
      </c>
      <c r="P86" t="s">
        <v>88</v>
      </c>
      <c r="Q86" t="s">
        <v>155</v>
      </c>
    </row>
    <row r="87" spans="1:17" x14ac:dyDescent="0.3">
      <c r="A87">
        <v>392210</v>
      </c>
      <c r="B87" t="s">
        <v>150</v>
      </c>
      <c r="C87" s="1">
        <v>39938</v>
      </c>
      <c r="D87" t="s">
        <v>116</v>
      </c>
      <c r="E87" t="s">
        <v>153</v>
      </c>
      <c r="F87">
        <v>1</v>
      </c>
      <c r="G87" t="s">
        <v>33</v>
      </c>
      <c r="H87" t="s">
        <v>42</v>
      </c>
      <c r="I87" t="s">
        <v>33</v>
      </c>
      <c r="J87" t="s">
        <v>23</v>
      </c>
      <c r="K87" t="s">
        <v>42</v>
      </c>
      <c r="L87" t="s">
        <v>24</v>
      </c>
      <c r="M87">
        <v>78</v>
      </c>
      <c r="N87" t="s">
        <v>25</v>
      </c>
      <c r="O87" t="s">
        <v>26</v>
      </c>
      <c r="P87" t="s">
        <v>188</v>
      </c>
      <c r="Q87" t="s">
        <v>68</v>
      </c>
    </row>
    <row r="88" spans="1:17" x14ac:dyDescent="0.3">
      <c r="A88">
        <v>392211</v>
      </c>
      <c r="B88" t="s">
        <v>150</v>
      </c>
      <c r="C88" s="1">
        <v>39938</v>
      </c>
      <c r="D88" t="s">
        <v>189</v>
      </c>
      <c r="E88" t="s">
        <v>153</v>
      </c>
      <c r="F88">
        <v>1</v>
      </c>
      <c r="G88" t="s">
        <v>41</v>
      </c>
      <c r="H88" t="s">
        <v>22</v>
      </c>
      <c r="I88" t="s">
        <v>22</v>
      </c>
      <c r="J88" t="s">
        <v>35</v>
      </c>
      <c r="K88" t="s">
        <v>41</v>
      </c>
      <c r="L88" t="s">
        <v>43</v>
      </c>
      <c r="M88">
        <v>9</v>
      </c>
      <c r="N88" t="s">
        <v>25</v>
      </c>
      <c r="O88" t="s">
        <v>26</v>
      </c>
      <c r="P88" t="s">
        <v>174</v>
      </c>
      <c r="Q88" t="s">
        <v>68</v>
      </c>
    </row>
    <row r="89" spans="1:17" x14ac:dyDescent="0.3">
      <c r="A89">
        <v>392212</v>
      </c>
      <c r="B89" t="s">
        <v>171</v>
      </c>
      <c r="C89" s="1">
        <v>39969</v>
      </c>
      <c r="D89" t="s">
        <v>190</v>
      </c>
      <c r="E89" t="s">
        <v>173</v>
      </c>
      <c r="F89">
        <v>1</v>
      </c>
      <c r="G89" t="s">
        <v>56</v>
      </c>
      <c r="H89" t="s">
        <v>50</v>
      </c>
      <c r="I89" t="s">
        <v>56</v>
      </c>
      <c r="J89" t="s">
        <v>35</v>
      </c>
      <c r="K89" t="s">
        <v>56</v>
      </c>
      <c r="L89" t="s">
        <v>24</v>
      </c>
      <c r="M89">
        <v>19</v>
      </c>
      <c r="N89" t="s">
        <v>25</v>
      </c>
      <c r="O89" t="s">
        <v>26</v>
      </c>
      <c r="P89" t="s">
        <v>36</v>
      </c>
      <c r="Q89" t="s">
        <v>165</v>
      </c>
    </row>
    <row r="90" spans="1:17" x14ac:dyDescent="0.3">
      <c r="A90">
        <v>392213</v>
      </c>
      <c r="B90" t="s">
        <v>171</v>
      </c>
      <c r="C90" s="1">
        <v>39999</v>
      </c>
      <c r="D90" t="s">
        <v>191</v>
      </c>
      <c r="E90" t="s">
        <v>173</v>
      </c>
      <c r="F90">
        <v>1</v>
      </c>
      <c r="G90" t="s">
        <v>21</v>
      </c>
      <c r="H90" t="s">
        <v>42</v>
      </c>
      <c r="I90" t="s">
        <v>42</v>
      </c>
      <c r="J90" t="s">
        <v>23</v>
      </c>
      <c r="K90" t="s">
        <v>42</v>
      </c>
      <c r="L90" t="s">
        <v>43</v>
      </c>
      <c r="M90">
        <v>7</v>
      </c>
      <c r="N90" t="s">
        <v>25</v>
      </c>
      <c r="O90" t="s">
        <v>26</v>
      </c>
      <c r="P90" t="s">
        <v>58</v>
      </c>
      <c r="Q90" t="s">
        <v>52</v>
      </c>
    </row>
    <row r="91" spans="1:17" x14ac:dyDescent="0.3">
      <c r="A91">
        <v>392214</v>
      </c>
      <c r="B91" t="s">
        <v>171</v>
      </c>
      <c r="C91" s="1">
        <v>39999</v>
      </c>
      <c r="D91" t="s">
        <v>72</v>
      </c>
      <c r="E91" t="s">
        <v>173</v>
      </c>
      <c r="F91">
        <v>1</v>
      </c>
      <c r="G91" t="s">
        <v>34</v>
      </c>
      <c r="H91" t="s">
        <v>33</v>
      </c>
      <c r="I91" t="s">
        <v>34</v>
      </c>
      <c r="J91" t="s">
        <v>35</v>
      </c>
      <c r="K91" t="s">
        <v>34</v>
      </c>
      <c r="L91" t="s">
        <v>24</v>
      </c>
      <c r="M91">
        <v>12</v>
      </c>
      <c r="N91" t="s">
        <v>25</v>
      </c>
      <c r="O91" t="s">
        <v>115</v>
      </c>
      <c r="P91" t="s">
        <v>52</v>
      </c>
      <c r="Q91" t="s">
        <v>162</v>
      </c>
    </row>
    <row r="92" spans="1:17" x14ac:dyDescent="0.3">
      <c r="A92">
        <v>392215</v>
      </c>
      <c r="B92" t="s">
        <v>178</v>
      </c>
      <c r="C92" s="1">
        <v>40030</v>
      </c>
      <c r="D92" t="s">
        <v>101</v>
      </c>
      <c r="E92" t="s">
        <v>180</v>
      </c>
      <c r="F92">
        <v>1</v>
      </c>
      <c r="G92" t="s">
        <v>41</v>
      </c>
      <c r="H92" t="s">
        <v>50</v>
      </c>
      <c r="I92" t="s">
        <v>50</v>
      </c>
      <c r="J92" t="s">
        <v>35</v>
      </c>
      <c r="K92" t="s">
        <v>41</v>
      </c>
      <c r="L92" t="s">
        <v>43</v>
      </c>
      <c r="M92">
        <v>7</v>
      </c>
      <c r="N92" t="s">
        <v>25</v>
      </c>
      <c r="O92" t="s">
        <v>26</v>
      </c>
      <c r="P92" t="s">
        <v>155</v>
      </c>
      <c r="Q92" t="s">
        <v>181</v>
      </c>
    </row>
    <row r="93" spans="1:17" x14ac:dyDescent="0.3">
      <c r="A93">
        <v>392216</v>
      </c>
      <c r="B93" t="s">
        <v>192</v>
      </c>
      <c r="C93" s="1">
        <v>40061</v>
      </c>
      <c r="D93" t="s">
        <v>114</v>
      </c>
      <c r="E93" t="s">
        <v>193</v>
      </c>
      <c r="F93">
        <v>1</v>
      </c>
      <c r="G93" t="s">
        <v>56</v>
      </c>
      <c r="H93" t="s">
        <v>33</v>
      </c>
      <c r="I93" t="s">
        <v>33</v>
      </c>
      <c r="J93" t="s">
        <v>23</v>
      </c>
      <c r="K93" t="s">
        <v>33</v>
      </c>
      <c r="L93" t="s">
        <v>43</v>
      </c>
      <c r="M93">
        <v>3</v>
      </c>
      <c r="N93" t="s">
        <v>25</v>
      </c>
      <c r="O93" t="s">
        <v>26</v>
      </c>
      <c r="P93" t="s">
        <v>174</v>
      </c>
      <c r="Q93" t="s">
        <v>69</v>
      </c>
    </row>
    <row r="94" spans="1:17" x14ac:dyDescent="0.3">
      <c r="A94">
        <v>392217</v>
      </c>
      <c r="B94" t="s">
        <v>192</v>
      </c>
      <c r="C94" s="1">
        <v>40061</v>
      </c>
      <c r="D94" t="s">
        <v>194</v>
      </c>
      <c r="E94" t="s">
        <v>193</v>
      </c>
      <c r="F94">
        <v>1</v>
      </c>
      <c r="G94" t="s">
        <v>34</v>
      </c>
      <c r="H94" t="s">
        <v>42</v>
      </c>
      <c r="I94" t="s">
        <v>42</v>
      </c>
      <c r="J94" t="s">
        <v>35</v>
      </c>
      <c r="K94" t="s">
        <v>34</v>
      </c>
      <c r="L94" t="s">
        <v>43</v>
      </c>
      <c r="M94">
        <v>7</v>
      </c>
      <c r="N94" t="s">
        <v>25</v>
      </c>
      <c r="O94" t="s">
        <v>26</v>
      </c>
      <c r="P94" t="s">
        <v>174</v>
      </c>
      <c r="Q94" t="s">
        <v>165</v>
      </c>
    </row>
    <row r="95" spans="1:17" x14ac:dyDescent="0.3">
      <c r="A95">
        <v>392218</v>
      </c>
      <c r="B95" t="s">
        <v>145</v>
      </c>
      <c r="C95" s="1">
        <v>40091</v>
      </c>
      <c r="D95" t="s">
        <v>179</v>
      </c>
      <c r="E95" t="s">
        <v>148</v>
      </c>
      <c r="F95">
        <v>1</v>
      </c>
      <c r="G95" t="s">
        <v>21</v>
      </c>
      <c r="H95" t="s">
        <v>50</v>
      </c>
      <c r="I95" t="s">
        <v>50</v>
      </c>
      <c r="J95" t="s">
        <v>35</v>
      </c>
      <c r="K95" t="s">
        <v>50</v>
      </c>
      <c r="L95" t="s">
        <v>24</v>
      </c>
      <c r="M95">
        <v>16</v>
      </c>
      <c r="N95" t="s">
        <v>25</v>
      </c>
      <c r="O95" t="s">
        <v>26</v>
      </c>
      <c r="P95" t="s">
        <v>88</v>
      </c>
      <c r="Q95" t="s">
        <v>106</v>
      </c>
    </row>
    <row r="96" spans="1:17" x14ac:dyDescent="0.3">
      <c r="A96">
        <v>392219</v>
      </c>
      <c r="B96" t="s">
        <v>184</v>
      </c>
      <c r="C96" s="1">
        <v>40091</v>
      </c>
      <c r="D96" t="s">
        <v>111</v>
      </c>
      <c r="E96" t="s">
        <v>186</v>
      </c>
      <c r="F96">
        <v>1</v>
      </c>
      <c r="G96" t="s">
        <v>41</v>
      </c>
      <c r="H96" t="s">
        <v>22</v>
      </c>
      <c r="I96" t="s">
        <v>41</v>
      </c>
      <c r="J96" t="s">
        <v>23</v>
      </c>
      <c r="K96" t="s">
        <v>41</v>
      </c>
      <c r="L96" t="s">
        <v>43</v>
      </c>
      <c r="M96">
        <v>7</v>
      </c>
      <c r="N96" t="s">
        <v>25</v>
      </c>
      <c r="O96" t="s">
        <v>26</v>
      </c>
      <c r="P96" t="s">
        <v>37</v>
      </c>
      <c r="Q96" t="s">
        <v>63</v>
      </c>
    </row>
    <row r="97" spans="1:17" x14ac:dyDescent="0.3">
      <c r="A97">
        <v>392220</v>
      </c>
      <c r="B97" t="s">
        <v>192</v>
      </c>
      <c r="C97" s="1">
        <v>40122</v>
      </c>
      <c r="D97" t="s">
        <v>195</v>
      </c>
      <c r="E97" t="s">
        <v>193</v>
      </c>
      <c r="F97">
        <v>1</v>
      </c>
      <c r="G97" t="s">
        <v>56</v>
      </c>
      <c r="H97" t="s">
        <v>42</v>
      </c>
      <c r="I97" t="s">
        <v>56</v>
      </c>
      <c r="J97" t="s">
        <v>35</v>
      </c>
      <c r="K97" t="s">
        <v>56</v>
      </c>
      <c r="L97" t="s">
        <v>24</v>
      </c>
      <c r="M97">
        <v>53</v>
      </c>
      <c r="N97" t="s">
        <v>25</v>
      </c>
      <c r="O97" t="s">
        <v>26</v>
      </c>
      <c r="P97" t="s">
        <v>174</v>
      </c>
      <c r="Q97" t="s">
        <v>165</v>
      </c>
    </row>
    <row r="98" spans="1:17" x14ac:dyDescent="0.3">
      <c r="A98">
        <v>392221</v>
      </c>
      <c r="B98" t="s">
        <v>171</v>
      </c>
      <c r="C98" s="1">
        <v>40152</v>
      </c>
      <c r="D98" t="s">
        <v>196</v>
      </c>
      <c r="E98" t="s">
        <v>173</v>
      </c>
      <c r="F98">
        <v>1</v>
      </c>
      <c r="G98" t="s">
        <v>21</v>
      </c>
      <c r="H98" t="s">
        <v>22</v>
      </c>
      <c r="I98" t="s">
        <v>21</v>
      </c>
      <c r="J98" t="s">
        <v>23</v>
      </c>
      <c r="K98" t="s">
        <v>21</v>
      </c>
      <c r="L98" t="s">
        <v>43</v>
      </c>
      <c r="M98">
        <v>6</v>
      </c>
      <c r="N98" t="s">
        <v>25</v>
      </c>
      <c r="O98" t="s">
        <v>26</v>
      </c>
      <c r="P98" t="s">
        <v>155</v>
      </c>
      <c r="Q98" t="s">
        <v>188</v>
      </c>
    </row>
    <row r="99" spans="1:17" x14ac:dyDescent="0.3">
      <c r="A99">
        <v>392222</v>
      </c>
      <c r="B99" t="s">
        <v>171</v>
      </c>
      <c r="C99" s="1">
        <v>40152</v>
      </c>
      <c r="D99" t="s">
        <v>197</v>
      </c>
      <c r="E99" t="s">
        <v>173</v>
      </c>
      <c r="F99">
        <v>1</v>
      </c>
      <c r="G99" t="s">
        <v>33</v>
      </c>
      <c r="H99" t="s">
        <v>50</v>
      </c>
      <c r="I99" t="s">
        <v>33</v>
      </c>
      <c r="J99" t="s">
        <v>35</v>
      </c>
      <c r="K99" t="s">
        <v>50</v>
      </c>
      <c r="L99" t="s">
        <v>43</v>
      </c>
      <c r="M99">
        <v>8</v>
      </c>
      <c r="N99" t="s">
        <v>25</v>
      </c>
      <c r="O99" t="s">
        <v>26</v>
      </c>
      <c r="P99" t="s">
        <v>188</v>
      </c>
      <c r="Q99" t="s">
        <v>28</v>
      </c>
    </row>
    <row r="100" spans="1:17" x14ac:dyDescent="0.3">
      <c r="A100">
        <v>392223</v>
      </c>
      <c r="B100" t="s">
        <v>150</v>
      </c>
      <c r="C100" t="s">
        <v>198</v>
      </c>
      <c r="D100" t="s">
        <v>199</v>
      </c>
      <c r="E100" t="s">
        <v>153</v>
      </c>
      <c r="F100">
        <v>1</v>
      </c>
      <c r="G100" t="s">
        <v>56</v>
      </c>
      <c r="H100" t="s">
        <v>41</v>
      </c>
      <c r="I100" t="s">
        <v>56</v>
      </c>
      <c r="J100" t="s">
        <v>23</v>
      </c>
      <c r="K100" t="s">
        <v>41</v>
      </c>
      <c r="L100" t="s">
        <v>24</v>
      </c>
      <c r="M100">
        <v>12</v>
      </c>
      <c r="N100" t="s">
        <v>25</v>
      </c>
      <c r="O100" t="s">
        <v>26</v>
      </c>
      <c r="P100" t="s">
        <v>52</v>
      </c>
      <c r="Q100" t="s">
        <v>37</v>
      </c>
    </row>
    <row r="101" spans="1:17" x14ac:dyDescent="0.3">
      <c r="A101">
        <v>392224</v>
      </c>
      <c r="B101" t="s">
        <v>150</v>
      </c>
      <c r="C101" t="s">
        <v>200</v>
      </c>
      <c r="D101" t="s">
        <v>196</v>
      </c>
      <c r="E101" t="s">
        <v>153</v>
      </c>
      <c r="F101">
        <v>1</v>
      </c>
      <c r="G101" t="s">
        <v>21</v>
      </c>
      <c r="H101" t="s">
        <v>34</v>
      </c>
      <c r="I101" t="s">
        <v>34</v>
      </c>
      <c r="J101" t="s">
        <v>35</v>
      </c>
      <c r="K101" t="s">
        <v>21</v>
      </c>
      <c r="L101" t="s">
        <v>43</v>
      </c>
      <c r="M101">
        <v>2</v>
      </c>
      <c r="N101" t="s">
        <v>25</v>
      </c>
      <c r="O101" t="s">
        <v>26</v>
      </c>
      <c r="P101" t="s">
        <v>88</v>
      </c>
      <c r="Q101" t="s">
        <v>52</v>
      </c>
    </row>
    <row r="102" spans="1:17" x14ac:dyDescent="0.3">
      <c r="A102">
        <v>392225</v>
      </c>
      <c r="B102" t="s">
        <v>150</v>
      </c>
      <c r="C102" t="s">
        <v>200</v>
      </c>
      <c r="D102" t="s">
        <v>201</v>
      </c>
      <c r="E102" t="s">
        <v>153</v>
      </c>
      <c r="F102">
        <v>1</v>
      </c>
      <c r="G102" t="s">
        <v>50</v>
      </c>
      <c r="H102" t="s">
        <v>42</v>
      </c>
      <c r="I102" t="s">
        <v>42</v>
      </c>
      <c r="J102" t="s">
        <v>35</v>
      </c>
      <c r="K102" t="s">
        <v>42</v>
      </c>
      <c r="L102" t="s">
        <v>24</v>
      </c>
      <c r="M102">
        <v>2</v>
      </c>
      <c r="N102" t="s">
        <v>25</v>
      </c>
      <c r="O102" t="s">
        <v>26</v>
      </c>
      <c r="P102" t="s">
        <v>88</v>
      </c>
      <c r="Q102" t="s">
        <v>52</v>
      </c>
    </row>
    <row r="103" spans="1:17" x14ac:dyDescent="0.3">
      <c r="A103">
        <v>392226</v>
      </c>
      <c r="B103" t="s">
        <v>202</v>
      </c>
      <c r="C103" t="s">
        <v>203</v>
      </c>
      <c r="D103" t="s">
        <v>204</v>
      </c>
      <c r="E103" t="s">
        <v>205</v>
      </c>
      <c r="F103">
        <v>1</v>
      </c>
      <c r="G103" t="s">
        <v>41</v>
      </c>
      <c r="H103" t="s">
        <v>33</v>
      </c>
      <c r="I103" t="s">
        <v>33</v>
      </c>
      <c r="J103" t="s">
        <v>23</v>
      </c>
      <c r="K103" t="s">
        <v>33</v>
      </c>
      <c r="L103" t="s">
        <v>43</v>
      </c>
      <c r="M103">
        <v>6</v>
      </c>
      <c r="N103" t="s">
        <v>25</v>
      </c>
      <c r="O103" t="s">
        <v>26</v>
      </c>
      <c r="P103" t="s">
        <v>165</v>
      </c>
      <c r="Q103" t="s">
        <v>68</v>
      </c>
    </row>
    <row r="104" spans="1:17" x14ac:dyDescent="0.3">
      <c r="A104">
        <v>392227</v>
      </c>
      <c r="B104" t="s">
        <v>145</v>
      </c>
      <c r="C104" t="s">
        <v>206</v>
      </c>
      <c r="D104" t="s">
        <v>72</v>
      </c>
      <c r="E104" t="s">
        <v>148</v>
      </c>
      <c r="F104">
        <v>1</v>
      </c>
      <c r="G104" t="s">
        <v>34</v>
      </c>
      <c r="H104" t="s">
        <v>50</v>
      </c>
      <c r="I104" t="s">
        <v>50</v>
      </c>
      <c r="J104" t="s">
        <v>35</v>
      </c>
      <c r="K104" t="s">
        <v>34</v>
      </c>
      <c r="L104" t="s">
        <v>43</v>
      </c>
      <c r="M104">
        <v>7</v>
      </c>
      <c r="N104" t="s">
        <v>25</v>
      </c>
      <c r="O104" t="s">
        <v>26</v>
      </c>
      <c r="P104" t="s">
        <v>181</v>
      </c>
      <c r="Q104" t="s">
        <v>149</v>
      </c>
    </row>
    <row r="105" spans="1:17" x14ac:dyDescent="0.3">
      <c r="A105">
        <v>392228</v>
      </c>
      <c r="B105" t="s">
        <v>184</v>
      </c>
      <c r="C105" t="s">
        <v>206</v>
      </c>
      <c r="D105" t="s">
        <v>190</v>
      </c>
      <c r="E105" t="s">
        <v>186</v>
      </c>
      <c r="F105">
        <v>1</v>
      </c>
      <c r="G105" t="s">
        <v>56</v>
      </c>
      <c r="H105" t="s">
        <v>22</v>
      </c>
      <c r="I105" t="s">
        <v>56</v>
      </c>
      <c r="J105" t="s">
        <v>23</v>
      </c>
      <c r="K105" t="s">
        <v>56</v>
      </c>
      <c r="L105" t="s">
        <v>43</v>
      </c>
      <c r="M105">
        <v>6</v>
      </c>
      <c r="N105" t="s">
        <v>25</v>
      </c>
      <c r="O105" t="s">
        <v>26</v>
      </c>
      <c r="P105" t="s">
        <v>28</v>
      </c>
      <c r="Q105" t="s">
        <v>183</v>
      </c>
    </row>
    <row r="106" spans="1:17" x14ac:dyDescent="0.3">
      <c r="A106">
        <v>392229</v>
      </c>
      <c r="B106" t="s">
        <v>184</v>
      </c>
      <c r="C106" t="s">
        <v>207</v>
      </c>
      <c r="D106" t="s">
        <v>182</v>
      </c>
      <c r="E106" t="s">
        <v>186</v>
      </c>
      <c r="F106">
        <v>1</v>
      </c>
      <c r="G106" t="s">
        <v>56</v>
      </c>
      <c r="H106" t="s">
        <v>33</v>
      </c>
      <c r="I106" t="s">
        <v>56</v>
      </c>
      <c r="J106" t="s">
        <v>23</v>
      </c>
      <c r="K106" t="s">
        <v>33</v>
      </c>
      <c r="L106" t="s">
        <v>24</v>
      </c>
      <c r="M106">
        <v>1</v>
      </c>
      <c r="N106" t="s">
        <v>25</v>
      </c>
      <c r="O106" t="s">
        <v>26</v>
      </c>
      <c r="P106" t="s">
        <v>183</v>
      </c>
      <c r="Q106" t="s">
        <v>63</v>
      </c>
    </row>
    <row r="107" spans="1:17" x14ac:dyDescent="0.3">
      <c r="A107">
        <v>392230</v>
      </c>
      <c r="B107" t="s">
        <v>202</v>
      </c>
      <c r="C107" t="s">
        <v>207</v>
      </c>
      <c r="D107" t="s">
        <v>157</v>
      </c>
      <c r="E107" t="s">
        <v>205</v>
      </c>
      <c r="F107">
        <v>1</v>
      </c>
      <c r="G107" t="s">
        <v>41</v>
      </c>
      <c r="H107" t="s">
        <v>42</v>
      </c>
      <c r="I107" t="s">
        <v>41</v>
      </c>
      <c r="J107" t="s">
        <v>35</v>
      </c>
      <c r="K107" t="s">
        <v>41</v>
      </c>
      <c r="L107" t="s">
        <v>24</v>
      </c>
      <c r="M107">
        <v>14</v>
      </c>
      <c r="N107" t="s">
        <v>25</v>
      </c>
      <c r="O107" t="s">
        <v>26</v>
      </c>
      <c r="P107" t="s">
        <v>188</v>
      </c>
      <c r="Q107" t="s">
        <v>68</v>
      </c>
    </row>
    <row r="108" spans="1:17" x14ac:dyDescent="0.3">
      <c r="A108">
        <v>392231</v>
      </c>
      <c r="B108" t="s">
        <v>171</v>
      </c>
      <c r="C108" t="s">
        <v>208</v>
      </c>
      <c r="D108" t="s">
        <v>209</v>
      </c>
      <c r="E108" t="s">
        <v>173</v>
      </c>
      <c r="F108">
        <v>1</v>
      </c>
      <c r="G108" t="s">
        <v>34</v>
      </c>
      <c r="H108" t="s">
        <v>22</v>
      </c>
      <c r="I108" t="s">
        <v>34</v>
      </c>
      <c r="J108" t="s">
        <v>35</v>
      </c>
      <c r="K108" t="s">
        <v>22</v>
      </c>
      <c r="L108" t="s">
        <v>43</v>
      </c>
      <c r="M108">
        <v>7</v>
      </c>
      <c r="N108" t="s">
        <v>25</v>
      </c>
      <c r="O108" t="s">
        <v>26</v>
      </c>
      <c r="P108" t="s">
        <v>149</v>
      </c>
      <c r="Q108" t="s">
        <v>63</v>
      </c>
    </row>
    <row r="109" spans="1:17" x14ac:dyDescent="0.3">
      <c r="A109">
        <v>392232</v>
      </c>
      <c r="B109" t="s">
        <v>184</v>
      </c>
      <c r="C109" t="s">
        <v>210</v>
      </c>
      <c r="D109" t="s">
        <v>187</v>
      </c>
      <c r="E109" t="s">
        <v>186</v>
      </c>
      <c r="F109">
        <v>1</v>
      </c>
      <c r="G109" t="s">
        <v>21</v>
      </c>
      <c r="H109" t="s">
        <v>41</v>
      </c>
      <c r="I109" t="s">
        <v>41</v>
      </c>
      <c r="J109" t="s">
        <v>35</v>
      </c>
      <c r="K109" t="s">
        <v>21</v>
      </c>
      <c r="L109" t="s">
        <v>43</v>
      </c>
      <c r="M109">
        <v>7</v>
      </c>
      <c r="N109" t="s">
        <v>25</v>
      </c>
      <c r="O109" t="s">
        <v>26</v>
      </c>
      <c r="P109" t="s">
        <v>68</v>
      </c>
      <c r="Q109" t="s">
        <v>63</v>
      </c>
    </row>
    <row r="110" spans="1:17" x14ac:dyDescent="0.3">
      <c r="A110">
        <v>392233</v>
      </c>
      <c r="B110" t="s">
        <v>150</v>
      </c>
      <c r="C110" t="s">
        <v>211</v>
      </c>
      <c r="D110" t="s">
        <v>212</v>
      </c>
      <c r="E110" t="s">
        <v>153</v>
      </c>
      <c r="F110">
        <v>1</v>
      </c>
      <c r="G110" t="s">
        <v>22</v>
      </c>
      <c r="H110" t="s">
        <v>42</v>
      </c>
      <c r="I110" t="s">
        <v>22</v>
      </c>
      <c r="J110" t="s">
        <v>23</v>
      </c>
      <c r="K110" t="s">
        <v>22</v>
      </c>
      <c r="L110" t="s">
        <v>43</v>
      </c>
      <c r="M110">
        <v>4</v>
      </c>
      <c r="N110" t="s">
        <v>25</v>
      </c>
      <c r="O110" t="s">
        <v>26</v>
      </c>
      <c r="P110" t="s">
        <v>106</v>
      </c>
      <c r="Q110" t="s">
        <v>149</v>
      </c>
    </row>
    <row r="111" spans="1:17" x14ac:dyDescent="0.3">
      <c r="A111">
        <v>392234</v>
      </c>
      <c r="B111" t="s">
        <v>150</v>
      </c>
      <c r="C111" t="s">
        <v>211</v>
      </c>
      <c r="D111" t="s">
        <v>147</v>
      </c>
      <c r="E111" t="s">
        <v>153</v>
      </c>
      <c r="F111">
        <v>1</v>
      </c>
      <c r="G111" t="s">
        <v>34</v>
      </c>
      <c r="H111" t="s">
        <v>33</v>
      </c>
      <c r="I111" t="s">
        <v>34</v>
      </c>
      <c r="J111" t="s">
        <v>35</v>
      </c>
      <c r="K111" t="s">
        <v>34</v>
      </c>
      <c r="L111" t="s">
        <v>24</v>
      </c>
      <c r="M111">
        <v>24</v>
      </c>
      <c r="N111" t="s">
        <v>25</v>
      </c>
      <c r="O111" t="s">
        <v>26</v>
      </c>
      <c r="P111" t="s">
        <v>106</v>
      </c>
      <c r="Q111" t="s">
        <v>149</v>
      </c>
    </row>
    <row r="112" spans="1:17" x14ac:dyDescent="0.3">
      <c r="A112">
        <v>392235</v>
      </c>
      <c r="B112" t="s">
        <v>171</v>
      </c>
      <c r="C112" t="s">
        <v>213</v>
      </c>
      <c r="D112" t="s">
        <v>66</v>
      </c>
      <c r="E112" t="s">
        <v>173</v>
      </c>
      <c r="F112">
        <v>1</v>
      </c>
      <c r="G112" t="s">
        <v>41</v>
      </c>
      <c r="H112" t="s">
        <v>50</v>
      </c>
      <c r="I112" t="s">
        <v>41</v>
      </c>
      <c r="J112" t="s">
        <v>23</v>
      </c>
      <c r="K112" t="s">
        <v>41</v>
      </c>
      <c r="L112" t="s">
        <v>43</v>
      </c>
      <c r="M112">
        <v>4</v>
      </c>
      <c r="N112" t="s">
        <v>25</v>
      </c>
      <c r="O112" t="s">
        <v>26</v>
      </c>
      <c r="P112" t="s">
        <v>68</v>
      </c>
      <c r="Q112" t="s">
        <v>183</v>
      </c>
    </row>
    <row r="113" spans="1:17" x14ac:dyDescent="0.3">
      <c r="A113">
        <v>392236</v>
      </c>
      <c r="B113" t="s">
        <v>171</v>
      </c>
      <c r="C113" t="s">
        <v>213</v>
      </c>
      <c r="D113" t="s">
        <v>214</v>
      </c>
      <c r="E113" t="s">
        <v>173</v>
      </c>
      <c r="F113">
        <v>1</v>
      </c>
      <c r="G113" t="s">
        <v>21</v>
      </c>
      <c r="H113" t="s">
        <v>56</v>
      </c>
      <c r="I113" t="s">
        <v>21</v>
      </c>
      <c r="J113" t="s">
        <v>35</v>
      </c>
      <c r="K113" t="s">
        <v>21</v>
      </c>
      <c r="L113" t="s">
        <v>24</v>
      </c>
      <c r="M113">
        <v>12</v>
      </c>
      <c r="N113" t="s">
        <v>25</v>
      </c>
      <c r="O113" t="s">
        <v>26</v>
      </c>
      <c r="P113" t="s">
        <v>68</v>
      </c>
      <c r="Q113" t="s">
        <v>183</v>
      </c>
    </row>
    <row r="114" spans="1:17" x14ac:dyDescent="0.3">
      <c r="A114">
        <v>392237</v>
      </c>
      <c r="B114" t="s">
        <v>171</v>
      </c>
      <c r="C114" t="s">
        <v>215</v>
      </c>
      <c r="D114" t="s">
        <v>82</v>
      </c>
      <c r="E114" t="s">
        <v>173</v>
      </c>
      <c r="F114">
        <v>1</v>
      </c>
      <c r="G114" t="s">
        <v>41</v>
      </c>
      <c r="H114" t="s">
        <v>56</v>
      </c>
      <c r="I114" t="s">
        <v>56</v>
      </c>
      <c r="J114" t="s">
        <v>23</v>
      </c>
      <c r="K114" t="s">
        <v>56</v>
      </c>
      <c r="L114" t="s">
        <v>43</v>
      </c>
      <c r="M114">
        <v>6</v>
      </c>
      <c r="N114" t="s">
        <v>25</v>
      </c>
      <c r="O114" t="s">
        <v>26</v>
      </c>
      <c r="P114" t="s">
        <v>88</v>
      </c>
      <c r="Q114" t="s">
        <v>52</v>
      </c>
    </row>
    <row r="115" spans="1:17" x14ac:dyDescent="0.3">
      <c r="A115">
        <v>392238</v>
      </c>
      <c r="B115" t="s">
        <v>184</v>
      </c>
      <c r="C115" t="s">
        <v>216</v>
      </c>
      <c r="D115" t="s">
        <v>214</v>
      </c>
      <c r="E115" t="s">
        <v>186</v>
      </c>
      <c r="F115">
        <v>1</v>
      </c>
      <c r="G115" t="s">
        <v>21</v>
      </c>
      <c r="H115" t="s">
        <v>34</v>
      </c>
      <c r="I115" t="s">
        <v>21</v>
      </c>
      <c r="J115" t="s">
        <v>23</v>
      </c>
      <c r="K115" t="s">
        <v>21</v>
      </c>
      <c r="L115" t="s">
        <v>43</v>
      </c>
      <c r="M115">
        <v>6</v>
      </c>
      <c r="N115" t="s">
        <v>25</v>
      </c>
      <c r="O115" t="s">
        <v>26</v>
      </c>
      <c r="P115" t="s">
        <v>28</v>
      </c>
      <c r="Q115" t="s">
        <v>149</v>
      </c>
    </row>
    <row r="116" spans="1:17" x14ac:dyDescent="0.3">
      <c r="A116">
        <v>392239</v>
      </c>
      <c r="B116" t="s">
        <v>184</v>
      </c>
      <c r="C116" t="s">
        <v>217</v>
      </c>
      <c r="D116" t="s">
        <v>124</v>
      </c>
      <c r="E116" t="s">
        <v>186</v>
      </c>
      <c r="F116">
        <v>1</v>
      </c>
      <c r="G116" t="s">
        <v>21</v>
      </c>
      <c r="H116" t="s">
        <v>56</v>
      </c>
      <c r="I116" t="s">
        <v>21</v>
      </c>
      <c r="J116" t="s">
        <v>23</v>
      </c>
      <c r="K116" t="s">
        <v>56</v>
      </c>
      <c r="L116" t="s">
        <v>24</v>
      </c>
      <c r="M116">
        <v>6</v>
      </c>
      <c r="N116" t="s">
        <v>25</v>
      </c>
      <c r="O116" t="s">
        <v>26</v>
      </c>
      <c r="P116" t="s">
        <v>28</v>
      </c>
      <c r="Q116" t="s">
        <v>149</v>
      </c>
    </row>
    <row r="117" spans="1:17" x14ac:dyDescent="0.3">
      <c r="A117">
        <v>419106</v>
      </c>
      <c r="B117" t="s">
        <v>46</v>
      </c>
      <c r="C117" s="1">
        <v>40515</v>
      </c>
      <c r="D117" t="s">
        <v>218</v>
      </c>
      <c r="E117" t="s">
        <v>83</v>
      </c>
      <c r="F117">
        <v>0</v>
      </c>
      <c r="G117" t="s">
        <v>56</v>
      </c>
      <c r="H117" t="s">
        <v>22</v>
      </c>
      <c r="I117" t="s">
        <v>56</v>
      </c>
      <c r="J117" t="s">
        <v>23</v>
      </c>
      <c r="K117" t="s">
        <v>22</v>
      </c>
      <c r="L117" t="s">
        <v>24</v>
      </c>
      <c r="M117">
        <v>11</v>
      </c>
      <c r="N117" t="s">
        <v>25</v>
      </c>
      <c r="O117" t="s">
        <v>26</v>
      </c>
      <c r="P117" t="s">
        <v>28</v>
      </c>
      <c r="Q117" t="s">
        <v>63</v>
      </c>
    </row>
    <row r="118" spans="1:17" x14ac:dyDescent="0.3">
      <c r="A118">
        <v>419107</v>
      </c>
      <c r="B118" t="s">
        <v>46</v>
      </c>
      <c r="C118" t="s">
        <v>219</v>
      </c>
      <c r="D118" t="s">
        <v>75</v>
      </c>
      <c r="E118" t="s">
        <v>220</v>
      </c>
      <c r="F118">
        <v>0</v>
      </c>
      <c r="G118" t="s">
        <v>50</v>
      </c>
      <c r="H118" t="s">
        <v>42</v>
      </c>
      <c r="I118" t="s">
        <v>50</v>
      </c>
      <c r="J118" t="s">
        <v>35</v>
      </c>
      <c r="K118" t="s">
        <v>50</v>
      </c>
      <c r="L118" t="s">
        <v>24</v>
      </c>
      <c r="M118">
        <v>4</v>
      </c>
      <c r="N118" t="s">
        <v>25</v>
      </c>
      <c r="O118" t="s">
        <v>26</v>
      </c>
      <c r="P118" t="s">
        <v>28</v>
      </c>
      <c r="Q118" t="s">
        <v>63</v>
      </c>
    </row>
    <row r="119" spans="1:17" x14ac:dyDescent="0.3">
      <c r="A119">
        <v>419108</v>
      </c>
      <c r="B119" t="s">
        <v>29</v>
      </c>
      <c r="C119" t="s">
        <v>219</v>
      </c>
      <c r="D119" t="s">
        <v>189</v>
      </c>
      <c r="E119" t="s">
        <v>32</v>
      </c>
      <c r="F119">
        <v>0</v>
      </c>
      <c r="G119" t="s">
        <v>33</v>
      </c>
      <c r="H119" t="s">
        <v>41</v>
      </c>
      <c r="I119" t="s">
        <v>41</v>
      </c>
      <c r="J119" t="s">
        <v>23</v>
      </c>
      <c r="K119" t="s">
        <v>41</v>
      </c>
      <c r="L119" t="s">
        <v>43</v>
      </c>
      <c r="M119">
        <v>5</v>
      </c>
      <c r="N119" t="s">
        <v>25</v>
      </c>
      <c r="O119" t="s">
        <v>26</v>
      </c>
      <c r="P119" t="s">
        <v>88</v>
      </c>
      <c r="Q119" t="s">
        <v>183</v>
      </c>
    </row>
    <row r="120" spans="1:17" x14ac:dyDescent="0.3">
      <c r="A120">
        <v>419109</v>
      </c>
      <c r="B120" t="s">
        <v>53</v>
      </c>
      <c r="C120" t="s">
        <v>221</v>
      </c>
      <c r="D120" t="s">
        <v>222</v>
      </c>
      <c r="E120" t="s">
        <v>55</v>
      </c>
      <c r="F120">
        <v>0</v>
      </c>
      <c r="G120" t="s">
        <v>22</v>
      </c>
      <c r="H120" t="s">
        <v>21</v>
      </c>
      <c r="I120" t="s">
        <v>22</v>
      </c>
      <c r="J120" t="s">
        <v>23</v>
      </c>
      <c r="K120" t="s">
        <v>22</v>
      </c>
      <c r="L120" t="s">
        <v>43</v>
      </c>
      <c r="M120">
        <v>7</v>
      </c>
      <c r="N120" t="s">
        <v>25</v>
      </c>
      <c r="O120" t="s">
        <v>26</v>
      </c>
      <c r="P120" t="s">
        <v>165</v>
      </c>
      <c r="Q120" t="s">
        <v>69</v>
      </c>
    </row>
    <row r="121" spans="1:17" x14ac:dyDescent="0.3">
      <c r="A121">
        <v>419110</v>
      </c>
      <c r="B121" t="s">
        <v>70</v>
      </c>
      <c r="C121" t="s">
        <v>221</v>
      </c>
      <c r="D121" t="s">
        <v>223</v>
      </c>
      <c r="E121" t="s">
        <v>73</v>
      </c>
      <c r="F121">
        <v>0</v>
      </c>
      <c r="G121" t="s">
        <v>34</v>
      </c>
      <c r="H121" t="s">
        <v>56</v>
      </c>
      <c r="I121" t="s">
        <v>56</v>
      </c>
      <c r="J121" t="s">
        <v>35</v>
      </c>
      <c r="K121" t="s">
        <v>56</v>
      </c>
      <c r="L121" t="s">
        <v>24</v>
      </c>
      <c r="M121">
        <v>31</v>
      </c>
      <c r="N121" t="s">
        <v>25</v>
      </c>
      <c r="O121" t="s">
        <v>26</v>
      </c>
      <c r="P121" t="s">
        <v>58</v>
      </c>
      <c r="Q121" t="s">
        <v>52</v>
      </c>
    </row>
    <row r="122" spans="1:17" x14ac:dyDescent="0.3">
      <c r="A122">
        <v>419111</v>
      </c>
      <c r="B122" t="s">
        <v>224</v>
      </c>
      <c r="C122" t="s">
        <v>225</v>
      </c>
      <c r="D122" t="s">
        <v>66</v>
      </c>
      <c r="E122" t="s">
        <v>226</v>
      </c>
      <c r="F122">
        <v>0</v>
      </c>
      <c r="G122" t="s">
        <v>42</v>
      </c>
      <c r="H122" t="s">
        <v>41</v>
      </c>
      <c r="I122" t="s">
        <v>41</v>
      </c>
      <c r="J122" t="s">
        <v>23</v>
      </c>
      <c r="K122" t="s">
        <v>41</v>
      </c>
      <c r="L122" t="s">
        <v>43</v>
      </c>
      <c r="M122">
        <v>6</v>
      </c>
      <c r="N122" t="s">
        <v>25</v>
      </c>
      <c r="O122" t="s">
        <v>26</v>
      </c>
      <c r="P122" t="s">
        <v>106</v>
      </c>
      <c r="Q122" t="s">
        <v>28</v>
      </c>
    </row>
    <row r="123" spans="1:17" x14ac:dyDescent="0.3">
      <c r="A123">
        <v>419112</v>
      </c>
      <c r="B123" t="s">
        <v>17</v>
      </c>
      <c r="C123" t="s">
        <v>227</v>
      </c>
      <c r="D123" t="s">
        <v>187</v>
      </c>
      <c r="E123" t="s">
        <v>20</v>
      </c>
      <c r="F123">
        <v>0</v>
      </c>
      <c r="G123" t="s">
        <v>21</v>
      </c>
      <c r="H123" t="s">
        <v>33</v>
      </c>
      <c r="I123" t="s">
        <v>33</v>
      </c>
      <c r="J123" t="s">
        <v>35</v>
      </c>
      <c r="K123" t="s">
        <v>21</v>
      </c>
      <c r="L123" t="s">
        <v>43</v>
      </c>
      <c r="M123">
        <v>8</v>
      </c>
      <c r="N123" t="s">
        <v>25</v>
      </c>
      <c r="O123" t="s">
        <v>26</v>
      </c>
      <c r="P123" t="s">
        <v>228</v>
      </c>
      <c r="Q123" t="s">
        <v>52</v>
      </c>
    </row>
    <row r="124" spans="1:17" x14ac:dyDescent="0.3">
      <c r="A124">
        <v>419113</v>
      </c>
      <c r="B124" t="s">
        <v>53</v>
      </c>
      <c r="C124" t="s">
        <v>227</v>
      </c>
      <c r="D124" t="s">
        <v>87</v>
      </c>
      <c r="E124" t="s">
        <v>55</v>
      </c>
      <c r="F124">
        <v>0</v>
      </c>
      <c r="G124" t="s">
        <v>22</v>
      </c>
      <c r="H124" t="s">
        <v>34</v>
      </c>
      <c r="I124" t="s">
        <v>34</v>
      </c>
      <c r="J124" t="s">
        <v>35</v>
      </c>
      <c r="K124" t="s">
        <v>34</v>
      </c>
      <c r="L124" t="s">
        <v>24</v>
      </c>
      <c r="M124">
        <v>55</v>
      </c>
      <c r="N124" t="s">
        <v>25</v>
      </c>
      <c r="O124" t="s">
        <v>26</v>
      </c>
      <c r="P124" t="s">
        <v>165</v>
      </c>
      <c r="Q124" t="s">
        <v>69</v>
      </c>
    </row>
    <row r="125" spans="1:17" x14ac:dyDescent="0.3">
      <c r="A125">
        <v>419114</v>
      </c>
      <c r="B125" t="s">
        <v>38</v>
      </c>
      <c r="C125" t="s">
        <v>229</v>
      </c>
      <c r="D125" t="s">
        <v>138</v>
      </c>
      <c r="E125" t="s">
        <v>40</v>
      </c>
      <c r="F125">
        <v>0</v>
      </c>
      <c r="G125" t="s">
        <v>41</v>
      </c>
      <c r="H125" t="s">
        <v>50</v>
      </c>
      <c r="I125" t="s">
        <v>41</v>
      </c>
      <c r="J125" t="s">
        <v>23</v>
      </c>
      <c r="K125" t="s">
        <v>50</v>
      </c>
      <c r="L125" t="s">
        <v>24</v>
      </c>
      <c r="M125">
        <v>98</v>
      </c>
      <c r="N125" t="s">
        <v>25</v>
      </c>
      <c r="O125" t="s">
        <v>26</v>
      </c>
      <c r="P125" t="s">
        <v>88</v>
      </c>
      <c r="Q125" t="s">
        <v>181</v>
      </c>
    </row>
    <row r="126" spans="1:17" x14ac:dyDescent="0.3">
      <c r="A126">
        <v>419115</v>
      </c>
      <c r="B126" t="s">
        <v>17</v>
      </c>
      <c r="C126" t="s">
        <v>230</v>
      </c>
      <c r="D126" t="s">
        <v>187</v>
      </c>
      <c r="E126" t="s">
        <v>20</v>
      </c>
      <c r="F126">
        <v>0</v>
      </c>
      <c r="G126" t="s">
        <v>21</v>
      </c>
      <c r="H126" t="s">
        <v>42</v>
      </c>
      <c r="I126" t="s">
        <v>21</v>
      </c>
      <c r="J126" t="s">
        <v>23</v>
      </c>
      <c r="K126" t="s">
        <v>21</v>
      </c>
      <c r="L126" t="s">
        <v>43</v>
      </c>
      <c r="M126">
        <v>10</v>
      </c>
      <c r="N126" t="s">
        <v>25</v>
      </c>
      <c r="O126" t="s">
        <v>26</v>
      </c>
      <c r="P126" t="s">
        <v>58</v>
      </c>
      <c r="Q126" t="s">
        <v>52</v>
      </c>
    </row>
    <row r="127" spans="1:17" x14ac:dyDescent="0.3">
      <c r="A127">
        <v>419116</v>
      </c>
      <c r="B127" t="s">
        <v>38</v>
      </c>
      <c r="C127" t="s">
        <v>231</v>
      </c>
      <c r="D127" t="s">
        <v>72</v>
      </c>
      <c r="E127" t="s">
        <v>40</v>
      </c>
      <c r="F127">
        <v>0</v>
      </c>
      <c r="G127" t="s">
        <v>41</v>
      </c>
      <c r="H127" t="s">
        <v>34</v>
      </c>
      <c r="I127" t="s">
        <v>41</v>
      </c>
      <c r="J127" t="s">
        <v>35</v>
      </c>
      <c r="K127" t="s">
        <v>34</v>
      </c>
      <c r="L127" t="s">
        <v>43</v>
      </c>
      <c r="M127">
        <v>5</v>
      </c>
      <c r="N127" t="s">
        <v>25</v>
      </c>
      <c r="O127" t="s">
        <v>26</v>
      </c>
      <c r="P127" t="s">
        <v>88</v>
      </c>
      <c r="Q127" t="s">
        <v>181</v>
      </c>
    </row>
    <row r="128" spans="1:17" x14ac:dyDescent="0.3">
      <c r="A128">
        <v>419117</v>
      </c>
      <c r="B128" t="s">
        <v>232</v>
      </c>
      <c r="C128" t="s">
        <v>231</v>
      </c>
      <c r="D128" t="s">
        <v>233</v>
      </c>
      <c r="E128" t="s">
        <v>234</v>
      </c>
      <c r="F128">
        <v>0</v>
      </c>
      <c r="G128" t="s">
        <v>56</v>
      </c>
      <c r="H128" t="s">
        <v>33</v>
      </c>
      <c r="I128" t="s">
        <v>33</v>
      </c>
      <c r="J128" t="s">
        <v>23</v>
      </c>
      <c r="K128" t="s">
        <v>56</v>
      </c>
      <c r="L128" t="s">
        <v>24</v>
      </c>
      <c r="M128">
        <v>6</v>
      </c>
      <c r="N128" t="s">
        <v>25</v>
      </c>
      <c r="O128" t="s">
        <v>26</v>
      </c>
      <c r="P128" t="s">
        <v>57</v>
      </c>
      <c r="Q128" t="s">
        <v>155</v>
      </c>
    </row>
    <row r="129" spans="1:17" x14ac:dyDescent="0.3">
      <c r="A129">
        <v>419118</v>
      </c>
      <c r="B129" t="s">
        <v>224</v>
      </c>
      <c r="C129" t="s">
        <v>235</v>
      </c>
      <c r="D129" t="s">
        <v>236</v>
      </c>
      <c r="E129" t="s">
        <v>226</v>
      </c>
      <c r="F129">
        <v>0</v>
      </c>
      <c r="G129" t="s">
        <v>42</v>
      </c>
      <c r="H129" t="s">
        <v>22</v>
      </c>
      <c r="I129" t="s">
        <v>42</v>
      </c>
      <c r="J129" t="s">
        <v>35</v>
      </c>
      <c r="K129" t="s">
        <v>42</v>
      </c>
      <c r="L129" t="s">
        <v>24</v>
      </c>
      <c r="M129">
        <v>34</v>
      </c>
      <c r="N129" t="s">
        <v>25</v>
      </c>
      <c r="O129" t="s">
        <v>26</v>
      </c>
      <c r="P129" t="s">
        <v>28</v>
      </c>
      <c r="Q129" t="s">
        <v>63</v>
      </c>
    </row>
    <row r="130" spans="1:17" x14ac:dyDescent="0.3">
      <c r="A130">
        <v>419119</v>
      </c>
      <c r="B130" t="s">
        <v>46</v>
      </c>
      <c r="C130" t="s">
        <v>235</v>
      </c>
      <c r="D130" t="s">
        <v>187</v>
      </c>
      <c r="E130" t="s">
        <v>220</v>
      </c>
      <c r="F130">
        <v>0</v>
      </c>
      <c r="G130" t="s">
        <v>50</v>
      </c>
      <c r="H130" t="s">
        <v>21</v>
      </c>
      <c r="I130" t="s">
        <v>50</v>
      </c>
      <c r="J130" t="s">
        <v>35</v>
      </c>
      <c r="K130" t="s">
        <v>21</v>
      </c>
      <c r="L130" t="s">
        <v>43</v>
      </c>
      <c r="M130">
        <v>7</v>
      </c>
      <c r="N130" t="s">
        <v>25</v>
      </c>
      <c r="O130" t="s">
        <v>26</v>
      </c>
      <c r="P130" t="s">
        <v>165</v>
      </c>
      <c r="Q130" t="s">
        <v>188</v>
      </c>
    </row>
    <row r="131" spans="1:17" x14ac:dyDescent="0.3">
      <c r="A131">
        <v>419120</v>
      </c>
      <c r="B131" t="s">
        <v>232</v>
      </c>
      <c r="C131" t="s">
        <v>237</v>
      </c>
      <c r="D131" t="s">
        <v>233</v>
      </c>
      <c r="E131" t="s">
        <v>234</v>
      </c>
      <c r="F131">
        <v>0</v>
      </c>
      <c r="G131" t="s">
        <v>56</v>
      </c>
      <c r="H131" t="s">
        <v>41</v>
      </c>
      <c r="I131" t="s">
        <v>56</v>
      </c>
      <c r="J131" t="s">
        <v>35</v>
      </c>
      <c r="K131" t="s">
        <v>56</v>
      </c>
      <c r="L131" t="s">
        <v>24</v>
      </c>
      <c r="M131">
        <v>10</v>
      </c>
      <c r="N131" t="s">
        <v>25</v>
      </c>
      <c r="O131" t="s">
        <v>26</v>
      </c>
      <c r="P131" t="s">
        <v>57</v>
      </c>
      <c r="Q131" t="s">
        <v>155</v>
      </c>
    </row>
    <row r="132" spans="1:17" x14ac:dyDescent="0.3">
      <c r="A132">
        <v>419121</v>
      </c>
      <c r="B132" t="s">
        <v>70</v>
      </c>
      <c r="C132" t="s">
        <v>237</v>
      </c>
      <c r="D132" t="s">
        <v>238</v>
      </c>
      <c r="E132" t="s">
        <v>73</v>
      </c>
      <c r="F132">
        <v>0</v>
      </c>
      <c r="G132" t="s">
        <v>34</v>
      </c>
      <c r="H132" t="s">
        <v>33</v>
      </c>
      <c r="I132" t="s">
        <v>34</v>
      </c>
      <c r="J132" t="s">
        <v>23</v>
      </c>
      <c r="K132" t="s">
        <v>33</v>
      </c>
      <c r="L132" t="s">
        <v>158</v>
      </c>
      <c r="M132" t="s">
        <v>26</v>
      </c>
      <c r="N132" t="s">
        <v>159</v>
      </c>
      <c r="O132" t="s">
        <v>26</v>
      </c>
      <c r="P132" t="s">
        <v>58</v>
      </c>
      <c r="Q132" t="s">
        <v>52</v>
      </c>
    </row>
    <row r="133" spans="1:17" x14ac:dyDescent="0.3">
      <c r="A133">
        <v>419122</v>
      </c>
      <c r="B133" t="s">
        <v>46</v>
      </c>
      <c r="C133" t="s">
        <v>239</v>
      </c>
      <c r="D133" t="s">
        <v>138</v>
      </c>
      <c r="E133" t="s">
        <v>220</v>
      </c>
      <c r="F133">
        <v>0</v>
      </c>
      <c r="G133" t="s">
        <v>50</v>
      </c>
      <c r="H133" t="s">
        <v>22</v>
      </c>
      <c r="I133" t="s">
        <v>22</v>
      </c>
      <c r="J133" t="s">
        <v>35</v>
      </c>
      <c r="K133" t="s">
        <v>50</v>
      </c>
      <c r="L133" t="s">
        <v>43</v>
      </c>
      <c r="M133">
        <v>7</v>
      </c>
      <c r="N133" t="s">
        <v>25</v>
      </c>
      <c r="O133" t="s">
        <v>26</v>
      </c>
      <c r="P133" t="s">
        <v>188</v>
      </c>
      <c r="Q133" t="s">
        <v>149</v>
      </c>
    </row>
    <row r="134" spans="1:17" x14ac:dyDescent="0.3">
      <c r="A134">
        <v>419123</v>
      </c>
      <c r="B134" t="s">
        <v>17</v>
      </c>
      <c r="C134" t="s">
        <v>240</v>
      </c>
      <c r="D134" t="s">
        <v>241</v>
      </c>
      <c r="E134" t="s">
        <v>20</v>
      </c>
      <c r="F134">
        <v>0</v>
      </c>
      <c r="G134" t="s">
        <v>21</v>
      </c>
      <c r="H134" t="s">
        <v>34</v>
      </c>
      <c r="I134" t="s">
        <v>34</v>
      </c>
      <c r="J134" t="s">
        <v>23</v>
      </c>
      <c r="K134" t="s">
        <v>21</v>
      </c>
      <c r="L134" t="s">
        <v>24</v>
      </c>
      <c r="M134">
        <v>36</v>
      </c>
      <c r="N134" t="s">
        <v>25</v>
      </c>
      <c r="O134" t="s">
        <v>26</v>
      </c>
      <c r="P134" t="s">
        <v>28</v>
      </c>
      <c r="Q134" t="s">
        <v>63</v>
      </c>
    </row>
    <row r="135" spans="1:17" x14ac:dyDescent="0.3">
      <c r="A135">
        <v>419124</v>
      </c>
      <c r="B135" t="s">
        <v>29</v>
      </c>
      <c r="C135" t="s">
        <v>242</v>
      </c>
      <c r="D135" t="s">
        <v>243</v>
      </c>
      <c r="E135" t="s">
        <v>32</v>
      </c>
      <c r="F135">
        <v>0</v>
      </c>
      <c r="G135" t="s">
        <v>33</v>
      </c>
      <c r="H135" t="s">
        <v>42</v>
      </c>
      <c r="I135" t="s">
        <v>33</v>
      </c>
      <c r="J135" t="s">
        <v>23</v>
      </c>
      <c r="K135" t="s">
        <v>42</v>
      </c>
      <c r="L135" t="s">
        <v>24</v>
      </c>
      <c r="M135">
        <v>31</v>
      </c>
      <c r="N135" t="s">
        <v>25</v>
      </c>
      <c r="O135" t="s">
        <v>26</v>
      </c>
      <c r="P135" t="s">
        <v>88</v>
      </c>
      <c r="Q135" t="s">
        <v>181</v>
      </c>
    </row>
    <row r="136" spans="1:17" x14ac:dyDescent="0.3">
      <c r="A136">
        <v>419125</v>
      </c>
      <c r="B136" t="s">
        <v>46</v>
      </c>
      <c r="C136" t="s">
        <v>244</v>
      </c>
      <c r="D136" t="s">
        <v>138</v>
      </c>
      <c r="E136" t="s">
        <v>220</v>
      </c>
      <c r="F136">
        <v>0</v>
      </c>
      <c r="G136" t="s">
        <v>50</v>
      </c>
      <c r="H136" t="s">
        <v>34</v>
      </c>
      <c r="I136" t="s">
        <v>50</v>
      </c>
      <c r="J136" t="s">
        <v>23</v>
      </c>
      <c r="K136" t="s">
        <v>50</v>
      </c>
      <c r="L136" t="s">
        <v>43</v>
      </c>
      <c r="M136">
        <v>5</v>
      </c>
      <c r="N136" t="s">
        <v>25</v>
      </c>
      <c r="O136" t="s">
        <v>26</v>
      </c>
      <c r="P136" t="s">
        <v>57</v>
      </c>
      <c r="Q136" t="s">
        <v>69</v>
      </c>
    </row>
    <row r="137" spans="1:17" x14ac:dyDescent="0.3">
      <c r="A137">
        <v>419126</v>
      </c>
      <c r="B137" t="s">
        <v>224</v>
      </c>
      <c r="C137" t="s">
        <v>245</v>
      </c>
      <c r="D137" t="s">
        <v>75</v>
      </c>
      <c r="E137" t="s">
        <v>226</v>
      </c>
      <c r="F137">
        <v>0</v>
      </c>
      <c r="G137" t="s">
        <v>42</v>
      </c>
      <c r="H137" t="s">
        <v>56</v>
      </c>
      <c r="I137" t="s">
        <v>56</v>
      </c>
      <c r="J137" t="s">
        <v>35</v>
      </c>
      <c r="K137" t="s">
        <v>42</v>
      </c>
      <c r="L137" t="s">
        <v>43</v>
      </c>
      <c r="M137">
        <v>8</v>
      </c>
      <c r="N137" t="s">
        <v>25</v>
      </c>
      <c r="O137" t="s">
        <v>26</v>
      </c>
      <c r="P137" t="s">
        <v>165</v>
      </c>
      <c r="Q137" t="s">
        <v>149</v>
      </c>
    </row>
    <row r="138" spans="1:17" x14ac:dyDescent="0.3">
      <c r="A138">
        <v>419127</v>
      </c>
      <c r="B138" t="s">
        <v>29</v>
      </c>
      <c r="C138" t="s">
        <v>246</v>
      </c>
      <c r="D138" t="s">
        <v>222</v>
      </c>
      <c r="E138" t="s">
        <v>32</v>
      </c>
      <c r="F138">
        <v>0</v>
      </c>
      <c r="G138" t="s">
        <v>33</v>
      </c>
      <c r="H138" t="s">
        <v>22</v>
      </c>
      <c r="I138" t="s">
        <v>22</v>
      </c>
      <c r="J138" t="s">
        <v>35</v>
      </c>
      <c r="K138" t="s">
        <v>22</v>
      </c>
      <c r="L138" t="s">
        <v>24</v>
      </c>
      <c r="M138">
        <v>39</v>
      </c>
      <c r="N138" t="s">
        <v>25</v>
      </c>
      <c r="O138" t="s">
        <v>26</v>
      </c>
      <c r="P138" t="s">
        <v>88</v>
      </c>
      <c r="Q138" t="s">
        <v>183</v>
      </c>
    </row>
    <row r="139" spans="1:17" x14ac:dyDescent="0.3">
      <c r="A139">
        <v>419128</v>
      </c>
      <c r="B139" t="s">
        <v>17</v>
      </c>
      <c r="C139" t="s">
        <v>244</v>
      </c>
      <c r="D139" t="s">
        <v>247</v>
      </c>
      <c r="E139" t="s">
        <v>20</v>
      </c>
      <c r="F139">
        <v>0</v>
      </c>
      <c r="G139" t="s">
        <v>21</v>
      </c>
      <c r="H139" t="s">
        <v>41</v>
      </c>
      <c r="I139" t="s">
        <v>21</v>
      </c>
      <c r="J139" t="s">
        <v>23</v>
      </c>
      <c r="K139" t="s">
        <v>41</v>
      </c>
      <c r="L139" t="s">
        <v>24</v>
      </c>
      <c r="M139">
        <v>17</v>
      </c>
      <c r="N139" t="s">
        <v>25</v>
      </c>
      <c r="O139" t="s">
        <v>26</v>
      </c>
      <c r="P139" t="s">
        <v>106</v>
      </c>
      <c r="Q139" t="s">
        <v>28</v>
      </c>
    </row>
    <row r="140" spans="1:17" x14ac:dyDescent="0.3">
      <c r="A140">
        <v>419129</v>
      </c>
      <c r="B140" t="s">
        <v>224</v>
      </c>
      <c r="C140" t="s">
        <v>248</v>
      </c>
      <c r="D140" t="s">
        <v>249</v>
      </c>
      <c r="E140" t="s">
        <v>226</v>
      </c>
      <c r="F140">
        <v>0</v>
      </c>
      <c r="G140" t="s">
        <v>42</v>
      </c>
      <c r="H140" t="s">
        <v>34</v>
      </c>
      <c r="I140" t="s">
        <v>42</v>
      </c>
      <c r="J140" t="s">
        <v>35</v>
      </c>
      <c r="K140" t="s">
        <v>42</v>
      </c>
      <c r="L140" t="s">
        <v>24</v>
      </c>
      <c r="M140">
        <v>17</v>
      </c>
      <c r="N140" t="s">
        <v>25</v>
      </c>
      <c r="O140" t="s">
        <v>26</v>
      </c>
      <c r="P140" t="s">
        <v>188</v>
      </c>
      <c r="Q140" t="s">
        <v>149</v>
      </c>
    </row>
    <row r="141" spans="1:17" x14ac:dyDescent="0.3">
      <c r="A141">
        <v>419130</v>
      </c>
      <c r="B141" t="s">
        <v>46</v>
      </c>
      <c r="C141" t="s">
        <v>248</v>
      </c>
      <c r="D141" t="s">
        <v>197</v>
      </c>
      <c r="E141" t="s">
        <v>83</v>
      </c>
      <c r="F141">
        <v>0</v>
      </c>
      <c r="G141" t="s">
        <v>56</v>
      </c>
      <c r="H141" t="s">
        <v>50</v>
      </c>
      <c r="I141" t="s">
        <v>56</v>
      </c>
      <c r="J141" t="s">
        <v>23</v>
      </c>
      <c r="K141" t="s">
        <v>50</v>
      </c>
      <c r="L141" t="s">
        <v>24</v>
      </c>
      <c r="M141">
        <v>41</v>
      </c>
      <c r="N141" t="s">
        <v>25</v>
      </c>
      <c r="O141" t="s">
        <v>26</v>
      </c>
      <c r="P141" t="s">
        <v>228</v>
      </c>
      <c r="Q141" t="s">
        <v>58</v>
      </c>
    </row>
    <row r="142" spans="1:17" x14ac:dyDescent="0.3">
      <c r="A142">
        <v>419131</v>
      </c>
      <c r="B142" t="s">
        <v>38</v>
      </c>
      <c r="C142" t="s">
        <v>250</v>
      </c>
      <c r="D142" t="s">
        <v>251</v>
      </c>
      <c r="E142" t="s">
        <v>40</v>
      </c>
      <c r="F142">
        <v>0</v>
      </c>
      <c r="G142" t="s">
        <v>41</v>
      </c>
      <c r="H142" t="s">
        <v>22</v>
      </c>
      <c r="I142" t="s">
        <v>41</v>
      </c>
      <c r="J142" t="s">
        <v>35</v>
      </c>
      <c r="K142" t="s">
        <v>41</v>
      </c>
      <c r="L142" t="s">
        <v>24</v>
      </c>
      <c r="M142">
        <v>40</v>
      </c>
      <c r="N142" t="s">
        <v>25</v>
      </c>
      <c r="O142" t="s">
        <v>26</v>
      </c>
      <c r="P142" t="s">
        <v>188</v>
      </c>
      <c r="Q142" t="s">
        <v>149</v>
      </c>
    </row>
    <row r="143" spans="1:17" x14ac:dyDescent="0.3">
      <c r="A143">
        <v>419132</v>
      </c>
      <c r="B143" t="s">
        <v>46</v>
      </c>
      <c r="C143" t="s">
        <v>252</v>
      </c>
      <c r="D143" t="s">
        <v>253</v>
      </c>
      <c r="E143" t="s">
        <v>220</v>
      </c>
      <c r="F143">
        <v>0</v>
      </c>
      <c r="G143" t="s">
        <v>50</v>
      </c>
      <c r="H143" t="s">
        <v>33</v>
      </c>
      <c r="I143" t="s">
        <v>50</v>
      </c>
      <c r="J143" t="s">
        <v>23</v>
      </c>
      <c r="K143" t="s">
        <v>50</v>
      </c>
      <c r="L143" t="s">
        <v>43</v>
      </c>
      <c r="M143">
        <v>4</v>
      </c>
      <c r="N143" t="s">
        <v>25</v>
      </c>
      <c r="O143" t="s">
        <v>26</v>
      </c>
      <c r="P143" t="s">
        <v>88</v>
      </c>
      <c r="Q143" t="s">
        <v>181</v>
      </c>
    </row>
    <row r="144" spans="1:17" x14ac:dyDescent="0.3">
      <c r="A144">
        <v>419133</v>
      </c>
      <c r="B144" t="s">
        <v>70</v>
      </c>
      <c r="C144" t="s">
        <v>254</v>
      </c>
      <c r="D144" t="s">
        <v>255</v>
      </c>
      <c r="E144" t="s">
        <v>73</v>
      </c>
      <c r="F144">
        <v>0</v>
      </c>
      <c r="G144" t="s">
        <v>34</v>
      </c>
      <c r="H144" t="s">
        <v>21</v>
      </c>
      <c r="I144" t="s">
        <v>21</v>
      </c>
      <c r="J144" t="s">
        <v>35</v>
      </c>
      <c r="K144" t="s">
        <v>34</v>
      </c>
      <c r="L144" t="s">
        <v>43</v>
      </c>
      <c r="M144">
        <v>5</v>
      </c>
      <c r="N144" t="s">
        <v>25</v>
      </c>
      <c r="O144" t="s">
        <v>26</v>
      </c>
      <c r="P144" t="s">
        <v>106</v>
      </c>
      <c r="Q144" t="s">
        <v>28</v>
      </c>
    </row>
    <row r="145" spans="1:17" x14ac:dyDescent="0.3">
      <c r="A145">
        <v>419134</v>
      </c>
      <c r="B145" t="s">
        <v>38</v>
      </c>
      <c r="C145" t="s">
        <v>254</v>
      </c>
      <c r="D145" t="s">
        <v>127</v>
      </c>
      <c r="E145" t="s">
        <v>40</v>
      </c>
      <c r="F145">
        <v>0</v>
      </c>
      <c r="G145" t="s">
        <v>41</v>
      </c>
      <c r="H145" t="s">
        <v>42</v>
      </c>
      <c r="I145" t="s">
        <v>41</v>
      </c>
      <c r="J145" t="s">
        <v>35</v>
      </c>
      <c r="K145" t="s">
        <v>41</v>
      </c>
      <c r="L145" t="s">
        <v>24</v>
      </c>
      <c r="M145">
        <v>67</v>
      </c>
      <c r="N145" t="s">
        <v>25</v>
      </c>
      <c r="O145" t="s">
        <v>26</v>
      </c>
      <c r="P145" t="s">
        <v>165</v>
      </c>
      <c r="Q145" t="s">
        <v>149</v>
      </c>
    </row>
    <row r="146" spans="1:17" x14ac:dyDescent="0.3">
      <c r="A146">
        <v>419135</v>
      </c>
      <c r="B146" t="s">
        <v>53</v>
      </c>
      <c r="C146" s="1">
        <v>40182</v>
      </c>
      <c r="D146" t="s">
        <v>102</v>
      </c>
      <c r="E146" t="s">
        <v>55</v>
      </c>
      <c r="F146">
        <v>0</v>
      </c>
      <c r="G146" t="s">
        <v>22</v>
      </c>
      <c r="H146" t="s">
        <v>56</v>
      </c>
      <c r="I146" t="s">
        <v>22</v>
      </c>
      <c r="J146" t="s">
        <v>35</v>
      </c>
      <c r="K146" t="s">
        <v>22</v>
      </c>
      <c r="L146" t="s">
        <v>24</v>
      </c>
      <c r="M146">
        <v>24</v>
      </c>
      <c r="N146" t="s">
        <v>25</v>
      </c>
      <c r="O146" t="s">
        <v>26</v>
      </c>
      <c r="P146" t="s">
        <v>58</v>
      </c>
      <c r="Q146" t="s">
        <v>52</v>
      </c>
    </row>
    <row r="147" spans="1:17" x14ac:dyDescent="0.3">
      <c r="A147">
        <v>419136</v>
      </c>
      <c r="B147" t="s">
        <v>29</v>
      </c>
      <c r="C147" s="1">
        <v>40213</v>
      </c>
      <c r="D147" t="s">
        <v>256</v>
      </c>
      <c r="E147" t="s">
        <v>32</v>
      </c>
      <c r="F147">
        <v>0</v>
      </c>
      <c r="G147" t="s">
        <v>33</v>
      </c>
      <c r="H147" t="s">
        <v>21</v>
      </c>
      <c r="I147" t="s">
        <v>33</v>
      </c>
      <c r="J147" t="s">
        <v>35</v>
      </c>
      <c r="K147" t="s">
        <v>21</v>
      </c>
      <c r="L147" t="s">
        <v>43</v>
      </c>
      <c r="M147">
        <v>6</v>
      </c>
      <c r="N147" t="s">
        <v>25</v>
      </c>
      <c r="O147" t="s">
        <v>26</v>
      </c>
      <c r="P147" t="s">
        <v>57</v>
      </c>
      <c r="Q147" t="s">
        <v>155</v>
      </c>
    </row>
    <row r="148" spans="1:17" x14ac:dyDescent="0.3">
      <c r="A148">
        <v>419137</v>
      </c>
      <c r="B148" t="s">
        <v>70</v>
      </c>
      <c r="C148" s="1">
        <v>40241</v>
      </c>
      <c r="D148" t="s">
        <v>255</v>
      </c>
      <c r="E148" t="s">
        <v>73</v>
      </c>
      <c r="F148">
        <v>0</v>
      </c>
      <c r="G148" t="s">
        <v>34</v>
      </c>
      <c r="H148" t="s">
        <v>42</v>
      </c>
      <c r="I148" t="s">
        <v>34</v>
      </c>
      <c r="J148" t="s">
        <v>35</v>
      </c>
      <c r="K148" t="s">
        <v>34</v>
      </c>
      <c r="L148" t="s">
        <v>24</v>
      </c>
      <c r="M148">
        <v>23</v>
      </c>
      <c r="N148" t="s">
        <v>25</v>
      </c>
      <c r="O148" t="s">
        <v>26</v>
      </c>
      <c r="P148" t="s">
        <v>28</v>
      </c>
      <c r="Q148" t="s">
        <v>63</v>
      </c>
    </row>
    <row r="149" spans="1:17" x14ac:dyDescent="0.3">
      <c r="A149">
        <v>419138</v>
      </c>
      <c r="B149" t="s">
        <v>46</v>
      </c>
      <c r="C149" s="1">
        <v>40241</v>
      </c>
      <c r="D149" t="s">
        <v>257</v>
      </c>
      <c r="E149" t="s">
        <v>220</v>
      </c>
      <c r="F149">
        <v>0</v>
      </c>
      <c r="G149" t="s">
        <v>50</v>
      </c>
      <c r="H149" t="s">
        <v>56</v>
      </c>
      <c r="I149" t="s">
        <v>50</v>
      </c>
      <c r="J149" t="s">
        <v>35</v>
      </c>
      <c r="K149" t="s">
        <v>50</v>
      </c>
      <c r="L149" t="s">
        <v>24</v>
      </c>
      <c r="M149">
        <v>63</v>
      </c>
      <c r="N149" t="s">
        <v>25</v>
      </c>
      <c r="O149" t="s">
        <v>26</v>
      </c>
      <c r="P149" t="s">
        <v>88</v>
      </c>
      <c r="Q149" t="s">
        <v>183</v>
      </c>
    </row>
    <row r="150" spans="1:17" x14ac:dyDescent="0.3">
      <c r="A150">
        <v>419139</v>
      </c>
      <c r="B150" t="s">
        <v>53</v>
      </c>
      <c r="C150" s="1">
        <v>40272</v>
      </c>
      <c r="D150" t="s">
        <v>114</v>
      </c>
      <c r="E150" t="s">
        <v>55</v>
      </c>
      <c r="F150">
        <v>0</v>
      </c>
      <c r="G150" t="s">
        <v>22</v>
      </c>
      <c r="H150" t="s">
        <v>33</v>
      </c>
      <c r="I150" t="s">
        <v>22</v>
      </c>
      <c r="J150" t="s">
        <v>35</v>
      </c>
      <c r="K150" t="s">
        <v>33</v>
      </c>
      <c r="L150" t="s">
        <v>43</v>
      </c>
      <c r="M150">
        <v>8</v>
      </c>
      <c r="N150" t="s">
        <v>25</v>
      </c>
      <c r="O150" t="s">
        <v>26</v>
      </c>
      <c r="P150" t="s">
        <v>168</v>
      </c>
      <c r="Q150" t="s">
        <v>52</v>
      </c>
    </row>
    <row r="151" spans="1:17" x14ac:dyDescent="0.3">
      <c r="A151">
        <v>419140</v>
      </c>
      <c r="B151" t="s">
        <v>38</v>
      </c>
      <c r="C151" s="1">
        <v>40272</v>
      </c>
      <c r="D151" t="s">
        <v>258</v>
      </c>
      <c r="E151" t="s">
        <v>40</v>
      </c>
      <c r="F151">
        <v>0</v>
      </c>
      <c r="G151" t="s">
        <v>41</v>
      </c>
      <c r="H151" t="s">
        <v>21</v>
      </c>
      <c r="I151" t="s">
        <v>41</v>
      </c>
      <c r="J151" t="s">
        <v>35</v>
      </c>
      <c r="K151" t="s">
        <v>41</v>
      </c>
      <c r="L151" t="s">
        <v>24</v>
      </c>
      <c r="M151">
        <v>37</v>
      </c>
      <c r="N151" t="s">
        <v>25</v>
      </c>
      <c r="O151" t="s">
        <v>26</v>
      </c>
      <c r="P151" t="s">
        <v>57</v>
      </c>
      <c r="Q151" t="s">
        <v>155</v>
      </c>
    </row>
    <row r="152" spans="1:17" x14ac:dyDescent="0.3">
      <c r="A152">
        <v>419141</v>
      </c>
      <c r="B152" t="s">
        <v>259</v>
      </c>
      <c r="C152" s="1">
        <v>40302</v>
      </c>
      <c r="D152" t="s">
        <v>201</v>
      </c>
      <c r="E152" t="s">
        <v>260</v>
      </c>
      <c r="F152">
        <v>0</v>
      </c>
      <c r="G152" t="s">
        <v>56</v>
      </c>
      <c r="H152" t="s">
        <v>42</v>
      </c>
      <c r="I152" t="s">
        <v>42</v>
      </c>
      <c r="J152" t="s">
        <v>35</v>
      </c>
      <c r="K152" t="s">
        <v>42</v>
      </c>
      <c r="L152" t="s">
        <v>24</v>
      </c>
      <c r="M152">
        <v>2</v>
      </c>
      <c r="N152" t="s">
        <v>25</v>
      </c>
      <c r="O152" t="s">
        <v>26</v>
      </c>
      <c r="P152" t="s">
        <v>165</v>
      </c>
      <c r="Q152" t="s">
        <v>149</v>
      </c>
    </row>
    <row r="153" spans="1:17" x14ac:dyDescent="0.3">
      <c r="A153">
        <v>419142</v>
      </c>
      <c r="B153" t="s">
        <v>70</v>
      </c>
      <c r="C153" s="1">
        <v>40333</v>
      </c>
      <c r="D153" t="s">
        <v>133</v>
      </c>
      <c r="E153" t="s">
        <v>73</v>
      </c>
      <c r="F153">
        <v>0</v>
      </c>
      <c r="G153" t="s">
        <v>34</v>
      </c>
      <c r="H153" t="s">
        <v>50</v>
      </c>
      <c r="I153" t="s">
        <v>34</v>
      </c>
      <c r="J153" t="s">
        <v>35</v>
      </c>
      <c r="K153" t="s">
        <v>34</v>
      </c>
      <c r="L153" t="s">
        <v>24</v>
      </c>
      <c r="M153">
        <v>24</v>
      </c>
      <c r="N153" t="s">
        <v>25</v>
      </c>
      <c r="O153" t="s">
        <v>26</v>
      </c>
      <c r="P153" t="s">
        <v>168</v>
      </c>
      <c r="Q153" t="s">
        <v>52</v>
      </c>
    </row>
    <row r="154" spans="1:17" x14ac:dyDescent="0.3">
      <c r="A154">
        <v>419143</v>
      </c>
      <c r="B154" t="s">
        <v>59</v>
      </c>
      <c r="C154" s="1">
        <v>40363</v>
      </c>
      <c r="D154" t="s">
        <v>261</v>
      </c>
      <c r="E154" t="s">
        <v>62</v>
      </c>
      <c r="F154">
        <v>0</v>
      </c>
      <c r="G154" t="s">
        <v>42</v>
      </c>
      <c r="H154" t="s">
        <v>33</v>
      </c>
      <c r="I154" t="s">
        <v>33</v>
      </c>
      <c r="J154" t="s">
        <v>35</v>
      </c>
      <c r="K154" t="s">
        <v>42</v>
      </c>
      <c r="L154" t="s">
        <v>43</v>
      </c>
      <c r="M154">
        <v>9</v>
      </c>
      <c r="N154" t="s">
        <v>25</v>
      </c>
      <c r="O154" t="s">
        <v>26</v>
      </c>
      <c r="P154" t="s">
        <v>183</v>
      </c>
      <c r="Q154" t="s">
        <v>181</v>
      </c>
    </row>
    <row r="155" spans="1:17" x14ac:dyDescent="0.3">
      <c r="A155">
        <v>419144</v>
      </c>
      <c r="B155" t="s">
        <v>53</v>
      </c>
      <c r="C155" s="1">
        <v>40363</v>
      </c>
      <c r="D155" t="s">
        <v>102</v>
      </c>
      <c r="E155" t="s">
        <v>55</v>
      </c>
      <c r="F155">
        <v>0</v>
      </c>
      <c r="G155" t="s">
        <v>22</v>
      </c>
      <c r="H155" t="s">
        <v>41</v>
      </c>
      <c r="I155" t="s">
        <v>22</v>
      </c>
      <c r="J155" t="s">
        <v>35</v>
      </c>
      <c r="K155" t="s">
        <v>22</v>
      </c>
      <c r="L155" t="s">
        <v>24</v>
      </c>
      <c r="M155">
        <v>14</v>
      </c>
      <c r="N155" t="s">
        <v>25</v>
      </c>
      <c r="O155" t="s">
        <v>26</v>
      </c>
      <c r="P155" t="s">
        <v>106</v>
      </c>
      <c r="Q155" t="s">
        <v>28</v>
      </c>
    </row>
    <row r="156" spans="1:17" x14ac:dyDescent="0.3">
      <c r="A156">
        <v>419145</v>
      </c>
      <c r="B156" t="s">
        <v>17</v>
      </c>
      <c r="C156" s="1">
        <v>40394</v>
      </c>
      <c r="D156" t="s">
        <v>262</v>
      </c>
      <c r="E156" t="s">
        <v>20</v>
      </c>
      <c r="F156">
        <v>0</v>
      </c>
      <c r="G156" t="s">
        <v>21</v>
      </c>
      <c r="H156" t="s">
        <v>56</v>
      </c>
      <c r="I156" t="s">
        <v>56</v>
      </c>
      <c r="J156" t="s">
        <v>23</v>
      </c>
      <c r="K156" t="s">
        <v>56</v>
      </c>
      <c r="L156" t="s">
        <v>43</v>
      </c>
      <c r="M156">
        <v>7</v>
      </c>
      <c r="N156" t="s">
        <v>25</v>
      </c>
      <c r="O156" t="s">
        <v>26</v>
      </c>
      <c r="P156" t="s">
        <v>168</v>
      </c>
      <c r="Q156" t="s">
        <v>52</v>
      </c>
    </row>
    <row r="157" spans="1:17" x14ac:dyDescent="0.3">
      <c r="A157">
        <v>419146</v>
      </c>
      <c r="B157" t="s">
        <v>29</v>
      </c>
      <c r="C157" s="1">
        <v>40425</v>
      </c>
      <c r="D157" t="s">
        <v>77</v>
      </c>
      <c r="E157" t="s">
        <v>32</v>
      </c>
      <c r="F157">
        <v>0</v>
      </c>
      <c r="G157" t="s">
        <v>33</v>
      </c>
      <c r="H157" t="s">
        <v>50</v>
      </c>
      <c r="I157" t="s">
        <v>50</v>
      </c>
      <c r="J157" t="s">
        <v>35</v>
      </c>
      <c r="K157" t="s">
        <v>33</v>
      </c>
      <c r="L157" t="s">
        <v>43</v>
      </c>
      <c r="M157">
        <v>6</v>
      </c>
      <c r="N157" t="s">
        <v>25</v>
      </c>
      <c r="O157" t="s">
        <v>26</v>
      </c>
      <c r="P157" t="s">
        <v>155</v>
      </c>
      <c r="Q157" t="s">
        <v>69</v>
      </c>
    </row>
    <row r="158" spans="1:17" x14ac:dyDescent="0.3">
      <c r="A158">
        <v>419147</v>
      </c>
      <c r="B158" t="s">
        <v>259</v>
      </c>
      <c r="C158" s="1">
        <v>40455</v>
      </c>
      <c r="D158" t="s">
        <v>263</v>
      </c>
      <c r="E158" t="s">
        <v>260</v>
      </c>
      <c r="F158">
        <v>0</v>
      </c>
      <c r="G158" t="s">
        <v>56</v>
      </c>
      <c r="H158" t="s">
        <v>34</v>
      </c>
      <c r="I158" t="s">
        <v>34</v>
      </c>
      <c r="J158" t="s">
        <v>35</v>
      </c>
      <c r="K158" t="s">
        <v>56</v>
      </c>
      <c r="L158" t="s">
        <v>43</v>
      </c>
      <c r="M158">
        <v>6</v>
      </c>
      <c r="N158" t="s">
        <v>25</v>
      </c>
      <c r="O158" t="s">
        <v>26</v>
      </c>
      <c r="P158" t="s">
        <v>165</v>
      </c>
      <c r="Q158" t="s">
        <v>149</v>
      </c>
    </row>
    <row r="159" spans="1:17" x14ac:dyDescent="0.3">
      <c r="A159">
        <v>419148</v>
      </c>
      <c r="B159" t="s">
        <v>17</v>
      </c>
      <c r="C159" s="1">
        <v>40455</v>
      </c>
      <c r="D159" t="s">
        <v>96</v>
      </c>
      <c r="E159" t="s">
        <v>20</v>
      </c>
      <c r="F159">
        <v>0</v>
      </c>
      <c r="G159" t="s">
        <v>21</v>
      </c>
      <c r="H159" t="s">
        <v>22</v>
      </c>
      <c r="I159" t="s">
        <v>21</v>
      </c>
      <c r="J159" t="s">
        <v>23</v>
      </c>
      <c r="K159" t="s">
        <v>21</v>
      </c>
      <c r="L159" t="s">
        <v>43</v>
      </c>
      <c r="M159">
        <v>7</v>
      </c>
      <c r="N159" t="s">
        <v>25</v>
      </c>
      <c r="O159" t="s">
        <v>26</v>
      </c>
      <c r="P159" t="s">
        <v>58</v>
      </c>
      <c r="Q159" t="s">
        <v>52</v>
      </c>
    </row>
    <row r="160" spans="1:17" x14ac:dyDescent="0.3">
      <c r="A160">
        <v>419149</v>
      </c>
      <c r="B160" t="s">
        <v>38</v>
      </c>
      <c r="C160" s="1">
        <v>40486</v>
      </c>
      <c r="D160" t="s">
        <v>264</v>
      </c>
      <c r="E160" t="s">
        <v>40</v>
      </c>
      <c r="F160">
        <v>0</v>
      </c>
      <c r="G160" t="s">
        <v>41</v>
      </c>
      <c r="H160" t="s">
        <v>33</v>
      </c>
      <c r="I160" t="s">
        <v>41</v>
      </c>
      <c r="J160" t="s">
        <v>35</v>
      </c>
      <c r="K160" t="s">
        <v>33</v>
      </c>
      <c r="L160" t="s">
        <v>43</v>
      </c>
      <c r="M160">
        <v>7</v>
      </c>
      <c r="N160" t="s">
        <v>25</v>
      </c>
      <c r="O160" t="s">
        <v>26</v>
      </c>
      <c r="P160" t="s">
        <v>57</v>
      </c>
      <c r="Q160" t="s">
        <v>69</v>
      </c>
    </row>
    <row r="161" spans="1:17" x14ac:dyDescent="0.3">
      <c r="A161">
        <v>419150</v>
      </c>
      <c r="B161" t="s">
        <v>59</v>
      </c>
      <c r="C161" s="1">
        <v>40486</v>
      </c>
      <c r="D161" t="s">
        <v>138</v>
      </c>
      <c r="E161" t="s">
        <v>62</v>
      </c>
      <c r="F161">
        <v>0</v>
      </c>
      <c r="G161" t="s">
        <v>42</v>
      </c>
      <c r="H161" t="s">
        <v>50</v>
      </c>
      <c r="I161" t="s">
        <v>42</v>
      </c>
      <c r="J161" t="s">
        <v>23</v>
      </c>
      <c r="K161" t="s">
        <v>50</v>
      </c>
      <c r="L161" t="s">
        <v>24</v>
      </c>
      <c r="M161">
        <v>37</v>
      </c>
      <c r="N161" t="s">
        <v>25</v>
      </c>
      <c r="O161" t="s">
        <v>26</v>
      </c>
      <c r="P161" t="s">
        <v>88</v>
      </c>
      <c r="Q161" t="s">
        <v>181</v>
      </c>
    </row>
    <row r="162" spans="1:17" x14ac:dyDescent="0.3">
      <c r="A162">
        <v>419151</v>
      </c>
      <c r="B162" t="s">
        <v>259</v>
      </c>
      <c r="C162" s="1">
        <v>40516</v>
      </c>
      <c r="D162" t="s">
        <v>265</v>
      </c>
      <c r="E162" t="s">
        <v>260</v>
      </c>
      <c r="F162">
        <v>0</v>
      </c>
      <c r="G162" t="s">
        <v>56</v>
      </c>
      <c r="H162" t="s">
        <v>21</v>
      </c>
      <c r="I162" t="s">
        <v>21</v>
      </c>
      <c r="J162" t="s">
        <v>23</v>
      </c>
      <c r="K162" t="s">
        <v>56</v>
      </c>
      <c r="L162" t="s">
        <v>24</v>
      </c>
      <c r="M162">
        <v>13</v>
      </c>
      <c r="N162" t="s">
        <v>25</v>
      </c>
      <c r="O162" t="s">
        <v>26</v>
      </c>
      <c r="P162" t="s">
        <v>28</v>
      </c>
      <c r="Q162" t="s">
        <v>63</v>
      </c>
    </row>
    <row r="163" spans="1:17" x14ac:dyDescent="0.3">
      <c r="A163">
        <v>419152</v>
      </c>
      <c r="B163" t="s">
        <v>46</v>
      </c>
      <c r="C163" t="s">
        <v>266</v>
      </c>
      <c r="D163" t="s">
        <v>267</v>
      </c>
      <c r="E163" t="s">
        <v>220</v>
      </c>
      <c r="F163">
        <v>0</v>
      </c>
      <c r="G163" t="s">
        <v>50</v>
      </c>
      <c r="H163" t="s">
        <v>41</v>
      </c>
      <c r="I163" t="s">
        <v>50</v>
      </c>
      <c r="J163" t="s">
        <v>35</v>
      </c>
      <c r="K163" t="s">
        <v>50</v>
      </c>
      <c r="L163" t="s">
        <v>24</v>
      </c>
      <c r="M163">
        <v>39</v>
      </c>
      <c r="N163" t="s">
        <v>25</v>
      </c>
      <c r="O163" t="s">
        <v>26</v>
      </c>
      <c r="P163" t="s">
        <v>168</v>
      </c>
      <c r="Q163" t="s">
        <v>52</v>
      </c>
    </row>
    <row r="164" spans="1:17" x14ac:dyDescent="0.3">
      <c r="A164">
        <v>419153</v>
      </c>
      <c r="B164" t="s">
        <v>70</v>
      </c>
      <c r="C164" t="s">
        <v>266</v>
      </c>
      <c r="D164" t="s">
        <v>268</v>
      </c>
      <c r="E164" t="s">
        <v>73</v>
      </c>
      <c r="F164">
        <v>0</v>
      </c>
      <c r="G164" t="s">
        <v>34</v>
      </c>
      <c r="H164" t="s">
        <v>22</v>
      </c>
      <c r="I164" t="s">
        <v>22</v>
      </c>
      <c r="J164" t="s">
        <v>35</v>
      </c>
      <c r="K164" t="s">
        <v>34</v>
      </c>
      <c r="L164" t="s">
        <v>43</v>
      </c>
      <c r="M164">
        <v>9</v>
      </c>
      <c r="N164" t="s">
        <v>25</v>
      </c>
      <c r="O164" t="s">
        <v>26</v>
      </c>
      <c r="P164" t="s">
        <v>188</v>
      </c>
      <c r="Q164" t="s">
        <v>149</v>
      </c>
    </row>
    <row r="165" spans="1:17" x14ac:dyDescent="0.3">
      <c r="A165">
        <v>419154</v>
      </c>
      <c r="B165" t="s">
        <v>59</v>
      </c>
      <c r="C165" t="s">
        <v>269</v>
      </c>
      <c r="D165" t="s">
        <v>256</v>
      </c>
      <c r="E165" t="s">
        <v>62</v>
      </c>
      <c r="F165">
        <v>0</v>
      </c>
      <c r="G165" t="s">
        <v>42</v>
      </c>
      <c r="H165" t="s">
        <v>21</v>
      </c>
      <c r="I165" t="s">
        <v>42</v>
      </c>
      <c r="J165" t="s">
        <v>35</v>
      </c>
      <c r="K165" t="s">
        <v>21</v>
      </c>
      <c r="L165" t="s">
        <v>43</v>
      </c>
      <c r="M165">
        <v>5</v>
      </c>
      <c r="N165" t="s">
        <v>25</v>
      </c>
      <c r="O165" t="s">
        <v>26</v>
      </c>
      <c r="P165" t="s">
        <v>88</v>
      </c>
      <c r="Q165" t="s">
        <v>183</v>
      </c>
    </row>
    <row r="166" spans="1:17" x14ac:dyDescent="0.3">
      <c r="A166">
        <v>419155</v>
      </c>
      <c r="B166" t="s">
        <v>70</v>
      </c>
      <c r="C166" t="s">
        <v>270</v>
      </c>
      <c r="D166" t="s">
        <v>189</v>
      </c>
      <c r="E166" t="s">
        <v>73</v>
      </c>
      <c r="F166">
        <v>0</v>
      </c>
      <c r="G166" t="s">
        <v>34</v>
      </c>
      <c r="H166" t="s">
        <v>41</v>
      </c>
      <c r="I166" t="s">
        <v>34</v>
      </c>
      <c r="J166" t="s">
        <v>35</v>
      </c>
      <c r="K166" t="s">
        <v>41</v>
      </c>
      <c r="L166" t="s">
        <v>43</v>
      </c>
      <c r="M166">
        <v>6</v>
      </c>
      <c r="N166" t="s">
        <v>25</v>
      </c>
      <c r="O166" t="s">
        <v>26</v>
      </c>
      <c r="P166" t="s">
        <v>165</v>
      </c>
      <c r="Q166" t="s">
        <v>188</v>
      </c>
    </row>
    <row r="167" spans="1:17" x14ac:dyDescent="0.3">
      <c r="A167">
        <v>419156</v>
      </c>
      <c r="B167" t="s">
        <v>271</v>
      </c>
      <c r="C167" t="s">
        <v>272</v>
      </c>
      <c r="D167" t="s">
        <v>190</v>
      </c>
      <c r="E167" t="s">
        <v>273</v>
      </c>
      <c r="F167">
        <v>0</v>
      </c>
      <c r="G167" t="s">
        <v>33</v>
      </c>
      <c r="H167" t="s">
        <v>56</v>
      </c>
      <c r="I167" t="s">
        <v>56</v>
      </c>
      <c r="J167" t="s">
        <v>23</v>
      </c>
      <c r="K167" t="s">
        <v>56</v>
      </c>
      <c r="L167" t="s">
        <v>43</v>
      </c>
      <c r="M167">
        <v>5</v>
      </c>
      <c r="N167" t="s">
        <v>25</v>
      </c>
      <c r="O167" t="s">
        <v>26</v>
      </c>
      <c r="P167" t="s">
        <v>155</v>
      </c>
      <c r="Q167" t="s">
        <v>69</v>
      </c>
    </row>
    <row r="168" spans="1:17" x14ac:dyDescent="0.3">
      <c r="A168">
        <v>419157</v>
      </c>
      <c r="B168" t="s">
        <v>17</v>
      </c>
      <c r="C168" t="s">
        <v>274</v>
      </c>
      <c r="D168" t="s">
        <v>275</v>
      </c>
      <c r="E168" t="s">
        <v>20</v>
      </c>
      <c r="F168">
        <v>0</v>
      </c>
      <c r="G168" t="s">
        <v>21</v>
      </c>
      <c r="H168" t="s">
        <v>50</v>
      </c>
      <c r="I168" t="s">
        <v>21</v>
      </c>
      <c r="J168" t="s">
        <v>23</v>
      </c>
      <c r="K168" t="s">
        <v>50</v>
      </c>
      <c r="L168" t="s">
        <v>24</v>
      </c>
      <c r="M168">
        <v>57</v>
      </c>
      <c r="N168" t="s">
        <v>25</v>
      </c>
      <c r="O168" t="s">
        <v>26</v>
      </c>
      <c r="P168" t="s">
        <v>165</v>
      </c>
      <c r="Q168" t="s">
        <v>149</v>
      </c>
    </row>
    <row r="169" spans="1:17" x14ac:dyDescent="0.3">
      <c r="A169">
        <v>419158</v>
      </c>
      <c r="B169" t="s">
        <v>53</v>
      </c>
      <c r="C169" t="s">
        <v>274</v>
      </c>
      <c r="D169" t="s">
        <v>276</v>
      </c>
      <c r="E169" t="s">
        <v>55</v>
      </c>
      <c r="F169">
        <v>0</v>
      </c>
      <c r="G169" t="s">
        <v>22</v>
      </c>
      <c r="H169" t="s">
        <v>42</v>
      </c>
      <c r="I169" t="s">
        <v>42</v>
      </c>
      <c r="J169" t="s">
        <v>35</v>
      </c>
      <c r="K169" t="s">
        <v>22</v>
      </c>
      <c r="L169" t="s">
        <v>43</v>
      </c>
      <c r="M169">
        <v>8</v>
      </c>
      <c r="N169" t="s">
        <v>25</v>
      </c>
      <c r="O169" t="s">
        <v>26</v>
      </c>
      <c r="P169" t="s">
        <v>106</v>
      </c>
      <c r="Q169" t="s">
        <v>63</v>
      </c>
    </row>
    <row r="170" spans="1:17" x14ac:dyDescent="0.3">
      <c r="A170">
        <v>419159</v>
      </c>
      <c r="B170" t="s">
        <v>271</v>
      </c>
      <c r="C170" t="s">
        <v>277</v>
      </c>
      <c r="D170" t="s">
        <v>87</v>
      </c>
      <c r="E170" t="s">
        <v>273</v>
      </c>
      <c r="F170">
        <v>0</v>
      </c>
      <c r="G170" t="s">
        <v>33</v>
      </c>
      <c r="H170" t="s">
        <v>34</v>
      </c>
      <c r="I170" t="s">
        <v>34</v>
      </c>
      <c r="J170" t="s">
        <v>23</v>
      </c>
      <c r="K170" t="s">
        <v>34</v>
      </c>
      <c r="L170" t="s">
        <v>43</v>
      </c>
      <c r="M170">
        <v>6</v>
      </c>
      <c r="N170" t="s">
        <v>25</v>
      </c>
      <c r="O170" t="s">
        <v>26</v>
      </c>
      <c r="P170" t="s">
        <v>57</v>
      </c>
      <c r="Q170" t="s">
        <v>69</v>
      </c>
    </row>
    <row r="171" spans="1:17" x14ac:dyDescent="0.3">
      <c r="A171">
        <v>419160</v>
      </c>
      <c r="B171" t="s">
        <v>38</v>
      </c>
      <c r="C171" t="s">
        <v>277</v>
      </c>
      <c r="D171" t="s">
        <v>233</v>
      </c>
      <c r="E171" t="s">
        <v>40</v>
      </c>
      <c r="F171">
        <v>0</v>
      </c>
      <c r="G171" t="s">
        <v>41</v>
      </c>
      <c r="H171" t="s">
        <v>56</v>
      </c>
      <c r="I171" t="s">
        <v>56</v>
      </c>
      <c r="J171" t="s">
        <v>35</v>
      </c>
      <c r="K171" t="s">
        <v>56</v>
      </c>
      <c r="L171" t="s">
        <v>24</v>
      </c>
      <c r="M171">
        <v>11</v>
      </c>
      <c r="N171" t="s">
        <v>25</v>
      </c>
      <c r="O171" t="s">
        <v>26</v>
      </c>
      <c r="P171" t="s">
        <v>88</v>
      </c>
      <c r="Q171" t="s">
        <v>181</v>
      </c>
    </row>
    <row r="172" spans="1:17" x14ac:dyDescent="0.3">
      <c r="A172">
        <v>419161</v>
      </c>
      <c r="B172" t="s">
        <v>53</v>
      </c>
      <c r="C172" t="s">
        <v>278</v>
      </c>
      <c r="D172" t="s">
        <v>279</v>
      </c>
      <c r="E172" t="s">
        <v>55</v>
      </c>
      <c r="F172">
        <v>0</v>
      </c>
      <c r="G172" t="s">
        <v>22</v>
      </c>
      <c r="H172" t="s">
        <v>50</v>
      </c>
      <c r="I172" t="s">
        <v>50</v>
      </c>
      <c r="J172" t="s">
        <v>35</v>
      </c>
      <c r="K172" t="s">
        <v>22</v>
      </c>
      <c r="L172" t="s">
        <v>43</v>
      </c>
      <c r="M172">
        <v>9</v>
      </c>
      <c r="N172" t="s">
        <v>25</v>
      </c>
      <c r="O172" t="s">
        <v>26</v>
      </c>
      <c r="P172" t="s">
        <v>106</v>
      </c>
      <c r="Q172" t="s">
        <v>28</v>
      </c>
    </row>
    <row r="173" spans="1:17" x14ac:dyDescent="0.3">
      <c r="A173">
        <v>419162</v>
      </c>
      <c r="B173" t="s">
        <v>46</v>
      </c>
      <c r="C173" t="s">
        <v>280</v>
      </c>
      <c r="D173" t="s">
        <v>267</v>
      </c>
      <c r="E173" t="s">
        <v>83</v>
      </c>
      <c r="F173">
        <v>0</v>
      </c>
      <c r="G173" t="s">
        <v>21</v>
      </c>
      <c r="H173" t="s">
        <v>50</v>
      </c>
      <c r="I173" t="s">
        <v>50</v>
      </c>
      <c r="J173" t="s">
        <v>35</v>
      </c>
      <c r="K173" t="s">
        <v>50</v>
      </c>
      <c r="L173" t="s">
        <v>24</v>
      </c>
      <c r="M173">
        <v>35</v>
      </c>
      <c r="N173" t="s">
        <v>25</v>
      </c>
      <c r="O173" t="s">
        <v>26</v>
      </c>
      <c r="P173" t="s">
        <v>88</v>
      </c>
      <c r="Q173" t="s">
        <v>63</v>
      </c>
    </row>
    <row r="174" spans="1:17" x14ac:dyDescent="0.3">
      <c r="A174">
        <v>419163</v>
      </c>
      <c r="B174" t="s">
        <v>46</v>
      </c>
      <c r="C174" t="s">
        <v>281</v>
      </c>
      <c r="D174" t="s">
        <v>282</v>
      </c>
      <c r="E174" t="s">
        <v>83</v>
      </c>
      <c r="F174">
        <v>0</v>
      </c>
      <c r="G174" t="s">
        <v>34</v>
      </c>
      <c r="H174" t="s">
        <v>56</v>
      </c>
      <c r="I174" t="s">
        <v>34</v>
      </c>
      <c r="J174" t="s">
        <v>35</v>
      </c>
      <c r="K174" t="s">
        <v>34</v>
      </c>
      <c r="L174" t="s">
        <v>24</v>
      </c>
      <c r="M174">
        <v>38</v>
      </c>
      <c r="N174" t="s">
        <v>25</v>
      </c>
      <c r="O174" t="s">
        <v>26</v>
      </c>
      <c r="P174" t="s">
        <v>88</v>
      </c>
      <c r="Q174" t="s">
        <v>63</v>
      </c>
    </row>
    <row r="175" spans="1:17" x14ac:dyDescent="0.3">
      <c r="A175">
        <v>419164</v>
      </c>
      <c r="B175" t="s">
        <v>46</v>
      </c>
      <c r="C175" t="s">
        <v>283</v>
      </c>
      <c r="D175" t="s">
        <v>124</v>
      </c>
      <c r="E175" t="s">
        <v>83</v>
      </c>
      <c r="F175">
        <v>0</v>
      </c>
      <c r="G175" t="s">
        <v>21</v>
      </c>
      <c r="H175" t="s">
        <v>56</v>
      </c>
      <c r="I175" t="s">
        <v>56</v>
      </c>
      <c r="J175" t="s">
        <v>35</v>
      </c>
      <c r="K175" t="s">
        <v>21</v>
      </c>
      <c r="L175" t="s">
        <v>43</v>
      </c>
      <c r="M175">
        <v>9</v>
      </c>
      <c r="N175" t="s">
        <v>25</v>
      </c>
      <c r="O175" t="s">
        <v>26</v>
      </c>
      <c r="P175" t="s">
        <v>28</v>
      </c>
      <c r="Q175" t="s">
        <v>149</v>
      </c>
    </row>
    <row r="176" spans="1:17" x14ac:dyDescent="0.3">
      <c r="A176">
        <v>419165</v>
      </c>
      <c r="B176" t="s">
        <v>46</v>
      </c>
      <c r="C176" t="s">
        <v>284</v>
      </c>
      <c r="D176" t="s">
        <v>133</v>
      </c>
      <c r="E176" t="s">
        <v>83</v>
      </c>
      <c r="F176">
        <v>0</v>
      </c>
      <c r="G176" t="s">
        <v>34</v>
      </c>
      <c r="H176" t="s">
        <v>50</v>
      </c>
      <c r="I176" t="s">
        <v>34</v>
      </c>
      <c r="J176" t="s">
        <v>35</v>
      </c>
      <c r="K176" t="s">
        <v>34</v>
      </c>
      <c r="L176" t="s">
        <v>24</v>
      </c>
      <c r="M176">
        <v>22</v>
      </c>
      <c r="N176" t="s">
        <v>25</v>
      </c>
      <c r="O176" t="s">
        <v>26</v>
      </c>
      <c r="P176" t="s">
        <v>28</v>
      </c>
      <c r="Q176" t="s">
        <v>149</v>
      </c>
    </row>
    <row r="177" spans="1:17" x14ac:dyDescent="0.3">
      <c r="A177">
        <v>501198</v>
      </c>
      <c r="B177" t="s">
        <v>70</v>
      </c>
      <c r="C177" s="1">
        <v>40759</v>
      </c>
      <c r="D177" t="s">
        <v>285</v>
      </c>
      <c r="E177" t="s">
        <v>73</v>
      </c>
      <c r="F177">
        <v>0</v>
      </c>
      <c r="G177" t="s">
        <v>34</v>
      </c>
      <c r="H177" t="s">
        <v>22</v>
      </c>
      <c r="I177" t="s">
        <v>34</v>
      </c>
      <c r="J177" t="s">
        <v>35</v>
      </c>
      <c r="K177" t="s">
        <v>34</v>
      </c>
      <c r="L177" t="s">
        <v>24</v>
      </c>
      <c r="M177">
        <v>2</v>
      </c>
      <c r="N177" t="s">
        <v>25</v>
      </c>
      <c r="O177" t="s">
        <v>26</v>
      </c>
      <c r="P177" t="s">
        <v>88</v>
      </c>
      <c r="Q177" t="s">
        <v>286</v>
      </c>
    </row>
    <row r="178" spans="1:17" x14ac:dyDescent="0.3">
      <c r="A178">
        <v>501199</v>
      </c>
      <c r="B178" t="s">
        <v>64</v>
      </c>
      <c r="C178" s="1">
        <v>40790</v>
      </c>
      <c r="D178" t="s">
        <v>287</v>
      </c>
      <c r="E178" t="s">
        <v>67</v>
      </c>
      <c r="F178">
        <v>0</v>
      </c>
      <c r="G178" t="s">
        <v>56</v>
      </c>
      <c r="H178" t="s">
        <v>42</v>
      </c>
      <c r="I178" t="s">
        <v>42</v>
      </c>
      <c r="J178" t="s">
        <v>23</v>
      </c>
      <c r="K178" t="s">
        <v>42</v>
      </c>
      <c r="L178" t="s">
        <v>43</v>
      </c>
      <c r="M178">
        <v>8</v>
      </c>
      <c r="N178" t="s">
        <v>25</v>
      </c>
      <c r="O178" t="s">
        <v>26</v>
      </c>
      <c r="P178" t="s">
        <v>28</v>
      </c>
      <c r="Q178" t="s">
        <v>181</v>
      </c>
    </row>
    <row r="179" spans="1:17" x14ac:dyDescent="0.3">
      <c r="A179">
        <v>501200</v>
      </c>
      <c r="B179" t="s">
        <v>288</v>
      </c>
      <c r="C179" s="1">
        <v>40790</v>
      </c>
      <c r="D179" t="s">
        <v>157</v>
      </c>
      <c r="E179" t="s">
        <v>289</v>
      </c>
      <c r="F179">
        <v>0</v>
      </c>
      <c r="G179" t="s">
        <v>290</v>
      </c>
      <c r="H179" t="s">
        <v>21</v>
      </c>
      <c r="I179" t="s">
        <v>290</v>
      </c>
      <c r="J179" t="s">
        <v>35</v>
      </c>
      <c r="K179" t="s">
        <v>21</v>
      </c>
      <c r="L179" t="s">
        <v>43</v>
      </c>
      <c r="M179">
        <v>6</v>
      </c>
      <c r="N179" t="s">
        <v>25</v>
      </c>
      <c r="O179" t="s">
        <v>26</v>
      </c>
      <c r="P179" t="s">
        <v>165</v>
      </c>
      <c r="Q179" t="s">
        <v>58</v>
      </c>
    </row>
    <row r="180" spans="1:17" x14ac:dyDescent="0.3">
      <c r="A180">
        <v>501201</v>
      </c>
      <c r="B180" t="s">
        <v>38</v>
      </c>
      <c r="C180" s="1">
        <v>40820</v>
      </c>
      <c r="D180" t="s">
        <v>253</v>
      </c>
      <c r="E180" t="s">
        <v>40</v>
      </c>
      <c r="F180">
        <v>0</v>
      </c>
      <c r="G180" t="s">
        <v>41</v>
      </c>
      <c r="H180" t="s">
        <v>50</v>
      </c>
      <c r="I180" t="s">
        <v>41</v>
      </c>
      <c r="J180" t="s">
        <v>35</v>
      </c>
      <c r="K180" t="s">
        <v>50</v>
      </c>
      <c r="L180" t="s">
        <v>43</v>
      </c>
      <c r="M180">
        <v>8</v>
      </c>
      <c r="N180" t="s">
        <v>25</v>
      </c>
      <c r="O180" t="s">
        <v>26</v>
      </c>
      <c r="P180" t="s">
        <v>69</v>
      </c>
      <c r="Q180" t="s">
        <v>63</v>
      </c>
    </row>
    <row r="181" spans="1:17" x14ac:dyDescent="0.3">
      <c r="A181">
        <v>501202</v>
      </c>
      <c r="B181" t="s">
        <v>46</v>
      </c>
      <c r="C181" s="1">
        <v>40820</v>
      </c>
      <c r="D181" t="s">
        <v>291</v>
      </c>
      <c r="E181" t="s">
        <v>83</v>
      </c>
      <c r="F181">
        <v>0</v>
      </c>
      <c r="G181" t="s">
        <v>292</v>
      </c>
      <c r="H181" t="s">
        <v>33</v>
      </c>
      <c r="I181" t="s">
        <v>33</v>
      </c>
      <c r="J181" t="s">
        <v>35</v>
      </c>
      <c r="K181" t="s">
        <v>292</v>
      </c>
      <c r="L181" t="s">
        <v>43</v>
      </c>
      <c r="M181">
        <v>7</v>
      </c>
      <c r="N181" t="s">
        <v>25</v>
      </c>
      <c r="O181" t="s">
        <v>26</v>
      </c>
      <c r="P181" t="s">
        <v>88</v>
      </c>
      <c r="Q181" t="s">
        <v>286</v>
      </c>
    </row>
    <row r="182" spans="1:17" x14ac:dyDescent="0.3">
      <c r="A182">
        <v>501203</v>
      </c>
      <c r="B182" t="s">
        <v>53</v>
      </c>
      <c r="C182" s="1">
        <v>40851</v>
      </c>
      <c r="D182" t="s">
        <v>187</v>
      </c>
      <c r="E182" t="s">
        <v>55</v>
      </c>
      <c r="F182">
        <v>0</v>
      </c>
      <c r="G182" t="s">
        <v>22</v>
      </c>
      <c r="H182" t="s">
        <v>56</v>
      </c>
      <c r="I182" t="s">
        <v>22</v>
      </c>
      <c r="J182" t="s">
        <v>35</v>
      </c>
      <c r="K182" t="s">
        <v>22</v>
      </c>
      <c r="L182" t="s">
        <v>24</v>
      </c>
      <c r="M182">
        <v>9</v>
      </c>
      <c r="N182" t="s">
        <v>25</v>
      </c>
      <c r="O182" t="s">
        <v>26</v>
      </c>
      <c r="P182" t="s">
        <v>28</v>
      </c>
      <c r="Q182" t="s">
        <v>181</v>
      </c>
    </row>
    <row r="183" spans="1:17" x14ac:dyDescent="0.3">
      <c r="A183">
        <v>501204</v>
      </c>
      <c r="B183" t="s">
        <v>59</v>
      </c>
      <c r="C183" s="1">
        <v>40881</v>
      </c>
      <c r="D183" t="s">
        <v>201</v>
      </c>
      <c r="E183" t="s">
        <v>62</v>
      </c>
      <c r="F183">
        <v>0</v>
      </c>
      <c r="G183" t="s">
        <v>42</v>
      </c>
      <c r="H183" t="s">
        <v>41</v>
      </c>
      <c r="I183" t="s">
        <v>41</v>
      </c>
      <c r="J183" t="s">
        <v>35</v>
      </c>
      <c r="K183" t="s">
        <v>42</v>
      </c>
      <c r="L183" t="s">
        <v>43</v>
      </c>
      <c r="M183">
        <v>6</v>
      </c>
      <c r="N183" t="s">
        <v>25</v>
      </c>
      <c r="O183" t="s">
        <v>26</v>
      </c>
      <c r="P183" t="s">
        <v>44</v>
      </c>
      <c r="Q183" t="s">
        <v>63</v>
      </c>
    </row>
    <row r="184" spans="1:17" x14ac:dyDescent="0.3">
      <c r="A184">
        <v>501205</v>
      </c>
      <c r="B184" t="s">
        <v>17</v>
      </c>
      <c r="C184" s="1">
        <v>40881</v>
      </c>
      <c r="D184" t="s">
        <v>138</v>
      </c>
      <c r="E184" t="s">
        <v>20</v>
      </c>
      <c r="F184">
        <v>0</v>
      </c>
      <c r="G184" t="s">
        <v>21</v>
      </c>
      <c r="H184" t="s">
        <v>50</v>
      </c>
      <c r="I184" t="s">
        <v>50</v>
      </c>
      <c r="J184" t="s">
        <v>23</v>
      </c>
      <c r="K184" t="s">
        <v>50</v>
      </c>
      <c r="L184" t="s">
        <v>43</v>
      </c>
      <c r="M184">
        <v>9</v>
      </c>
      <c r="N184" t="s">
        <v>25</v>
      </c>
      <c r="O184" t="s">
        <v>26</v>
      </c>
      <c r="P184" t="s">
        <v>165</v>
      </c>
      <c r="Q184" t="s">
        <v>293</v>
      </c>
    </row>
    <row r="185" spans="1:17" x14ac:dyDescent="0.3">
      <c r="A185">
        <v>501206</v>
      </c>
      <c r="B185" t="s">
        <v>29</v>
      </c>
      <c r="C185" t="s">
        <v>294</v>
      </c>
      <c r="D185" t="s">
        <v>295</v>
      </c>
      <c r="E185" t="s">
        <v>32</v>
      </c>
      <c r="F185">
        <v>0</v>
      </c>
      <c r="G185" t="s">
        <v>33</v>
      </c>
      <c r="H185" t="s">
        <v>34</v>
      </c>
      <c r="I185" t="s">
        <v>33</v>
      </c>
      <c r="J185" t="s">
        <v>23</v>
      </c>
      <c r="K185" t="s">
        <v>33</v>
      </c>
      <c r="L185" t="s">
        <v>43</v>
      </c>
      <c r="M185">
        <v>6</v>
      </c>
      <c r="N185" t="s">
        <v>25</v>
      </c>
      <c r="O185" t="s">
        <v>26</v>
      </c>
      <c r="P185" t="s">
        <v>27</v>
      </c>
      <c r="Q185" t="s">
        <v>37</v>
      </c>
    </row>
    <row r="186" spans="1:17" x14ac:dyDescent="0.3">
      <c r="A186">
        <v>501207</v>
      </c>
      <c r="B186" t="s">
        <v>46</v>
      </c>
      <c r="C186" t="s">
        <v>294</v>
      </c>
      <c r="D186" t="s">
        <v>296</v>
      </c>
      <c r="E186" t="s">
        <v>83</v>
      </c>
      <c r="F186">
        <v>0</v>
      </c>
      <c r="G186" t="s">
        <v>292</v>
      </c>
      <c r="H186" t="s">
        <v>290</v>
      </c>
      <c r="I186" t="s">
        <v>290</v>
      </c>
      <c r="J186" t="s">
        <v>35</v>
      </c>
      <c r="K186" t="s">
        <v>292</v>
      </c>
      <c r="L186" t="s">
        <v>43</v>
      </c>
      <c r="M186">
        <v>4</v>
      </c>
      <c r="N186" t="s">
        <v>25</v>
      </c>
      <c r="O186" t="s">
        <v>26</v>
      </c>
      <c r="P186" t="s">
        <v>168</v>
      </c>
      <c r="Q186" t="s">
        <v>286</v>
      </c>
    </row>
    <row r="187" spans="1:17" x14ac:dyDescent="0.3">
      <c r="A187">
        <v>501208</v>
      </c>
      <c r="B187" t="s">
        <v>64</v>
      </c>
      <c r="C187" t="s">
        <v>297</v>
      </c>
      <c r="D187" t="s">
        <v>298</v>
      </c>
      <c r="E187" t="s">
        <v>67</v>
      </c>
      <c r="F187">
        <v>0</v>
      </c>
      <c r="G187" t="s">
        <v>56</v>
      </c>
      <c r="H187" t="s">
        <v>21</v>
      </c>
      <c r="I187" t="s">
        <v>21</v>
      </c>
      <c r="J187" t="s">
        <v>23</v>
      </c>
      <c r="K187" t="s">
        <v>56</v>
      </c>
      <c r="L187" t="s">
        <v>24</v>
      </c>
      <c r="M187">
        <v>33</v>
      </c>
      <c r="N187" t="s">
        <v>25</v>
      </c>
      <c r="O187" t="s">
        <v>26</v>
      </c>
      <c r="P187" t="s">
        <v>28</v>
      </c>
      <c r="Q187" t="s">
        <v>183</v>
      </c>
    </row>
    <row r="188" spans="1:17" x14ac:dyDescent="0.3">
      <c r="A188">
        <v>501209</v>
      </c>
      <c r="B188" t="s">
        <v>59</v>
      </c>
      <c r="C188" t="s">
        <v>299</v>
      </c>
      <c r="D188" t="s">
        <v>189</v>
      </c>
      <c r="E188" t="s">
        <v>62</v>
      </c>
      <c r="F188">
        <v>0</v>
      </c>
      <c r="G188" t="s">
        <v>42</v>
      </c>
      <c r="H188" t="s">
        <v>22</v>
      </c>
      <c r="I188" t="s">
        <v>22</v>
      </c>
      <c r="J188" t="s">
        <v>23</v>
      </c>
      <c r="K188" t="s">
        <v>22</v>
      </c>
      <c r="L188" t="s">
        <v>43</v>
      </c>
      <c r="M188">
        <v>9</v>
      </c>
      <c r="N188" t="s">
        <v>25</v>
      </c>
      <c r="O188" t="s">
        <v>26</v>
      </c>
      <c r="P188" t="s">
        <v>44</v>
      </c>
      <c r="Q188" t="s">
        <v>188</v>
      </c>
    </row>
    <row r="189" spans="1:17" x14ac:dyDescent="0.3">
      <c r="A189">
        <v>501210</v>
      </c>
      <c r="B189" t="s">
        <v>46</v>
      </c>
      <c r="C189" t="s">
        <v>299</v>
      </c>
      <c r="D189" t="s">
        <v>19</v>
      </c>
      <c r="E189" t="s">
        <v>49</v>
      </c>
      <c r="F189">
        <v>0</v>
      </c>
      <c r="G189" t="s">
        <v>50</v>
      </c>
      <c r="H189" t="s">
        <v>290</v>
      </c>
      <c r="I189" t="s">
        <v>290</v>
      </c>
      <c r="J189" t="s">
        <v>23</v>
      </c>
      <c r="K189" t="s">
        <v>290</v>
      </c>
      <c r="L189" t="s">
        <v>43</v>
      </c>
      <c r="M189">
        <v>8</v>
      </c>
      <c r="N189" t="s">
        <v>25</v>
      </c>
      <c r="O189" t="s">
        <v>26</v>
      </c>
      <c r="P189" t="s">
        <v>88</v>
      </c>
      <c r="Q189" t="s">
        <v>286</v>
      </c>
    </row>
    <row r="190" spans="1:17" x14ac:dyDescent="0.3">
      <c r="A190">
        <v>501211</v>
      </c>
      <c r="B190" t="s">
        <v>70</v>
      </c>
      <c r="C190" t="s">
        <v>300</v>
      </c>
      <c r="D190" t="s">
        <v>31</v>
      </c>
      <c r="E190" t="s">
        <v>73</v>
      </c>
      <c r="F190">
        <v>0</v>
      </c>
      <c r="G190" t="s">
        <v>34</v>
      </c>
      <c r="H190" t="s">
        <v>21</v>
      </c>
      <c r="I190" t="s">
        <v>34</v>
      </c>
      <c r="J190" t="s">
        <v>35</v>
      </c>
      <c r="K190" t="s">
        <v>34</v>
      </c>
      <c r="L190" t="s">
        <v>24</v>
      </c>
      <c r="M190">
        <v>21</v>
      </c>
      <c r="N190" t="s">
        <v>25</v>
      </c>
      <c r="O190" t="s">
        <v>26</v>
      </c>
      <c r="P190" t="s">
        <v>165</v>
      </c>
      <c r="Q190" t="s">
        <v>293</v>
      </c>
    </row>
    <row r="191" spans="1:17" x14ac:dyDescent="0.3">
      <c r="A191">
        <v>501212</v>
      </c>
      <c r="B191" t="s">
        <v>64</v>
      </c>
      <c r="C191" t="s">
        <v>300</v>
      </c>
      <c r="D191" t="s">
        <v>295</v>
      </c>
      <c r="E191" t="s">
        <v>67</v>
      </c>
      <c r="F191">
        <v>0</v>
      </c>
      <c r="G191" t="s">
        <v>56</v>
      </c>
      <c r="H191" t="s">
        <v>33</v>
      </c>
      <c r="I191" t="s">
        <v>33</v>
      </c>
      <c r="J191" t="s">
        <v>23</v>
      </c>
      <c r="K191" t="s">
        <v>33</v>
      </c>
      <c r="L191" t="s">
        <v>43</v>
      </c>
      <c r="M191">
        <v>8</v>
      </c>
      <c r="N191" t="s">
        <v>25</v>
      </c>
      <c r="O191" t="s">
        <v>26</v>
      </c>
      <c r="P191" t="s">
        <v>28</v>
      </c>
      <c r="Q191" t="s">
        <v>183</v>
      </c>
    </row>
    <row r="192" spans="1:17" x14ac:dyDescent="0.3">
      <c r="A192">
        <v>501213</v>
      </c>
      <c r="B192" t="s">
        <v>46</v>
      </c>
      <c r="C192" t="s">
        <v>301</v>
      </c>
      <c r="D192" t="s">
        <v>182</v>
      </c>
      <c r="E192" t="s">
        <v>83</v>
      </c>
      <c r="F192">
        <v>0</v>
      </c>
      <c r="G192" t="s">
        <v>292</v>
      </c>
      <c r="H192" t="s">
        <v>41</v>
      </c>
      <c r="I192" t="s">
        <v>41</v>
      </c>
      <c r="J192" t="s">
        <v>23</v>
      </c>
      <c r="K192" t="s">
        <v>41</v>
      </c>
      <c r="L192" t="s">
        <v>43</v>
      </c>
      <c r="M192">
        <v>3</v>
      </c>
      <c r="N192" t="s">
        <v>25</v>
      </c>
      <c r="O192" t="s">
        <v>26</v>
      </c>
      <c r="P192" t="s">
        <v>27</v>
      </c>
      <c r="Q192" t="s">
        <v>69</v>
      </c>
    </row>
    <row r="193" spans="1:17" x14ac:dyDescent="0.3">
      <c r="A193">
        <v>501214</v>
      </c>
      <c r="B193" t="s">
        <v>53</v>
      </c>
      <c r="C193" t="s">
        <v>301</v>
      </c>
      <c r="D193" t="s">
        <v>105</v>
      </c>
      <c r="E193" t="s">
        <v>55</v>
      </c>
      <c r="F193">
        <v>0</v>
      </c>
      <c r="G193" t="s">
        <v>22</v>
      </c>
      <c r="H193" t="s">
        <v>42</v>
      </c>
      <c r="I193" t="s">
        <v>22</v>
      </c>
      <c r="J193" t="s">
        <v>23</v>
      </c>
      <c r="K193" t="s">
        <v>22</v>
      </c>
      <c r="L193" t="s">
        <v>43</v>
      </c>
      <c r="M193">
        <v>8</v>
      </c>
      <c r="N193" t="s">
        <v>25</v>
      </c>
      <c r="O193" t="s">
        <v>26</v>
      </c>
      <c r="P193" t="s">
        <v>44</v>
      </c>
      <c r="Q193" t="s">
        <v>63</v>
      </c>
    </row>
    <row r="194" spans="1:17" x14ac:dyDescent="0.3">
      <c r="A194">
        <v>501215</v>
      </c>
      <c r="B194" t="s">
        <v>288</v>
      </c>
      <c r="C194" t="s">
        <v>302</v>
      </c>
      <c r="D194" t="s">
        <v>19</v>
      </c>
      <c r="E194" t="s">
        <v>289</v>
      </c>
      <c r="F194">
        <v>0</v>
      </c>
      <c r="G194" t="s">
        <v>290</v>
      </c>
      <c r="H194" t="s">
        <v>34</v>
      </c>
      <c r="I194" t="s">
        <v>290</v>
      </c>
      <c r="J194" t="s">
        <v>23</v>
      </c>
      <c r="K194" t="s">
        <v>290</v>
      </c>
      <c r="L194" t="s">
        <v>43</v>
      </c>
      <c r="M194">
        <v>7</v>
      </c>
      <c r="N194" t="s">
        <v>25</v>
      </c>
      <c r="O194" t="s">
        <v>115</v>
      </c>
      <c r="P194" t="s">
        <v>58</v>
      </c>
      <c r="Q194" t="s">
        <v>293</v>
      </c>
    </row>
    <row r="195" spans="1:17" x14ac:dyDescent="0.3">
      <c r="A195">
        <v>501216</v>
      </c>
      <c r="B195" t="s">
        <v>38</v>
      </c>
      <c r="C195" t="s">
        <v>303</v>
      </c>
      <c r="D195" t="s">
        <v>304</v>
      </c>
      <c r="E195" t="s">
        <v>40</v>
      </c>
      <c r="F195">
        <v>0</v>
      </c>
      <c r="G195" t="s">
        <v>41</v>
      </c>
      <c r="H195" t="s">
        <v>56</v>
      </c>
      <c r="I195" t="s">
        <v>56</v>
      </c>
      <c r="J195" t="s">
        <v>35</v>
      </c>
      <c r="K195" t="s">
        <v>56</v>
      </c>
      <c r="L195" t="s">
        <v>24</v>
      </c>
      <c r="M195">
        <v>16</v>
      </c>
      <c r="N195" t="s">
        <v>25</v>
      </c>
      <c r="O195" t="s">
        <v>26</v>
      </c>
      <c r="P195" t="s">
        <v>286</v>
      </c>
      <c r="Q195" t="s">
        <v>305</v>
      </c>
    </row>
    <row r="196" spans="1:17" x14ac:dyDescent="0.3">
      <c r="A196">
        <v>501218</v>
      </c>
      <c r="B196" t="s">
        <v>46</v>
      </c>
      <c r="C196" t="s">
        <v>306</v>
      </c>
      <c r="D196" t="s">
        <v>307</v>
      </c>
      <c r="E196" t="s">
        <v>49</v>
      </c>
      <c r="F196">
        <v>0</v>
      </c>
      <c r="G196" t="s">
        <v>50</v>
      </c>
      <c r="H196" t="s">
        <v>292</v>
      </c>
      <c r="I196" t="s">
        <v>292</v>
      </c>
      <c r="J196" t="s">
        <v>35</v>
      </c>
      <c r="K196" t="s">
        <v>50</v>
      </c>
      <c r="L196" t="s">
        <v>43</v>
      </c>
      <c r="M196">
        <v>7</v>
      </c>
      <c r="N196" t="s">
        <v>25</v>
      </c>
      <c r="O196" t="s">
        <v>26</v>
      </c>
      <c r="P196" t="s">
        <v>27</v>
      </c>
      <c r="Q196" t="s">
        <v>69</v>
      </c>
    </row>
    <row r="197" spans="1:17" x14ac:dyDescent="0.3">
      <c r="A197">
        <v>501219</v>
      </c>
      <c r="B197" t="s">
        <v>53</v>
      </c>
      <c r="C197" t="s">
        <v>306</v>
      </c>
      <c r="D197" t="s">
        <v>114</v>
      </c>
      <c r="E197" t="s">
        <v>55</v>
      </c>
      <c r="F197">
        <v>0</v>
      </c>
      <c r="G197" t="s">
        <v>22</v>
      </c>
      <c r="H197" t="s">
        <v>290</v>
      </c>
      <c r="I197" t="s">
        <v>22</v>
      </c>
      <c r="J197" t="s">
        <v>23</v>
      </c>
      <c r="K197" t="s">
        <v>290</v>
      </c>
      <c r="L197" t="s">
        <v>24</v>
      </c>
      <c r="M197">
        <v>6</v>
      </c>
      <c r="N197" t="s">
        <v>25</v>
      </c>
      <c r="O197" t="s">
        <v>26</v>
      </c>
      <c r="P197" t="s">
        <v>44</v>
      </c>
      <c r="Q197" t="s">
        <v>63</v>
      </c>
    </row>
    <row r="198" spans="1:17" x14ac:dyDescent="0.3">
      <c r="A198">
        <v>501220</v>
      </c>
      <c r="B198" t="s">
        <v>29</v>
      </c>
      <c r="C198" t="s">
        <v>308</v>
      </c>
      <c r="D198" t="s">
        <v>93</v>
      </c>
      <c r="E198" t="s">
        <v>32</v>
      </c>
      <c r="F198">
        <v>0</v>
      </c>
      <c r="G198" t="s">
        <v>33</v>
      </c>
      <c r="H198" t="s">
        <v>42</v>
      </c>
      <c r="I198" t="s">
        <v>42</v>
      </c>
      <c r="J198" t="s">
        <v>23</v>
      </c>
      <c r="K198" t="s">
        <v>33</v>
      </c>
      <c r="L198" t="s">
        <v>24</v>
      </c>
      <c r="M198">
        <v>48</v>
      </c>
      <c r="N198" t="s">
        <v>25</v>
      </c>
      <c r="O198" t="s">
        <v>26</v>
      </c>
      <c r="P198" t="s">
        <v>168</v>
      </c>
      <c r="Q198" t="s">
        <v>286</v>
      </c>
    </row>
    <row r="199" spans="1:17" x14ac:dyDescent="0.3">
      <c r="A199">
        <v>501221</v>
      </c>
      <c r="B199" t="s">
        <v>46</v>
      </c>
      <c r="C199" t="s">
        <v>309</v>
      </c>
      <c r="D199" t="s">
        <v>197</v>
      </c>
      <c r="E199" t="s">
        <v>49</v>
      </c>
      <c r="F199">
        <v>0</v>
      </c>
      <c r="G199" t="s">
        <v>50</v>
      </c>
      <c r="H199" t="s">
        <v>34</v>
      </c>
      <c r="I199" t="s">
        <v>34</v>
      </c>
      <c r="J199" t="s">
        <v>23</v>
      </c>
      <c r="K199" t="s">
        <v>50</v>
      </c>
      <c r="L199" t="s">
        <v>24</v>
      </c>
      <c r="M199">
        <v>8</v>
      </c>
      <c r="N199" t="s">
        <v>25</v>
      </c>
      <c r="O199" t="s">
        <v>26</v>
      </c>
      <c r="P199" t="s">
        <v>27</v>
      </c>
      <c r="Q199" t="s">
        <v>69</v>
      </c>
    </row>
    <row r="200" spans="1:17" x14ac:dyDescent="0.3">
      <c r="A200">
        <v>501222</v>
      </c>
      <c r="B200" t="s">
        <v>53</v>
      </c>
      <c r="C200" t="s">
        <v>309</v>
      </c>
      <c r="D200" t="s">
        <v>152</v>
      </c>
      <c r="E200" t="s">
        <v>55</v>
      </c>
      <c r="F200">
        <v>0</v>
      </c>
      <c r="G200" t="s">
        <v>22</v>
      </c>
      <c r="H200" t="s">
        <v>21</v>
      </c>
      <c r="I200" t="s">
        <v>21</v>
      </c>
      <c r="J200" t="s">
        <v>23</v>
      </c>
      <c r="K200" t="s">
        <v>21</v>
      </c>
      <c r="L200" t="s">
        <v>43</v>
      </c>
      <c r="M200">
        <v>9</v>
      </c>
      <c r="N200" t="s">
        <v>25</v>
      </c>
      <c r="O200" t="s">
        <v>26</v>
      </c>
      <c r="P200" t="s">
        <v>188</v>
      </c>
      <c r="Q200" t="s">
        <v>63</v>
      </c>
    </row>
    <row r="201" spans="1:17" x14ac:dyDescent="0.3">
      <c r="A201">
        <v>501223</v>
      </c>
      <c r="B201" t="s">
        <v>38</v>
      </c>
      <c r="C201" t="s">
        <v>310</v>
      </c>
      <c r="D201" t="s">
        <v>251</v>
      </c>
      <c r="E201" t="s">
        <v>40</v>
      </c>
      <c r="F201">
        <v>0</v>
      </c>
      <c r="G201" t="s">
        <v>41</v>
      </c>
      <c r="H201" t="s">
        <v>33</v>
      </c>
      <c r="I201" t="s">
        <v>33</v>
      </c>
      <c r="J201" t="s">
        <v>23</v>
      </c>
      <c r="K201" t="s">
        <v>41</v>
      </c>
      <c r="L201" t="s">
        <v>24</v>
      </c>
      <c r="M201">
        <v>29</v>
      </c>
      <c r="N201" t="s">
        <v>25</v>
      </c>
      <c r="O201" t="s">
        <v>26</v>
      </c>
      <c r="P201" t="s">
        <v>168</v>
      </c>
      <c r="Q201" t="s">
        <v>28</v>
      </c>
    </row>
    <row r="202" spans="1:17" x14ac:dyDescent="0.3">
      <c r="A202">
        <v>501224</v>
      </c>
      <c r="B202" t="s">
        <v>64</v>
      </c>
      <c r="C202" t="s">
        <v>311</v>
      </c>
      <c r="D202" t="s">
        <v>253</v>
      </c>
      <c r="E202" t="s">
        <v>67</v>
      </c>
      <c r="F202">
        <v>0</v>
      </c>
      <c r="G202" t="s">
        <v>56</v>
      </c>
      <c r="H202" t="s">
        <v>50</v>
      </c>
      <c r="I202" t="s">
        <v>56</v>
      </c>
      <c r="J202" t="s">
        <v>23</v>
      </c>
      <c r="K202" t="s">
        <v>50</v>
      </c>
      <c r="L202" t="s">
        <v>24</v>
      </c>
      <c r="M202">
        <v>37</v>
      </c>
      <c r="N202" t="s">
        <v>25</v>
      </c>
      <c r="O202" t="s">
        <v>26</v>
      </c>
      <c r="P202" t="s">
        <v>165</v>
      </c>
      <c r="Q202" t="s">
        <v>293</v>
      </c>
    </row>
    <row r="203" spans="1:17" x14ac:dyDescent="0.3">
      <c r="A203">
        <v>501225</v>
      </c>
      <c r="B203" t="s">
        <v>59</v>
      </c>
      <c r="C203" t="s">
        <v>311</v>
      </c>
      <c r="D203" t="s">
        <v>201</v>
      </c>
      <c r="E203" t="s">
        <v>62</v>
      </c>
      <c r="F203">
        <v>0</v>
      </c>
      <c r="G203" t="s">
        <v>42</v>
      </c>
      <c r="H203" t="s">
        <v>290</v>
      </c>
      <c r="I203" t="s">
        <v>42</v>
      </c>
      <c r="J203" t="s">
        <v>23</v>
      </c>
      <c r="K203" t="s">
        <v>42</v>
      </c>
      <c r="L203" t="s">
        <v>43</v>
      </c>
      <c r="M203">
        <v>8</v>
      </c>
      <c r="N203" t="s">
        <v>25</v>
      </c>
      <c r="O203" t="s">
        <v>26</v>
      </c>
      <c r="P203" t="s">
        <v>88</v>
      </c>
      <c r="Q203" t="s">
        <v>181</v>
      </c>
    </row>
    <row r="204" spans="1:17" x14ac:dyDescent="0.3">
      <c r="A204">
        <v>501226</v>
      </c>
      <c r="B204" t="s">
        <v>70</v>
      </c>
      <c r="C204" t="s">
        <v>312</v>
      </c>
      <c r="D204" t="s">
        <v>31</v>
      </c>
      <c r="E204" t="s">
        <v>73</v>
      </c>
      <c r="F204">
        <v>0</v>
      </c>
      <c r="G204" t="s">
        <v>34</v>
      </c>
      <c r="H204" t="s">
        <v>292</v>
      </c>
      <c r="I204" t="s">
        <v>292</v>
      </c>
      <c r="J204" t="s">
        <v>23</v>
      </c>
      <c r="K204" t="s">
        <v>34</v>
      </c>
      <c r="L204" t="s">
        <v>24</v>
      </c>
      <c r="M204">
        <v>25</v>
      </c>
      <c r="N204" t="s">
        <v>25</v>
      </c>
      <c r="O204" t="s">
        <v>26</v>
      </c>
      <c r="P204" t="s">
        <v>44</v>
      </c>
      <c r="Q204" t="s">
        <v>63</v>
      </c>
    </row>
    <row r="205" spans="1:17" x14ac:dyDescent="0.3">
      <c r="A205">
        <v>501227</v>
      </c>
      <c r="B205" t="s">
        <v>38</v>
      </c>
      <c r="C205" t="s">
        <v>313</v>
      </c>
      <c r="D205" t="s">
        <v>314</v>
      </c>
      <c r="E205" t="s">
        <v>40</v>
      </c>
      <c r="F205">
        <v>0</v>
      </c>
      <c r="G205" t="s">
        <v>41</v>
      </c>
      <c r="H205" t="s">
        <v>21</v>
      </c>
      <c r="I205" t="s">
        <v>21</v>
      </c>
      <c r="J205" t="s">
        <v>23</v>
      </c>
      <c r="K205" t="s">
        <v>21</v>
      </c>
      <c r="L205" t="s">
        <v>43</v>
      </c>
      <c r="M205">
        <v>3</v>
      </c>
      <c r="N205" t="s">
        <v>25</v>
      </c>
      <c r="O205" t="s">
        <v>26</v>
      </c>
      <c r="P205" t="s">
        <v>168</v>
      </c>
      <c r="Q205" t="s">
        <v>305</v>
      </c>
    </row>
    <row r="206" spans="1:17" x14ac:dyDescent="0.3">
      <c r="A206">
        <v>501228</v>
      </c>
      <c r="B206" t="s">
        <v>46</v>
      </c>
      <c r="C206" t="s">
        <v>315</v>
      </c>
      <c r="D206" t="s">
        <v>282</v>
      </c>
      <c r="E206" t="s">
        <v>83</v>
      </c>
      <c r="F206">
        <v>0</v>
      </c>
      <c r="G206" t="s">
        <v>292</v>
      </c>
      <c r="H206" t="s">
        <v>34</v>
      </c>
      <c r="I206" t="s">
        <v>292</v>
      </c>
      <c r="J206" t="s">
        <v>35</v>
      </c>
      <c r="K206" t="s">
        <v>34</v>
      </c>
      <c r="L206" t="s">
        <v>43</v>
      </c>
      <c r="M206">
        <v>8</v>
      </c>
      <c r="N206" t="s">
        <v>25</v>
      </c>
      <c r="O206" t="s">
        <v>26</v>
      </c>
      <c r="P206" t="s">
        <v>27</v>
      </c>
      <c r="Q206" t="s">
        <v>37</v>
      </c>
    </row>
    <row r="207" spans="1:17" x14ac:dyDescent="0.3">
      <c r="A207">
        <v>501229</v>
      </c>
      <c r="B207" t="s">
        <v>288</v>
      </c>
      <c r="C207" t="s">
        <v>315</v>
      </c>
      <c r="D207" t="s">
        <v>316</v>
      </c>
      <c r="E207" t="s">
        <v>289</v>
      </c>
      <c r="F207">
        <v>0</v>
      </c>
      <c r="G207" t="s">
        <v>290</v>
      </c>
      <c r="H207" t="s">
        <v>56</v>
      </c>
      <c r="I207" t="s">
        <v>290</v>
      </c>
      <c r="J207" t="s">
        <v>23</v>
      </c>
      <c r="K207" t="s">
        <v>56</v>
      </c>
      <c r="L207" t="s">
        <v>24</v>
      </c>
      <c r="M207">
        <v>55</v>
      </c>
      <c r="N207" t="s">
        <v>25</v>
      </c>
      <c r="O207" t="s">
        <v>26</v>
      </c>
      <c r="P207" t="s">
        <v>165</v>
      </c>
      <c r="Q207" t="s">
        <v>293</v>
      </c>
    </row>
    <row r="208" spans="1:17" x14ac:dyDescent="0.3">
      <c r="A208">
        <v>501230</v>
      </c>
      <c r="B208" t="s">
        <v>38</v>
      </c>
      <c r="C208" t="s">
        <v>317</v>
      </c>
      <c r="D208" t="s">
        <v>222</v>
      </c>
      <c r="E208" t="s">
        <v>40</v>
      </c>
      <c r="F208">
        <v>0</v>
      </c>
      <c r="G208" t="s">
        <v>41</v>
      </c>
      <c r="H208" t="s">
        <v>22</v>
      </c>
      <c r="I208" t="s">
        <v>41</v>
      </c>
      <c r="J208" t="s">
        <v>23</v>
      </c>
      <c r="K208" t="s">
        <v>22</v>
      </c>
      <c r="L208" t="s">
        <v>24</v>
      </c>
      <c r="M208">
        <v>17</v>
      </c>
      <c r="N208" t="s">
        <v>25</v>
      </c>
      <c r="O208" t="s">
        <v>26</v>
      </c>
      <c r="P208" t="s">
        <v>286</v>
      </c>
      <c r="Q208" t="s">
        <v>305</v>
      </c>
    </row>
    <row r="209" spans="1:17" x14ac:dyDescent="0.3">
      <c r="A209">
        <v>501231</v>
      </c>
      <c r="B209" t="s">
        <v>59</v>
      </c>
      <c r="C209" t="s">
        <v>318</v>
      </c>
      <c r="D209" t="s">
        <v>319</v>
      </c>
      <c r="E209" t="s">
        <v>62</v>
      </c>
      <c r="F209">
        <v>0</v>
      </c>
      <c r="G209" t="s">
        <v>42</v>
      </c>
      <c r="H209" t="s">
        <v>50</v>
      </c>
      <c r="I209" t="s">
        <v>42</v>
      </c>
      <c r="J209" t="s">
        <v>23</v>
      </c>
      <c r="K209" t="s">
        <v>42</v>
      </c>
      <c r="L209" t="s">
        <v>43</v>
      </c>
      <c r="M209">
        <v>7</v>
      </c>
      <c r="N209" t="s">
        <v>25</v>
      </c>
      <c r="O209" t="s">
        <v>26</v>
      </c>
      <c r="P209" t="s">
        <v>27</v>
      </c>
      <c r="Q209" t="s">
        <v>181</v>
      </c>
    </row>
    <row r="210" spans="1:17" x14ac:dyDescent="0.3">
      <c r="A210">
        <v>501232</v>
      </c>
      <c r="B210" t="s">
        <v>17</v>
      </c>
      <c r="C210" t="s">
        <v>318</v>
      </c>
      <c r="D210" t="s">
        <v>314</v>
      </c>
      <c r="E210" t="s">
        <v>20</v>
      </c>
      <c r="F210">
        <v>0</v>
      </c>
      <c r="G210" t="s">
        <v>21</v>
      </c>
      <c r="H210" t="s">
        <v>292</v>
      </c>
      <c r="I210" t="s">
        <v>292</v>
      </c>
      <c r="J210" t="s">
        <v>23</v>
      </c>
      <c r="K210" t="s">
        <v>21</v>
      </c>
      <c r="L210" t="s">
        <v>24</v>
      </c>
      <c r="M210">
        <v>26</v>
      </c>
      <c r="N210" t="s">
        <v>25</v>
      </c>
      <c r="O210" t="s">
        <v>26</v>
      </c>
      <c r="P210" t="s">
        <v>44</v>
      </c>
      <c r="Q210" t="s">
        <v>188</v>
      </c>
    </row>
    <row r="211" spans="1:17" x14ac:dyDescent="0.3">
      <c r="A211">
        <v>501233</v>
      </c>
      <c r="B211" t="s">
        <v>288</v>
      </c>
      <c r="C211" t="s">
        <v>320</v>
      </c>
      <c r="D211" t="s">
        <v>66</v>
      </c>
      <c r="E211" t="s">
        <v>289</v>
      </c>
      <c r="F211">
        <v>0</v>
      </c>
      <c r="G211" t="s">
        <v>290</v>
      </c>
      <c r="H211" t="s">
        <v>41</v>
      </c>
      <c r="I211" t="s">
        <v>41</v>
      </c>
      <c r="J211" t="s">
        <v>35</v>
      </c>
      <c r="K211" t="s">
        <v>41</v>
      </c>
      <c r="L211" t="s">
        <v>24</v>
      </c>
      <c r="M211">
        <v>38</v>
      </c>
      <c r="N211" t="s">
        <v>25</v>
      </c>
      <c r="O211" t="s">
        <v>26</v>
      </c>
      <c r="P211" t="s">
        <v>165</v>
      </c>
      <c r="Q211" t="s">
        <v>293</v>
      </c>
    </row>
    <row r="212" spans="1:17" x14ac:dyDescent="0.3">
      <c r="A212">
        <v>501234</v>
      </c>
      <c r="B212" t="s">
        <v>53</v>
      </c>
      <c r="C212" t="s">
        <v>320</v>
      </c>
      <c r="D212" t="s">
        <v>321</v>
      </c>
      <c r="E212" t="s">
        <v>55</v>
      </c>
      <c r="F212">
        <v>0</v>
      </c>
      <c r="G212" t="s">
        <v>22</v>
      </c>
      <c r="H212" t="s">
        <v>33</v>
      </c>
      <c r="I212" t="s">
        <v>22</v>
      </c>
      <c r="J212" t="s">
        <v>23</v>
      </c>
      <c r="K212" t="s">
        <v>22</v>
      </c>
      <c r="L212" t="s">
        <v>43</v>
      </c>
      <c r="M212">
        <v>8</v>
      </c>
      <c r="N212" t="s">
        <v>25</v>
      </c>
      <c r="O212" t="s">
        <v>26</v>
      </c>
      <c r="P212" t="s">
        <v>69</v>
      </c>
      <c r="Q212" t="s">
        <v>37</v>
      </c>
    </row>
    <row r="213" spans="1:17" x14ac:dyDescent="0.3">
      <c r="A213">
        <v>501235</v>
      </c>
      <c r="B213" t="s">
        <v>59</v>
      </c>
      <c r="C213" s="1">
        <v>40548</v>
      </c>
      <c r="D213" t="s">
        <v>196</v>
      </c>
      <c r="E213" t="s">
        <v>62</v>
      </c>
      <c r="F213">
        <v>0</v>
      </c>
      <c r="G213" t="s">
        <v>42</v>
      </c>
      <c r="H213" t="s">
        <v>292</v>
      </c>
      <c r="I213" t="s">
        <v>42</v>
      </c>
      <c r="J213" t="s">
        <v>23</v>
      </c>
      <c r="K213" t="s">
        <v>42</v>
      </c>
      <c r="L213" t="s">
        <v>43</v>
      </c>
      <c r="M213">
        <v>6</v>
      </c>
      <c r="N213" t="s">
        <v>25</v>
      </c>
      <c r="O213" t="s">
        <v>26</v>
      </c>
      <c r="P213" t="s">
        <v>181</v>
      </c>
      <c r="Q213" t="s">
        <v>149</v>
      </c>
    </row>
    <row r="214" spans="1:17" x14ac:dyDescent="0.3">
      <c r="A214">
        <v>501236</v>
      </c>
      <c r="B214" t="s">
        <v>70</v>
      </c>
      <c r="C214" s="1">
        <v>40548</v>
      </c>
      <c r="D214" t="s">
        <v>128</v>
      </c>
      <c r="E214" t="s">
        <v>73</v>
      </c>
      <c r="F214">
        <v>0</v>
      </c>
      <c r="G214" t="s">
        <v>34</v>
      </c>
      <c r="H214" t="s">
        <v>56</v>
      </c>
      <c r="I214" t="s">
        <v>34</v>
      </c>
      <c r="J214" t="s">
        <v>35</v>
      </c>
      <c r="K214" t="s">
        <v>34</v>
      </c>
      <c r="L214" t="s">
        <v>24</v>
      </c>
      <c r="M214">
        <v>19</v>
      </c>
      <c r="N214" t="s">
        <v>25</v>
      </c>
      <c r="O214" t="s">
        <v>26</v>
      </c>
      <c r="P214" t="s">
        <v>44</v>
      </c>
      <c r="Q214" t="s">
        <v>63</v>
      </c>
    </row>
    <row r="215" spans="1:17" x14ac:dyDescent="0.3">
      <c r="A215">
        <v>501237</v>
      </c>
      <c r="B215" t="s">
        <v>46</v>
      </c>
      <c r="C215" s="1">
        <v>40579</v>
      </c>
      <c r="D215" t="s">
        <v>267</v>
      </c>
      <c r="E215" t="s">
        <v>49</v>
      </c>
      <c r="F215">
        <v>0</v>
      </c>
      <c r="G215" t="s">
        <v>50</v>
      </c>
      <c r="H215" t="s">
        <v>33</v>
      </c>
      <c r="I215" t="s">
        <v>33</v>
      </c>
      <c r="J215" t="s">
        <v>23</v>
      </c>
      <c r="K215" t="s">
        <v>50</v>
      </c>
      <c r="L215" t="s">
        <v>24</v>
      </c>
      <c r="M215">
        <v>23</v>
      </c>
      <c r="N215" t="s">
        <v>25</v>
      </c>
      <c r="O215" t="s">
        <v>26</v>
      </c>
      <c r="P215" t="s">
        <v>165</v>
      </c>
      <c r="Q215" t="s">
        <v>286</v>
      </c>
    </row>
    <row r="216" spans="1:17" x14ac:dyDescent="0.3">
      <c r="A216">
        <v>501238</v>
      </c>
      <c r="B216" t="s">
        <v>38</v>
      </c>
      <c r="C216" s="1">
        <v>40579</v>
      </c>
      <c r="D216" t="s">
        <v>322</v>
      </c>
      <c r="E216" t="s">
        <v>40</v>
      </c>
      <c r="F216">
        <v>0</v>
      </c>
      <c r="G216" t="s">
        <v>41</v>
      </c>
      <c r="H216" t="s">
        <v>290</v>
      </c>
      <c r="I216" t="s">
        <v>290</v>
      </c>
      <c r="J216" t="s">
        <v>23</v>
      </c>
      <c r="K216" t="s">
        <v>290</v>
      </c>
      <c r="L216" t="s">
        <v>43</v>
      </c>
      <c r="M216">
        <v>7</v>
      </c>
      <c r="N216" t="s">
        <v>25</v>
      </c>
      <c r="O216" t="s">
        <v>26</v>
      </c>
      <c r="P216" t="s">
        <v>27</v>
      </c>
      <c r="Q216" t="s">
        <v>37</v>
      </c>
    </row>
    <row r="217" spans="1:17" x14ac:dyDescent="0.3">
      <c r="A217">
        <v>501239</v>
      </c>
      <c r="B217" t="s">
        <v>64</v>
      </c>
      <c r="C217" s="1">
        <v>40607</v>
      </c>
      <c r="D217" t="s">
        <v>75</v>
      </c>
      <c r="E217" t="s">
        <v>67</v>
      </c>
      <c r="F217">
        <v>0</v>
      </c>
      <c r="G217" t="s">
        <v>56</v>
      </c>
      <c r="H217" t="s">
        <v>22</v>
      </c>
      <c r="I217" t="s">
        <v>56</v>
      </c>
      <c r="J217" t="s">
        <v>23</v>
      </c>
      <c r="K217" t="s">
        <v>22</v>
      </c>
      <c r="L217" t="s">
        <v>24</v>
      </c>
      <c r="M217">
        <v>20</v>
      </c>
      <c r="N217" t="s">
        <v>25</v>
      </c>
      <c r="O217" t="s">
        <v>26</v>
      </c>
      <c r="P217" t="s">
        <v>168</v>
      </c>
      <c r="Q217" t="s">
        <v>305</v>
      </c>
    </row>
    <row r="218" spans="1:17" x14ac:dyDescent="0.3">
      <c r="A218">
        <v>501240</v>
      </c>
      <c r="B218" t="s">
        <v>70</v>
      </c>
      <c r="C218" s="1">
        <v>40638</v>
      </c>
      <c r="D218" t="s">
        <v>31</v>
      </c>
      <c r="E218" t="s">
        <v>73</v>
      </c>
      <c r="F218">
        <v>0</v>
      </c>
      <c r="G218" t="s">
        <v>34</v>
      </c>
      <c r="H218" t="s">
        <v>42</v>
      </c>
      <c r="I218" t="s">
        <v>42</v>
      </c>
      <c r="J218" t="s">
        <v>35</v>
      </c>
      <c r="K218" t="s">
        <v>34</v>
      </c>
      <c r="L218" t="s">
        <v>43</v>
      </c>
      <c r="M218">
        <v>8</v>
      </c>
      <c r="N218" t="s">
        <v>25</v>
      </c>
      <c r="O218" t="s">
        <v>26</v>
      </c>
      <c r="P218" t="s">
        <v>188</v>
      </c>
      <c r="Q218" t="s">
        <v>63</v>
      </c>
    </row>
    <row r="219" spans="1:17" x14ac:dyDescent="0.3">
      <c r="A219">
        <v>501241</v>
      </c>
      <c r="B219" t="s">
        <v>46</v>
      </c>
      <c r="C219" s="1">
        <v>40638</v>
      </c>
      <c r="D219" t="s">
        <v>323</v>
      </c>
      <c r="E219" t="s">
        <v>83</v>
      </c>
      <c r="F219">
        <v>0</v>
      </c>
      <c r="G219" t="s">
        <v>292</v>
      </c>
      <c r="H219" t="s">
        <v>50</v>
      </c>
      <c r="I219" t="s">
        <v>292</v>
      </c>
      <c r="J219" t="s">
        <v>23</v>
      </c>
      <c r="K219" t="s">
        <v>50</v>
      </c>
      <c r="L219" t="s">
        <v>24</v>
      </c>
      <c r="M219">
        <v>21</v>
      </c>
      <c r="N219" t="s">
        <v>25</v>
      </c>
      <c r="O219" t="s">
        <v>26</v>
      </c>
      <c r="P219" t="s">
        <v>165</v>
      </c>
      <c r="Q219" t="s">
        <v>149</v>
      </c>
    </row>
    <row r="220" spans="1:17" x14ac:dyDescent="0.3">
      <c r="A220">
        <v>501242</v>
      </c>
      <c r="B220" t="s">
        <v>288</v>
      </c>
      <c r="C220" s="1">
        <v>40668</v>
      </c>
      <c r="D220" t="s">
        <v>209</v>
      </c>
      <c r="E220" t="s">
        <v>289</v>
      </c>
      <c r="F220">
        <v>0</v>
      </c>
      <c r="G220" t="s">
        <v>290</v>
      </c>
      <c r="H220" t="s">
        <v>22</v>
      </c>
      <c r="I220" t="s">
        <v>22</v>
      </c>
      <c r="J220" t="s">
        <v>23</v>
      </c>
      <c r="K220" t="s">
        <v>290</v>
      </c>
      <c r="L220" t="s">
        <v>24</v>
      </c>
      <c r="M220">
        <v>17</v>
      </c>
      <c r="N220" t="s">
        <v>25</v>
      </c>
      <c r="O220" t="s">
        <v>26</v>
      </c>
      <c r="P220" t="s">
        <v>183</v>
      </c>
      <c r="Q220" t="s">
        <v>305</v>
      </c>
    </row>
    <row r="221" spans="1:17" x14ac:dyDescent="0.3">
      <c r="A221">
        <v>501243</v>
      </c>
      <c r="B221" t="s">
        <v>64</v>
      </c>
      <c r="C221" s="1">
        <v>40668</v>
      </c>
      <c r="D221" t="s">
        <v>66</v>
      </c>
      <c r="E221" t="s">
        <v>67</v>
      </c>
      <c r="F221">
        <v>0</v>
      </c>
      <c r="G221" t="s">
        <v>56</v>
      </c>
      <c r="H221" t="s">
        <v>41</v>
      </c>
      <c r="I221" t="s">
        <v>41</v>
      </c>
      <c r="J221" t="s">
        <v>23</v>
      </c>
      <c r="K221" t="s">
        <v>41</v>
      </c>
      <c r="L221" t="s">
        <v>43</v>
      </c>
      <c r="M221">
        <v>4</v>
      </c>
      <c r="N221" t="s">
        <v>25</v>
      </c>
      <c r="O221" t="s">
        <v>26</v>
      </c>
      <c r="P221" t="s">
        <v>27</v>
      </c>
      <c r="Q221" t="s">
        <v>69</v>
      </c>
    </row>
    <row r="222" spans="1:17" x14ac:dyDescent="0.3">
      <c r="A222">
        <v>501244</v>
      </c>
      <c r="B222" t="s">
        <v>17</v>
      </c>
      <c r="C222" s="1">
        <v>40699</v>
      </c>
      <c r="D222" t="s">
        <v>152</v>
      </c>
      <c r="E222" t="s">
        <v>20</v>
      </c>
      <c r="F222">
        <v>0</v>
      </c>
      <c r="G222" t="s">
        <v>21</v>
      </c>
      <c r="H222" t="s">
        <v>33</v>
      </c>
      <c r="I222" t="s">
        <v>33</v>
      </c>
      <c r="J222" t="s">
        <v>23</v>
      </c>
      <c r="K222" t="s">
        <v>21</v>
      </c>
      <c r="L222" t="s">
        <v>24</v>
      </c>
      <c r="M222">
        <v>85</v>
      </c>
      <c r="N222" t="s">
        <v>25</v>
      </c>
      <c r="O222" t="s">
        <v>26</v>
      </c>
      <c r="P222" t="s">
        <v>44</v>
      </c>
      <c r="Q222" t="s">
        <v>63</v>
      </c>
    </row>
    <row r="223" spans="1:17" x14ac:dyDescent="0.3">
      <c r="A223">
        <v>501245</v>
      </c>
      <c r="B223" t="s">
        <v>53</v>
      </c>
      <c r="C223" s="1">
        <v>40729</v>
      </c>
      <c r="D223" t="s">
        <v>321</v>
      </c>
      <c r="E223" t="s">
        <v>55</v>
      </c>
      <c r="F223">
        <v>0</v>
      </c>
      <c r="G223" t="s">
        <v>22</v>
      </c>
      <c r="H223" t="s">
        <v>34</v>
      </c>
      <c r="I223" t="s">
        <v>34</v>
      </c>
      <c r="J223" t="s">
        <v>35</v>
      </c>
      <c r="K223" t="s">
        <v>22</v>
      </c>
      <c r="L223" t="s">
        <v>24</v>
      </c>
      <c r="M223">
        <v>10</v>
      </c>
      <c r="N223" t="s">
        <v>25</v>
      </c>
      <c r="O223" t="s">
        <v>115</v>
      </c>
      <c r="P223" t="s">
        <v>27</v>
      </c>
      <c r="Q223" t="s">
        <v>286</v>
      </c>
    </row>
    <row r="224" spans="1:17" x14ac:dyDescent="0.3">
      <c r="A224">
        <v>501246</v>
      </c>
      <c r="B224" t="s">
        <v>46</v>
      </c>
      <c r="C224" s="1">
        <v>40729</v>
      </c>
      <c r="D224" t="s">
        <v>257</v>
      </c>
      <c r="E224" t="s">
        <v>49</v>
      </c>
      <c r="F224">
        <v>0</v>
      </c>
      <c r="G224" t="s">
        <v>50</v>
      </c>
      <c r="H224" t="s">
        <v>41</v>
      </c>
      <c r="I224" t="s">
        <v>41</v>
      </c>
      <c r="J224" t="s">
        <v>23</v>
      </c>
      <c r="K224" t="s">
        <v>50</v>
      </c>
      <c r="L224" t="s">
        <v>24</v>
      </c>
      <c r="M224">
        <v>32</v>
      </c>
      <c r="N224" t="s">
        <v>25</v>
      </c>
      <c r="O224" t="s">
        <v>26</v>
      </c>
      <c r="P224" t="s">
        <v>58</v>
      </c>
      <c r="Q224" t="s">
        <v>149</v>
      </c>
    </row>
    <row r="225" spans="1:17" x14ac:dyDescent="0.3">
      <c r="A225">
        <v>501247</v>
      </c>
      <c r="B225" t="s">
        <v>17</v>
      </c>
      <c r="C225" s="1">
        <v>40760</v>
      </c>
      <c r="D225" t="s">
        <v>152</v>
      </c>
      <c r="E225" t="s">
        <v>20</v>
      </c>
      <c r="F225">
        <v>0</v>
      </c>
      <c r="G225" t="s">
        <v>21</v>
      </c>
      <c r="H225" t="s">
        <v>290</v>
      </c>
      <c r="I225" t="s">
        <v>290</v>
      </c>
      <c r="J225" t="s">
        <v>35</v>
      </c>
      <c r="K225" t="s">
        <v>21</v>
      </c>
      <c r="L225" t="s">
        <v>43</v>
      </c>
      <c r="M225">
        <v>9</v>
      </c>
      <c r="N225" t="s">
        <v>25</v>
      </c>
      <c r="O225" t="s">
        <v>26</v>
      </c>
      <c r="P225" t="s">
        <v>44</v>
      </c>
      <c r="Q225" t="s">
        <v>188</v>
      </c>
    </row>
    <row r="226" spans="1:17" x14ac:dyDescent="0.3">
      <c r="A226">
        <v>501248</v>
      </c>
      <c r="B226" t="s">
        <v>29</v>
      </c>
      <c r="C226" s="1">
        <v>40760</v>
      </c>
      <c r="D226" t="s">
        <v>323</v>
      </c>
      <c r="E226" t="s">
        <v>32</v>
      </c>
      <c r="F226">
        <v>0</v>
      </c>
      <c r="G226" t="s">
        <v>33</v>
      </c>
      <c r="H226" t="s">
        <v>292</v>
      </c>
      <c r="I226" t="s">
        <v>33</v>
      </c>
      <c r="J226" t="s">
        <v>35</v>
      </c>
      <c r="K226" t="s">
        <v>292</v>
      </c>
      <c r="L226" t="s">
        <v>43</v>
      </c>
      <c r="M226">
        <v>5</v>
      </c>
      <c r="N226" t="s">
        <v>25</v>
      </c>
      <c r="O226" t="s">
        <v>26</v>
      </c>
      <c r="P226" t="s">
        <v>181</v>
      </c>
      <c r="Q226" t="s">
        <v>305</v>
      </c>
    </row>
    <row r="227" spans="1:17" x14ac:dyDescent="0.3">
      <c r="A227">
        <v>501249</v>
      </c>
      <c r="B227" t="s">
        <v>59</v>
      </c>
      <c r="C227" s="1">
        <v>40791</v>
      </c>
      <c r="D227" t="s">
        <v>255</v>
      </c>
      <c r="E227" t="s">
        <v>62</v>
      </c>
      <c r="F227">
        <v>0</v>
      </c>
      <c r="G227" t="s">
        <v>42</v>
      </c>
      <c r="H227" t="s">
        <v>34</v>
      </c>
      <c r="I227" t="s">
        <v>42</v>
      </c>
      <c r="J227" t="s">
        <v>23</v>
      </c>
      <c r="K227" t="s">
        <v>34</v>
      </c>
      <c r="L227" t="s">
        <v>24</v>
      </c>
      <c r="M227">
        <v>63</v>
      </c>
      <c r="N227" t="s">
        <v>25</v>
      </c>
      <c r="O227" t="s">
        <v>26</v>
      </c>
      <c r="P227" t="s">
        <v>58</v>
      </c>
      <c r="Q227" t="s">
        <v>149</v>
      </c>
    </row>
    <row r="228" spans="1:17" x14ac:dyDescent="0.3">
      <c r="A228">
        <v>501250</v>
      </c>
      <c r="B228" t="s">
        <v>64</v>
      </c>
      <c r="C228" s="1">
        <v>40821</v>
      </c>
      <c r="D228" t="s">
        <v>324</v>
      </c>
      <c r="E228" t="s">
        <v>67</v>
      </c>
      <c r="F228">
        <v>0</v>
      </c>
      <c r="G228" t="s">
        <v>56</v>
      </c>
      <c r="H228" t="s">
        <v>292</v>
      </c>
      <c r="I228" t="s">
        <v>56</v>
      </c>
      <c r="J228" t="s">
        <v>35</v>
      </c>
      <c r="K228" t="s">
        <v>292</v>
      </c>
      <c r="L228" t="s">
        <v>43</v>
      </c>
      <c r="M228">
        <v>6</v>
      </c>
      <c r="N228" t="s">
        <v>25</v>
      </c>
      <c r="O228" t="s">
        <v>26</v>
      </c>
      <c r="P228" t="s">
        <v>27</v>
      </c>
      <c r="Q228" t="s">
        <v>69</v>
      </c>
    </row>
    <row r="229" spans="1:17" x14ac:dyDescent="0.3">
      <c r="A229">
        <v>501251</v>
      </c>
      <c r="B229" t="s">
        <v>29</v>
      </c>
      <c r="C229" s="1">
        <v>40821</v>
      </c>
      <c r="D229" t="s">
        <v>325</v>
      </c>
      <c r="E229" t="s">
        <v>32</v>
      </c>
      <c r="F229">
        <v>0</v>
      </c>
      <c r="G229" t="s">
        <v>33</v>
      </c>
      <c r="H229" t="s">
        <v>50</v>
      </c>
      <c r="I229" t="s">
        <v>50</v>
      </c>
      <c r="J229" t="s">
        <v>23</v>
      </c>
      <c r="K229" t="s">
        <v>33</v>
      </c>
      <c r="L229" t="s">
        <v>24</v>
      </c>
      <c r="M229">
        <v>76</v>
      </c>
      <c r="N229" t="s">
        <v>25</v>
      </c>
      <c r="O229" t="s">
        <v>26</v>
      </c>
      <c r="P229" t="s">
        <v>181</v>
      </c>
      <c r="Q229" t="s">
        <v>305</v>
      </c>
    </row>
    <row r="230" spans="1:17" x14ac:dyDescent="0.3">
      <c r="A230">
        <v>501252</v>
      </c>
      <c r="B230" t="s">
        <v>59</v>
      </c>
      <c r="C230" s="1">
        <v>40852</v>
      </c>
      <c r="D230" t="s">
        <v>326</v>
      </c>
      <c r="E230" t="s">
        <v>62</v>
      </c>
      <c r="F230">
        <v>0</v>
      </c>
      <c r="G230" t="s">
        <v>42</v>
      </c>
      <c r="H230" t="s">
        <v>21</v>
      </c>
      <c r="I230" t="s">
        <v>21</v>
      </c>
      <c r="J230" t="s">
        <v>23</v>
      </c>
      <c r="K230" t="s">
        <v>21</v>
      </c>
      <c r="L230" t="s">
        <v>43</v>
      </c>
      <c r="M230">
        <v>9</v>
      </c>
      <c r="N230" t="s">
        <v>25</v>
      </c>
      <c r="O230" t="s">
        <v>26</v>
      </c>
      <c r="P230" t="s">
        <v>165</v>
      </c>
      <c r="Q230" t="s">
        <v>58</v>
      </c>
    </row>
    <row r="231" spans="1:17" x14ac:dyDescent="0.3">
      <c r="A231">
        <v>501253</v>
      </c>
      <c r="B231" t="s">
        <v>70</v>
      </c>
      <c r="C231" s="1">
        <v>40882</v>
      </c>
      <c r="D231" t="s">
        <v>87</v>
      </c>
      <c r="E231" t="s">
        <v>73</v>
      </c>
      <c r="F231">
        <v>0</v>
      </c>
      <c r="G231" t="s">
        <v>34</v>
      </c>
      <c r="H231" t="s">
        <v>41</v>
      </c>
      <c r="I231" t="s">
        <v>34</v>
      </c>
      <c r="J231" t="s">
        <v>35</v>
      </c>
      <c r="K231" t="s">
        <v>34</v>
      </c>
      <c r="L231" t="s">
        <v>24</v>
      </c>
      <c r="M231">
        <v>18</v>
      </c>
      <c r="N231" t="s">
        <v>25</v>
      </c>
      <c r="O231" t="s">
        <v>26</v>
      </c>
      <c r="P231" t="s">
        <v>69</v>
      </c>
      <c r="Q231" t="s">
        <v>37</v>
      </c>
    </row>
    <row r="232" spans="1:17" x14ac:dyDescent="0.3">
      <c r="A232">
        <v>501254</v>
      </c>
      <c r="B232" t="s">
        <v>327</v>
      </c>
      <c r="C232" t="s">
        <v>328</v>
      </c>
      <c r="D232" t="s">
        <v>127</v>
      </c>
      <c r="E232" t="s">
        <v>329</v>
      </c>
      <c r="F232">
        <v>0</v>
      </c>
      <c r="G232" t="s">
        <v>290</v>
      </c>
      <c r="H232" t="s">
        <v>33</v>
      </c>
      <c r="I232" t="s">
        <v>33</v>
      </c>
      <c r="J232" t="s">
        <v>23</v>
      </c>
      <c r="K232" t="s">
        <v>33</v>
      </c>
      <c r="L232" t="s">
        <v>43</v>
      </c>
      <c r="M232">
        <v>6</v>
      </c>
      <c r="N232" t="s">
        <v>25</v>
      </c>
      <c r="O232" t="s">
        <v>26</v>
      </c>
      <c r="P232" t="s">
        <v>168</v>
      </c>
      <c r="Q232" t="s">
        <v>305</v>
      </c>
    </row>
    <row r="233" spans="1:17" x14ac:dyDescent="0.3">
      <c r="A233">
        <v>501255</v>
      </c>
      <c r="B233" t="s">
        <v>17</v>
      </c>
      <c r="C233" t="s">
        <v>330</v>
      </c>
      <c r="D233" t="s">
        <v>152</v>
      </c>
      <c r="E233" t="s">
        <v>20</v>
      </c>
      <c r="F233">
        <v>0</v>
      </c>
      <c r="G233" t="s">
        <v>21</v>
      </c>
      <c r="H233" t="s">
        <v>22</v>
      </c>
      <c r="I233" t="s">
        <v>21</v>
      </c>
      <c r="J233" t="s">
        <v>23</v>
      </c>
      <c r="K233" t="s">
        <v>21</v>
      </c>
      <c r="L233" t="s">
        <v>43</v>
      </c>
      <c r="M233">
        <v>4</v>
      </c>
      <c r="N233" t="s">
        <v>25</v>
      </c>
      <c r="O233" t="s">
        <v>115</v>
      </c>
      <c r="P233" t="s">
        <v>28</v>
      </c>
      <c r="Q233" t="s">
        <v>63</v>
      </c>
    </row>
    <row r="234" spans="1:17" x14ac:dyDescent="0.3">
      <c r="A234">
        <v>501256</v>
      </c>
      <c r="B234" t="s">
        <v>46</v>
      </c>
      <c r="C234" t="s">
        <v>330</v>
      </c>
      <c r="D234" t="s">
        <v>111</v>
      </c>
      <c r="E234" t="s">
        <v>49</v>
      </c>
      <c r="F234">
        <v>0</v>
      </c>
      <c r="G234" t="s">
        <v>50</v>
      </c>
      <c r="H234" t="s">
        <v>56</v>
      </c>
      <c r="I234" t="s">
        <v>56</v>
      </c>
      <c r="J234" t="s">
        <v>35</v>
      </c>
      <c r="K234" t="s">
        <v>56</v>
      </c>
      <c r="L234" t="s">
        <v>24</v>
      </c>
      <c r="M234">
        <v>10</v>
      </c>
      <c r="N234" t="s">
        <v>25</v>
      </c>
      <c r="O234" t="s">
        <v>26</v>
      </c>
      <c r="P234" t="s">
        <v>183</v>
      </c>
      <c r="Q234" t="s">
        <v>181</v>
      </c>
    </row>
    <row r="235" spans="1:17" x14ac:dyDescent="0.3">
      <c r="A235">
        <v>501257</v>
      </c>
      <c r="B235" t="s">
        <v>271</v>
      </c>
      <c r="C235" t="s">
        <v>331</v>
      </c>
      <c r="D235" t="s">
        <v>264</v>
      </c>
      <c r="E235" t="s">
        <v>273</v>
      </c>
      <c r="F235">
        <v>0</v>
      </c>
      <c r="G235" t="s">
        <v>33</v>
      </c>
      <c r="H235" t="s">
        <v>41</v>
      </c>
      <c r="I235" t="s">
        <v>41</v>
      </c>
      <c r="J235" t="s">
        <v>23</v>
      </c>
      <c r="K235" t="s">
        <v>33</v>
      </c>
      <c r="L235" t="s">
        <v>24</v>
      </c>
      <c r="M235">
        <v>29</v>
      </c>
      <c r="N235" t="s">
        <v>25</v>
      </c>
      <c r="O235" t="s">
        <v>26</v>
      </c>
      <c r="P235" t="s">
        <v>27</v>
      </c>
      <c r="Q235" t="s">
        <v>37</v>
      </c>
    </row>
    <row r="236" spans="1:17" x14ac:dyDescent="0.3">
      <c r="A236">
        <v>501258</v>
      </c>
      <c r="B236" t="s">
        <v>327</v>
      </c>
      <c r="C236" t="s">
        <v>331</v>
      </c>
      <c r="D236" t="s">
        <v>209</v>
      </c>
      <c r="E236" t="s">
        <v>329</v>
      </c>
      <c r="F236">
        <v>0</v>
      </c>
      <c r="G236" t="s">
        <v>290</v>
      </c>
      <c r="H236" t="s">
        <v>42</v>
      </c>
      <c r="I236" t="s">
        <v>290</v>
      </c>
      <c r="J236" t="s">
        <v>23</v>
      </c>
      <c r="K236" t="s">
        <v>290</v>
      </c>
      <c r="L236" t="s">
        <v>43</v>
      </c>
      <c r="M236">
        <v>8</v>
      </c>
      <c r="N236" t="s">
        <v>25</v>
      </c>
      <c r="O236" t="s">
        <v>26</v>
      </c>
      <c r="P236" t="s">
        <v>286</v>
      </c>
      <c r="Q236" t="s">
        <v>305</v>
      </c>
    </row>
    <row r="237" spans="1:17" x14ac:dyDescent="0.3">
      <c r="A237">
        <v>501259</v>
      </c>
      <c r="B237" t="s">
        <v>46</v>
      </c>
      <c r="C237" t="s">
        <v>332</v>
      </c>
      <c r="D237" t="s">
        <v>111</v>
      </c>
      <c r="E237" t="s">
        <v>83</v>
      </c>
      <c r="F237">
        <v>0</v>
      </c>
      <c r="G237" t="s">
        <v>292</v>
      </c>
      <c r="H237" t="s">
        <v>56</v>
      </c>
      <c r="I237" t="s">
        <v>56</v>
      </c>
      <c r="J237" t="s">
        <v>23</v>
      </c>
      <c r="K237" t="s">
        <v>56</v>
      </c>
      <c r="L237" t="s">
        <v>43</v>
      </c>
      <c r="M237">
        <v>6</v>
      </c>
      <c r="N237" t="s">
        <v>25</v>
      </c>
      <c r="O237" t="s">
        <v>26</v>
      </c>
      <c r="P237" t="s">
        <v>183</v>
      </c>
      <c r="Q237" t="s">
        <v>181</v>
      </c>
    </row>
    <row r="238" spans="1:17" x14ac:dyDescent="0.3">
      <c r="A238">
        <v>501260</v>
      </c>
      <c r="B238" t="s">
        <v>271</v>
      </c>
      <c r="C238" t="s">
        <v>333</v>
      </c>
      <c r="D238" t="s">
        <v>82</v>
      </c>
      <c r="E238" t="s">
        <v>273</v>
      </c>
      <c r="F238">
        <v>0</v>
      </c>
      <c r="G238" t="s">
        <v>33</v>
      </c>
      <c r="H238" t="s">
        <v>21</v>
      </c>
      <c r="I238" t="s">
        <v>33</v>
      </c>
      <c r="J238" t="s">
        <v>35</v>
      </c>
      <c r="K238" t="s">
        <v>33</v>
      </c>
      <c r="L238" t="s">
        <v>24</v>
      </c>
      <c r="M238">
        <v>111</v>
      </c>
      <c r="N238" t="s">
        <v>25</v>
      </c>
      <c r="O238" t="s">
        <v>26</v>
      </c>
      <c r="P238" t="s">
        <v>27</v>
      </c>
      <c r="Q238" t="s">
        <v>69</v>
      </c>
    </row>
    <row r="239" spans="1:17" x14ac:dyDescent="0.3">
      <c r="A239">
        <v>501261</v>
      </c>
      <c r="B239" t="s">
        <v>70</v>
      </c>
      <c r="C239" t="s">
        <v>334</v>
      </c>
      <c r="D239" t="s">
        <v>335</v>
      </c>
      <c r="E239" t="s">
        <v>73</v>
      </c>
      <c r="F239">
        <v>0</v>
      </c>
      <c r="G239" t="s">
        <v>34</v>
      </c>
      <c r="H239" t="s">
        <v>290</v>
      </c>
      <c r="I239" t="s">
        <v>34</v>
      </c>
      <c r="J239" t="s">
        <v>35</v>
      </c>
      <c r="K239" t="s">
        <v>34</v>
      </c>
      <c r="L239" t="s">
        <v>24</v>
      </c>
      <c r="M239">
        <v>11</v>
      </c>
      <c r="N239" t="s">
        <v>25</v>
      </c>
      <c r="O239" t="s">
        <v>26</v>
      </c>
      <c r="P239" t="s">
        <v>165</v>
      </c>
      <c r="Q239" t="s">
        <v>28</v>
      </c>
    </row>
    <row r="240" spans="1:17" x14ac:dyDescent="0.3">
      <c r="A240">
        <v>501262</v>
      </c>
      <c r="B240" t="s">
        <v>46</v>
      </c>
      <c r="C240" t="s">
        <v>336</v>
      </c>
      <c r="D240" t="s">
        <v>75</v>
      </c>
      <c r="E240" t="s">
        <v>83</v>
      </c>
      <c r="F240">
        <v>0</v>
      </c>
      <c r="G240" t="s">
        <v>292</v>
      </c>
      <c r="H240" t="s">
        <v>22</v>
      </c>
      <c r="I240" t="s">
        <v>22</v>
      </c>
      <c r="J240" t="s">
        <v>23</v>
      </c>
      <c r="K240" t="s">
        <v>22</v>
      </c>
      <c r="L240" t="s">
        <v>43</v>
      </c>
      <c r="M240">
        <v>7</v>
      </c>
      <c r="N240" t="s">
        <v>25</v>
      </c>
      <c r="O240" t="s">
        <v>26</v>
      </c>
      <c r="P240" t="s">
        <v>183</v>
      </c>
      <c r="Q240" t="s">
        <v>149</v>
      </c>
    </row>
    <row r="241" spans="1:17" x14ac:dyDescent="0.3">
      <c r="A241">
        <v>501263</v>
      </c>
      <c r="B241" t="s">
        <v>46</v>
      </c>
      <c r="C241" t="s">
        <v>337</v>
      </c>
      <c r="D241" t="s">
        <v>61</v>
      </c>
      <c r="E241" t="s">
        <v>49</v>
      </c>
      <c r="F241">
        <v>0</v>
      </c>
      <c r="G241" t="s">
        <v>50</v>
      </c>
      <c r="H241" t="s">
        <v>42</v>
      </c>
      <c r="I241" t="s">
        <v>50</v>
      </c>
      <c r="J241" t="s">
        <v>35</v>
      </c>
      <c r="K241" t="s">
        <v>42</v>
      </c>
      <c r="L241" t="s">
        <v>43</v>
      </c>
      <c r="M241">
        <v>10</v>
      </c>
      <c r="N241" t="s">
        <v>25</v>
      </c>
      <c r="O241" t="s">
        <v>26</v>
      </c>
      <c r="P241" t="s">
        <v>28</v>
      </c>
      <c r="Q241" t="s">
        <v>286</v>
      </c>
    </row>
    <row r="242" spans="1:17" x14ac:dyDescent="0.3">
      <c r="A242">
        <v>501264</v>
      </c>
      <c r="B242" t="s">
        <v>271</v>
      </c>
      <c r="C242" t="s">
        <v>338</v>
      </c>
      <c r="D242" t="s">
        <v>339</v>
      </c>
      <c r="E242" t="s">
        <v>273</v>
      </c>
      <c r="F242">
        <v>0</v>
      </c>
      <c r="G242" t="s">
        <v>33</v>
      </c>
      <c r="H242" t="s">
        <v>56</v>
      </c>
      <c r="I242" t="s">
        <v>33</v>
      </c>
      <c r="J242" t="s">
        <v>23</v>
      </c>
      <c r="K242" t="s">
        <v>56</v>
      </c>
      <c r="L242" t="s">
        <v>24</v>
      </c>
      <c r="M242">
        <v>82</v>
      </c>
      <c r="N242" t="s">
        <v>25</v>
      </c>
      <c r="O242" t="s">
        <v>26</v>
      </c>
      <c r="P242" t="s">
        <v>27</v>
      </c>
      <c r="Q242" t="s">
        <v>69</v>
      </c>
    </row>
    <row r="243" spans="1:17" x14ac:dyDescent="0.3">
      <c r="A243">
        <v>501265</v>
      </c>
      <c r="B243" t="s">
        <v>38</v>
      </c>
      <c r="C243" t="s">
        <v>338</v>
      </c>
      <c r="D243" t="s">
        <v>26</v>
      </c>
      <c r="E243" t="s">
        <v>40</v>
      </c>
      <c r="F243">
        <v>0</v>
      </c>
      <c r="G243" t="s">
        <v>41</v>
      </c>
      <c r="H243" t="s">
        <v>292</v>
      </c>
      <c r="I243" t="s">
        <v>41</v>
      </c>
      <c r="J243" t="s">
        <v>35</v>
      </c>
      <c r="K243" t="s">
        <v>26</v>
      </c>
      <c r="L243" t="s">
        <v>26</v>
      </c>
      <c r="M243" t="s">
        <v>26</v>
      </c>
      <c r="N243" t="s">
        <v>26</v>
      </c>
      <c r="O243" t="s">
        <v>26</v>
      </c>
      <c r="P243" t="s">
        <v>188</v>
      </c>
      <c r="Q243" t="s">
        <v>305</v>
      </c>
    </row>
    <row r="244" spans="1:17" x14ac:dyDescent="0.3">
      <c r="A244">
        <v>501266</v>
      </c>
      <c r="B244" t="s">
        <v>17</v>
      </c>
      <c r="C244" t="s">
        <v>340</v>
      </c>
      <c r="D244" t="s">
        <v>152</v>
      </c>
      <c r="E244" t="s">
        <v>20</v>
      </c>
      <c r="F244">
        <v>0</v>
      </c>
      <c r="G244" t="s">
        <v>21</v>
      </c>
      <c r="H244" t="s">
        <v>34</v>
      </c>
      <c r="I244" t="s">
        <v>21</v>
      </c>
      <c r="J244" t="s">
        <v>23</v>
      </c>
      <c r="K244" t="s">
        <v>21</v>
      </c>
      <c r="L244" t="s">
        <v>43</v>
      </c>
      <c r="M244">
        <v>8</v>
      </c>
      <c r="N244" t="s">
        <v>25</v>
      </c>
      <c r="O244" t="s">
        <v>26</v>
      </c>
      <c r="P244" t="s">
        <v>58</v>
      </c>
      <c r="Q244" t="s">
        <v>28</v>
      </c>
    </row>
    <row r="245" spans="1:17" x14ac:dyDescent="0.3">
      <c r="A245">
        <v>501267</v>
      </c>
      <c r="B245" t="s">
        <v>53</v>
      </c>
      <c r="C245" t="s">
        <v>340</v>
      </c>
      <c r="D245" t="s">
        <v>341</v>
      </c>
      <c r="E245" t="s">
        <v>55</v>
      </c>
      <c r="F245">
        <v>0</v>
      </c>
      <c r="G245" t="s">
        <v>22</v>
      </c>
      <c r="H245" t="s">
        <v>50</v>
      </c>
      <c r="I245" t="s">
        <v>50</v>
      </c>
      <c r="J245" t="s">
        <v>23</v>
      </c>
      <c r="K245" t="s">
        <v>50</v>
      </c>
      <c r="L245" t="s">
        <v>43</v>
      </c>
      <c r="M245">
        <v>5</v>
      </c>
      <c r="N245" t="s">
        <v>25</v>
      </c>
      <c r="O245" t="s">
        <v>26</v>
      </c>
      <c r="P245" t="s">
        <v>181</v>
      </c>
      <c r="Q245" t="s">
        <v>149</v>
      </c>
    </row>
    <row r="246" spans="1:17" x14ac:dyDescent="0.3">
      <c r="A246">
        <v>501268</v>
      </c>
      <c r="B246" t="s">
        <v>46</v>
      </c>
      <c r="C246" t="s">
        <v>342</v>
      </c>
      <c r="D246" t="s">
        <v>133</v>
      </c>
      <c r="E246" t="s">
        <v>49</v>
      </c>
      <c r="F246">
        <v>0</v>
      </c>
      <c r="G246" t="s">
        <v>21</v>
      </c>
      <c r="H246" t="s">
        <v>34</v>
      </c>
      <c r="I246" t="s">
        <v>34</v>
      </c>
      <c r="J246" t="s">
        <v>23</v>
      </c>
      <c r="K246" t="s">
        <v>34</v>
      </c>
      <c r="L246" t="s">
        <v>43</v>
      </c>
      <c r="M246">
        <v>6</v>
      </c>
      <c r="N246" t="s">
        <v>25</v>
      </c>
      <c r="O246" t="s">
        <v>26</v>
      </c>
      <c r="P246" t="s">
        <v>27</v>
      </c>
      <c r="Q246" t="s">
        <v>149</v>
      </c>
    </row>
    <row r="247" spans="1:17" x14ac:dyDescent="0.3">
      <c r="A247">
        <v>501269</v>
      </c>
      <c r="B247" t="s">
        <v>46</v>
      </c>
      <c r="C247" t="s">
        <v>343</v>
      </c>
      <c r="D247" t="s">
        <v>307</v>
      </c>
      <c r="E247" t="s">
        <v>49</v>
      </c>
      <c r="F247">
        <v>0</v>
      </c>
      <c r="G247" t="s">
        <v>50</v>
      </c>
      <c r="H247" t="s">
        <v>22</v>
      </c>
      <c r="I247" t="s">
        <v>50</v>
      </c>
      <c r="J247" t="s">
        <v>23</v>
      </c>
      <c r="K247" t="s">
        <v>50</v>
      </c>
      <c r="L247" t="s">
        <v>43</v>
      </c>
      <c r="M247">
        <v>4</v>
      </c>
      <c r="N247" t="s">
        <v>25</v>
      </c>
      <c r="O247" t="s">
        <v>26</v>
      </c>
      <c r="P247" t="s">
        <v>27</v>
      </c>
      <c r="Q247" t="s">
        <v>149</v>
      </c>
    </row>
    <row r="248" spans="1:17" x14ac:dyDescent="0.3">
      <c r="A248">
        <v>501270</v>
      </c>
      <c r="B248" t="s">
        <v>70</v>
      </c>
      <c r="C248" t="s">
        <v>344</v>
      </c>
      <c r="D248" t="s">
        <v>152</v>
      </c>
      <c r="E248" t="s">
        <v>73</v>
      </c>
      <c r="F248">
        <v>0</v>
      </c>
      <c r="G248" t="s">
        <v>21</v>
      </c>
      <c r="H248" t="s">
        <v>50</v>
      </c>
      <c r="I248" t="s">
        <v>50</v>
      </c>
      <c r="J248" t="s">
        <v>23</v>
      </c>
      <c r="K248" t="s">
        <v>21</v>
      </c>
      <c r="L248" t="s">
        <v>24</v>
      </c>
      <c r="M248">
        <v>43</v>
      </c>
      <c r="N248" t="s">
        <v>25</v>
      </c>
      <c r="O248" t="s">
        <v>26</v>
      </c>
      <c r="P248" t="s">
        <v>27</v>
      </c>
      <c r="Q248" t="s">
        <v>149</v>
      </c>
    </row>
    <row r="249" spans="1:17" x14ac:dyDescent="0.3">
      <c r="A249">
        <v>501271</v>
      </c>
      <c r="B249" t="s">
        <v>70</v>
      </c>
      <c r="C249" t="s">
        <v>345</v>
      </c>
      <c r="D249" t="s">
        <v>255</v>
      </c>
      <c r="E249" t="s">
        <v>73</v>
      </c>
      <c r="F249">
        <v>0</v>
      </c>
      <c r="G249" t="s">
        <v>34</v>
      </c>
      <c r="H249" t="s">
        <v>21</v>
      </c>
      <c r="I249" t="s">
        <v>34</v>
      </c>
      <c r="J249" t="s">
        <v>35</v>
      </c>
      <c r="K249" t="s">
        <v>34</v>
      </c>
      <c r="L249" t="s">
        <v>24</v>
      </c>
      <c r="M249">
        <v>58</v>
      </c>
      <c r="N249" t="s">
        <v>25</v>
      </c>
      <c r="O249" t="s">
        <v>26</v>
      </c>
      <c r="P249" t="s">
        <v>27</v>
      </c>
      <c r="Q249" t="s">
        <v>149</v>
      </c>
    </row>
    <row r="250" spans="1:17" x14ac:dyDescent="0.3">
      <c r="A250">
        <v>548306</v>
      </c>
      <c r="B250" t="s">
        <v>70</v>
      </c>
      <c r="C250" s="1">
        <v>41003</v>
      </c>
      <c r="D250" t="s">
        <v>346</v>
      </c>
      <c r="E250" t="s">
        <v>73</v>
      </c>
      <c r="F250">
        <v>0</v>
      </c>
      <c r="G250" t="s">
        <v>34</v>
      </c>
      <c r="H250" t="s">
        <v>50</v>
      </c>
      <c r="I250" t="s">
        <v>50</v>
      </c>
      <c r="J250" t="s">
        <v>23</v>
      </c>
      <c r="K250" t="s">
        <v>50</v>
      </c>
      <c r="L250" t="s">
        <v>43</v>
      </c>
      <c r="M250">
        <v>8</v>
      </c>
      <c r="N250" t="s">
        <v>25</v>
      </c>
      <c r="O250" t="s">
        <v>26</v>
      </c>
      <c r="P250" t="s">
        <v>347</v>
      </c>
      <c r="Q250" t="s">
        <v>149</v>
      </c>
    </row>
    <row r="251" spans="1:17" x14ac:dyDescent="0.3">
      <c r="A251">
        <v>548307</v>
      </c>
      <c r="B251" t="s">
        <v>53</v>
      </c>
      <c r="C251" s="1">
        <v>41033</v>
      </c>
      <c r="D251" t="s">
        <v>97</v>
      </c>
      <c r="E251" t="s">
        <v>55</v>
      </c>
      <c r="F251">
        <v>0</v>
      </c>
      <c r="G251" t="s">
        <v>22</v>
      </c>
      <c r="H251" t="s">
        <v>41</v>
      </c>
      <c r="I251" t="s">
        <v>41</v>
      </c>
      <c r="J251" t="s">
        <v>23</v>
      </c>
      <c r="K251" t="s">
        <v>41</v>
      </c>
      <c r="L251" t="s">
        <v>43</v>
      </c>
      <c r="M251">
        <v>8</v>
      </c>
      <c r="N251" t="s">
        <v>25</v>
      </c>
      <c r="O251" t="s">
        <v>26</v>
      </c>
      <c r="P251" t="s">
        <v>168</v>
      </c>
      <c r="Q251" t="s">
        <v>165</v>
      </c>
    </row>
    <row r="252" spans="1:17" x14ac:dyDescent="0.3">
      <c r="A252">
        <v>548308</v>
      </c>
      <c r="B252" t="s">
        <v>46</v>
      </c>
      <c r="C252" s="1">
        <v>41064</v>
      </c>
      <c r="D252" t="s">
        <v>348</v>
      </c>
      <c r="E252" t="s">
        <v>49</v>
      </c>
      <c r="F252">
        <v>0</v>
      </c>
      <c r="G252" t="s">
        <v>50</v>
      </c>
      <c r="H252" t="s">
        <v>292</v>
      </c>
      <c r="I252" t="s">
        <v>50</v>
      </c>
      <c r="J252" t="s">
        <v>23</v>
      </c>
      <c r="K252" t="s">
        <v>292</v>
      </c>
      <c r="L252" t="s">
        <v>24</v>
      </c>
      <c r="M252">
        <v>28</v>
      </c>
      <c r="N252" t="s">
        <v>25</v>
      </c>
      <c r="O252" t="s">
        <v>26</v>
      </c>
      <c r="P252" t="s">
        <v>349</v>
      </c>
      <c r="Q252" t="s">
        <v>149</v>
      </c>
    </row>
    <row r="253" spans="1:17" x14ac:dyDescent="0.3">
      <c r="A253">
        <v>548309</v>
      </c>
      <c r="B253" t="s">
        <v>59</v>
      </c>
      <c r="C253" s="1">
        <v>41064</v>
      </c>
      <c r="D253" t="s">
        <v>350</v>
      </c>
      <c r="E253" t="s">
        <v>62</v>
      </c>
      <c r="F253">
        <v>0</v>
      </c>
      <c r="G253" t="s">
        <v>42</v>
      </c>
      <c r="H253" t="s">
        <v>33</v>
      </c>
      <c r="I253" t="s">
        <v>33</v>
      </c>
      <c r="J253" t="s">
        <v>23</v>
      </c>
      <c r="K253" t="s">
        <v>42</v>
      </c>
      <c r="L253" t="s">
        <v>24</v>
      </c>
      <c r="M253">
        <v>31</v>
      </c>
      <c r="N253" t="s">
        <v>25</v>
      </c>
      <c r="O253" t="s">
        <v>26</v>
      </c>
      <c r="P253" t="s">
        <v>57</v>
      </c>
      <c r="Q253" t="s">
        <v>181</v>
      </c>
    </row>
    <row r="254" spans="1:17" x14ac:dyDescent="0.3">
      <c r="A254">
        <v>548310</v>
      </c>
      <c r="B254" t="s">
        <v>17</v>
      </c>
      <c r="C254" s="1">
        <v>41094</v>
      </c>
      <c r="D254" t="s">
        <v>157</v>
      </c>
      <c r="E254" t="s">
        <v>20</v>
      </c>
      <c r="F254">
        <v>0</v>
      </c>
      <c r="G254" t="s">
        <v>21</v>
      </c>
      <c r="H254" t="s">
        <v>41</v>
      </c>
      <c r="I254" t="s">
        <v>41</v>
      </c>
      <c r="J254" t="s">
        <v>23</v>
      </c>
      <c r="K254" t="s">
        <v>21</v>
      </c>
      <c r="L254" t="s">
        <v>24</v>
      </c>
      <c r="M254">
        <v>20</v>
      </c>
      <c r="N254" t="s">
        <v>25</v>
      </c>
      <c r="O254" t="s">
        <v>26</v>
      </c>
      <c r="P254" t="s">
        <v>168</v>
      </c>
      <c r="Q254" t="s">
        <v>183</v>
      </c>
    </row>
    <row r="255" spans="1:17" x14ac:dyDescent="0.3">
      <c r="A255">
        <v>548311</v>
      </c>
      <c r="B255" t="s">
        <v>351</v>
      </c>
      <c r="C255" s="1">
        <v>41094</v>
      </c>
      <c r="D255" t="s">
        <v>352</v>
      </c>
      <c r="E255" t="s">
        <v>353</v>
      </c>
      <c r="F255">
        <v>0</v>
      </c>
      <c r="G255" t="s">
        <v>56</v>
      </c>
      <c r="H255" t="s">
        <v>34</v>
      </c>
      <c r="I255" t="s">
        <v>56</v>
      </c>
      <c r="J255" t="s">
        <v>23</v>
      </c>
      <c r="K255" t="s">
        <v>34</v>
      </c>
      <c r="L255" t="s">
        <v>24</v>
      </c>
      <c r="M255">
        <v>74</v>
      </c>
      <c r="N255" t="s">
        <v>25</v>
      </c>
      <c r="O255" t="s">
        <v>26</v>
      </c>
      <c r="P255" t="s">
        <v>347</v>
      </c>
      <c r="Q255" t="s">
        <v>165</v>
      </c>
    </row>
    <row r="256" spans="1:17" x14ac:dyDescent="0.3">
      <c r="A256">
        <v>548312</v>
      </c>
      <c r="B256" t="s">
        <v>59</v>
      </c>
      <c r="C256" s="1">
        <v>41125</v>
      </c>
      <c r="D256" t="s">
        <v>209</v>
      </c>
      <c r="E256" t="s">
        <v>62</v>
      </c>
      <c r="F256">
        <v>0</v>
      </c>
      <c r="G256" t="s">
        <v>42</v>
      </c>
      <c r="H256" t="s">
        <v>22</v>
      </c>
      <c r="I256" t="s">
        <v>22</v>
      </c>
      <c r="J256" t="s">
        <v>23</v>
      </c>
      <c r="K256" t="s">
        <v>42</v>
      </c>
      <c r="L256" t="s">
        <v>24</v>
      </c>
      <c r="M256">
        <v>22</v>
      </c>
      <c r="N256" t="s">
        <v>25</v>
      </c>
      <c r="O256" t="s">
        <v>26</v>
      </c>
      <c r="P256" t="s">
        <v>57</v>
      </c>
      <c r="Q256" t="s">
        <v>354</v>
      </c>
    </row>
    <row r="257" spans="1:17" x14ac:dyDescent="0.3">
      <c r="A257">
        <v>548313</v>
      </c>
      <c r="B257" t="s">
        <v>355</v>
      </c>
      <c r="C257" s="1">
        <v>41125</v>
      </c>
      <c r="D257" t="s">
        <v>356</v>
      </c>
      <c r="E257" t="s">
        <v>357</v>
      </c>
      <c r="F257">
        <v>0</v>
      </c>
      <c r="G257" t="s">
        <v>292</v>
      </c>
      <c r="H257" t="s">
        <v>33</v>
      </c>
      <c r="I257" t="s">
        <v>292</v>
      </c>
      <c r="J257" t="s">
        <v>35</v>
      </c>
      <c r="K257" t="s">
        <v>292</v>
      </c>
      <c r="L257" t="s">
        <v>24</v>
      </c>
      <c r="M257">
        <v>22</v>
      </c>
      <c r="N257" t="s">
        <v>25</v>
      </c>
      <c r="O257" t="s">
        <v>26</v>
      </c>
      <c r="P257" t="s">
        <v>228</v>
      </c>
      <c r="Q257" t="s">
        <v>149</v>
      </c>
    </row>
    <row r="258" spans="1:17" x14ac:dyDescent="0.3">
      <c r="A258">
        <v>548314</v>
      </c>
      <c r="B258" t="s">
        <v>351</v>
      </c>
      <c r="C258" s="1">
        <v>41156</v>
      </c>
      <c r="D258" t="s">
        <v>190</v>
      </c>
      <c r="E258" t="s">
        <v>353</v>
      </c>
      <c r="F258">
        <v>0</v>
      </c>
      <c r="G258" t="s">
        <v>56</v>
      </c>
      <c r="H258" t="s">
        <v>50</v>
      </c>
      <c r="I258" t="s">
        <v>56</v>
      </c>
      <c r="J258" t="s">
        <v>35</v>
      </c>
      <c r="K258" t="s">
        <v>50</v>
      </c>
      <c r="L258" t="s">
        <v>43</v>
      </c>
      <c r="M258">
        <v>5</v>
      </c>
      <c r="N258" t="s">
        <v>25</v>
      </c>
      <c r="O258" t="s">
        <v>26</v>
      </c>
      <c r="P258" t="s">
        <v>349</v>
      </c>
      <c r="Q258" t="s">
        <v>347</v>
      </c>
    </row>
    <row r="259" spans="1:17" x14ac:dyDescent="0.3">
      <c r="A259">
        <v>548315</v>
      </c>
      <c r="B259" t="s">
        <v>17</v>
      </c>
      <c r="C259" s="1">
        <v>41186</v>
      </c>
      <c r="D259" t="s">
        <v>105</v>
      </c>
      <c r="E259" t="s">
        <v>20</v>
      </c>
      <c r="F259">
        <v>0</v>
      </c>
      <c r="G259" t="s">
        <v>21</v>
      </c>
      <c r="H259" t="s">
        <v>22</v>
      </c>
      <c r="I259" t="s">
        <v>21</v>
      </c>
      <c r="J259" t="s">
        <v>23</v>
      </c>
      <c r="K259" t="s">
        <v>22</v>
      </c>
      <c r="L259" t="s">
        <v>24</v>
      </c>
      <c r="M259">
        <v>42</v>
      </c>
      <c r="N259" t="s">
        <v>25</v>
      </c>
      <c r="O259" t="s">
        <v>26</v>
      </c>
      <c r="P259" t="s">
        <v>183</v>
      </c>
      <c r="Q259" t="s">
        <v>305</v>
      </c>
    </row>
    <row r="260" spans="1:17" x14ac:dyDescent="0.3">
      <c r="A260">
        <v>548316</v>
      </c>
      <c r="B260" t="s">
        <v>38</v>
      </c>
      <c r="C260" s="1">
        <v>41186</v>
      </c>
      <c r="D260" t="s">
        <v>358</v>
      </c>
      <c r="E260" t="s">
        <v>40</v>
      </c>
      <c r="F260">
        <v>0</v>
      </c>
      <c r="G260" t="s">
        <v>41</v>
      </c>
      <c r="H260" t="s">
        <v>34</v>
      </c>
      <c r="I260" t="s">
        <v>41</v>
      </c>
      <c r="J260" t="s">
        <v>23</v>
      </c>
      <c r="K260" t="s">
        <v>41</v>
      </c>
      <c r="L260" t="s">
        <v>43</v>
      </c>
      <c r="M260">
        <v>8</v>
      </c>
      <c r="N260" t="s">
        <v>25</v>
      </c>
      <c r="O260" t="s">
        <v>26</v>
      </c>
      <c r="P260" t="s">
        <v>27</v>
      </c>
      <c r="Q260" t="s">
        <v>181</v>
      </c>
    </row>
    <row r="261" spans="1:17" x14ac:dyDescent="0.3">
      <c r="A261">
        <v>548317</v>
      </c>
      <c r="B261" t="s">
        <v>46</v>
      </c>
      <c r="C261" s="1">
        <v>41217</v>
      </c>
      <c r="D261" t="s">
        <v>267</v>
      </c>
      <c r="E261" t="s">
        <v>49</v>
      </c>
      <c r="F261">
        <v>0</v>
      </c>
      <c r="G261" t="s">
        <v>50</v>
      </c>
      <c r="H261" t="s">
        <v>42</v>
      </c>
      <c r="I261" t="s">
        <v>42</v>
      </c>
      <c r="J261" t="s">
        <v>23</v>
      </c>
      <c r="K261" t="s">
        <v>50</v>
      </c>
      <c r="L261" t="s">
        <v>24</v>
      </c>
      <c r="M261">
        <v>27</v>
      </c>
      <c r="N261" t="s">
        <v>25</v>
      </c>
      <c r="O261" t="s">
        <v>26</v>
      </c>
      <c r="P261" t="s">
        <v>44</v>
      </c>
      <c r="Q261" t="s">
        <v>359</v>
      </c>
    </row>
    <row r="262" spans="1:17" x14ac:dyDescent="0.3">
      <c r="A262">
        <v>548318</v>
      </c>
      <c r="B262" t="s">
        <v>70</v>
      </c>
      <c r="C262" s="1">
        <v>41247</v>
      </c>
      <c r="D262" t="s">
        <v>360</v>
      </c>
      <c r="E262" t="s">
        <v>73</v>
      </c>
      <c r="F262">
        <v>0</v>
      </c>
      <c r="G262" t="s">
        <v>34</v>
      </c>
      <c r="H262" t="s">
        <v>21</v>
      </c>
      <c r="I262" t="s">
        <v>21</v>
      </c>
      <c r="J262" t="s">
        <v>35</v>
      </c>
      <c r="K262" t="s">
        <v>34</v>
      </c>
      <c r="L262" t="s">
        <v>43</v>
      </c>
      <c r="M262">
        <v>5</v>
      </c>
      <c r="N262" t="s">
        <v>25</v>
      </c>
      <c r="O262" t="s">
        <v>26</v>
      </c>
      <c r="P262" t="s">
        <v>165</v>
      </c>
      <c r="Q262" t="s">
        <v>305</v>
      </c>
    </row>
    <row r="263" spans="1:17" x14ac:dyDescent="0.3">
      <c r="A263">
        <v>548319</v>
      </c>
      <c r="B263" t="s">
        <v>29</v>
      </c>
      <c r="C263" s="1">
        <v>41247</v>
      </c>
      <c r="D263" t="s">
        <v>361</v>
      </c>
      <c r="E263" t="s">
        <v>32</v>
      </c>
      <c r="F263">
        <v>0</v>
      </c>
      <c r="G263" t="s">
        <v>33</v>
      </c>
      <c r="H263" t="s">
        <v>292</v>
      </c>
      <c r="I263" t="s">
        <v>33</v>
      </c>
      <c r="J263" t="s">
        <v>23</v>
      </c>
      <c r="K263" t="s">
        <v>33</v>
      </c>
      <c r="L263" t="s">
        <v>43</v>
      </c>
      <c r="M263">
        <v>7</v>
      </c>
      <c r="N263" t="s">
        <v>25</v>
      </c>
      <c r="O263" t="s">
        <v>26</v>
      </c>
      <c r="P263" t="s">
        <v>354</v>
      </c>
      <c r="Q263" t="s">
        <v>181</v>
      </c>
    </row>
    <row r="264" spans="1:17" x14ac:dyDescent="0.3">
      <c r="A264">
        <v>548320</v>
      </c>
      <c r="B264" t="s">
        <v>53</v>
      </c>
      <c r="C264" t="s">
        <v>362</v>
      </c>
      <c r="D264" t="s">
        <v>363</v>
      </c>
      <c r="E264" t="s">
        <v>55</v>
      </c>
      <c r="F264">
        <v>0</v>
      </c>
      <c r="G264" t="s">
        <v>22</v>
      </c>
      <c r="H264" t="s">
        <v>42</v>
      </c>
      <c r="I264" t="s">
        <v>42</v>
      </c>
      <c r="J264" t="s">
        <v>35</v>
      </c>
      <c r="K264" t="s">
        <v>22</v>
      </c>
      <c r="L264" t="s">
        <v>43</v>
      </c>
      <c r="M264">
        <v>5</v>
      </c>
      <c r="N264" t="s">
        <v>25</v>
      </c>
      <c r="O264" t="s">
        <v>26</v>
      </c>
      <c r="P264" t="s">
        <v>27</v>
      </c>
      <c r="Q264" t="s">
        <v>168</v>
      </c>
    </row>
    <row r="265" spans="1:17" x14ac:dyDescent="0.3">
      <c r="A265">
        <v>548321</v>
      </c>
      <c r="B265" t="s">
        <v>38</v>
      </c>
      <c r="C265" t="s">
        <v>364</v>
      </c>
      <c r="D265" t="s">
        <v>256</v>
      </c>
      <c r="E265" t="s">
        <v>40</v>
      </c>
      <c r="F265">
        <v>0</v>
      </c>
      <c r="G265" t="s">
        <v>41</v>
      </c>
      <c r="H265" t="s">
        <v>56</v>
      </c>
      <c r="I265" t="s">
        <v>56</v>
      </c>
      <c r="J265" t="s">
        <v>35</v>
      </c>
      <c r="K265" t="s">
        <v>41</v>
      </c>
      <c r="L265" t="s">
        <v>43</v>
      </c>
      <c r="M265">
        <v>5</v>
      </c>
      <c r="N265" t="s">
        <v>25</v>
      </c>
      <c r="O265" t="s">
        <v>26</v>
      </c>
      <c r="P265" t="s">
        <v>57</v>
      </c>
      <c r="Q265" t="s">
        <v>181</v>
      </c>
    </row>
    <row r="266" spans="1:17" x14ac:dyDescent="0.3">
      <c r="A266">
        <v>548322</v>
      </c>
      <c r="B266" t="s">
        <v>355</v>
      </c>
      <c r="C266" t="s">
        <v>365</v>
      </c>
      <c r="D266" t="s">
        <v>366</v>
      </c>
      <c r="E266" t="s">
        <v>357</v>
      </c>
      <c r="F266">
        <v>0</v>
      </c>
      <c r="G266" t="s">
        <v>292</v>
      </c>
      <c r="H266" t="s">
        <v>34</v>
      </c>
      <c r="I266" t="s">
        <v>34</v>
      </c>
      <c r="J266" t="s">
        <v>35</v>
      </c>
      <c r="K266" t="s">
        <v>292</v>
      </c>
      <c r="L266" t="s">
        <v>43</v>
      </c>
      <c r="M266">
        <v>7</v>
      </c>
      <c r="N266" t="s">
        <v>25</v>
      </c>
      <c r="O266" t="s">
        <v>26</v>
      </c>
      <c r="P266" t="s">
        <v>44</v>
      </c>
      <c r="Q266" t="s">
        <v>359</v>
      </c>
    </row>
    <row r="267" spans="1:17" x14ac:dyDescent="0.3">
      <c r="A267">
        <v>548323</v>
      </c>
      <c r="B267" t="s">
        <v>53</v>
      </c>
      <c r="C267" t="s">
        <v>367</v>
      </c>
      <c r="D267" t="s">
        <v>368</v>
      </c>
      <c r="E267" t="s">
        <v>55</v>
      </c>
      <c r="F267">
        <v>0</v>
      </c>
      <c r="G267" t="s">
        <v>22</v>
      </c>
      <c r="H267" t="s">
        <v>33</v>
      </c>
      <c r="I267" t="s">
        <v>22</v>
      </c>
      <c r="J267" t="s">
        <v>23</v>
      </c>
      <c r="K267" t="s">
        <v>33</v>
      </c>
      <c r="L267" t="s">
        <v>24</v>
      </c>
      <c r="M267">
        <v>2</v>
      </c>
      <c r="N267" t="s">
        <v>25</v>
      </c>
      <c r="O267" t="s">
        <v>26</v>
      </c>
      <c r="P267" t="s">
        <v>27</v>
      </c>
      <c r="Q267" t="s">
        <v>168</v>
      </c>
    </row>
    <row r="268" spans="1:17" x14ac:dyDescent="0.3">
      <c r="A268">
        <v>548324</v>
      </c>
      <c r="B268" t="s">
        <v>17</v>
      </c>
      <c r="C268" t="s">
        <v>367</v>
      </c>
      <c r="D268" t="s">
        <v>350</v>
      </c>
      <c r="E268" t="s">
        <v>20</v>
      </c>
      <c r="F268">
        <v>0</v>
      </c>
      <c r="G268" t="s">
        <v>21</v>
      </c>
      <c r="H268" t="s">
        <v>42</v>
      </c>
      <c r="I268" t="s">
        <v>42</v>
      </c>
      <c r="J268" t="s">
        <v>35</v>
      </c>
      <c r="K268" t="s">
        <v>42</v>
      </c>
      <c r="L268" t="s">
        <v>24</v>
      </c>
      <c r="M268">
        <v>59</v>
      </c>
      <c r="N268" t="s">
        <v>25</v>
      </c>
      <c r="O268" t="s">
        <v>26</v>
      </c>
      <c r="P268" t="s">
        <v>347</v>
      </c>
      <c r="Q268" t="s">
        <v>305</v>
      </c>
    </row>
    <row r="269" spans="1:17" x14ac:dyDescent="0.3">
      <c r="A269">
        <v>548325</v>
      </c>
      <c r="B269" t="s">
        <v>46</v>
      </c>
      <c r="C269" t="s">
        <v>369</v>
      </c>
      <c r="D269" t="s">
        <v>370</v>
      </c>
      <c r="E269" t="s">
        <v>49</v>
      </c>
      <c r="F269">
        <v>0</v>
      </c>
      <c r="G269" t="s">
        <v>50</v>
      </c>
      <c r="H269" t="s">
        <v>41</v>
      </c>
      <c r="I269" t="s">
        <v>41</v>
      </c>
      <c r="J269" t="s">
        <v>23</v>
      </c>
      <c r="K269" t="s">
        <v>41</v>
      </c>
      <c r="L269" t="s">
        <v>43</v>
      </c>
      <c r="M269">
        <v>7</v>
      </c>
      <c r="N269" t="s">
        <v>25</v>
      </c>
      <c r="O269" t="s">
        <v>26</v>
      </c>
      <c r="P269" t="s">
        <v>57</v>
      </c>
      <c r="Q269" t="s">
        <v>181</v>
      </c>
    </row>
    <row r="270" spans="1:17" x14ac:dyDescent="0.3">
      <c r="A270">
        <v>548326</v>
      </c>
      <c r="B270" t="s">
        <v>59</v>
      </c>
      <c r="C270" t="s">
        <v>371</v>
      </c>
      <c r="D270" t="s">
        <v>209</v>
      </c>
      <c r="E270" t="s">
        <v>62</v>
      </c>
      <c r="F270">
        <v>0</v>
      </c>
      <c r="G270" t="s">
        <v>42</v>
      </c>
      <c r="H270" t="s">
        <v>56</v>
      </c>
      <c r="I270" t="s">
        <v>56</v>
      </c>
      <c r="J270" t="s">
        <v>35</v>
      </c>
      <c r="K270" t="s">
        <v>42</v>
      </c>
      <c r="L270" t="s">
        <v>43</v>
      </c>
      <c r="M270">
        <v>5</v>
      </c>
      <c r="N270" t="s">
        <v>25</v>
      </c>
      <c r="O270" t="s">
        <v>26</v>
      </c>
      <c r="P270" t="s">
        <v>44</v>
      </c>
      <c r="Q270" t="s">
        <v>359</v>
      </c>
    </row>
    <row r="271" spans="1:17" x14ac:dyDescent="0.3">
      <c r="A271">
        <v>548327</v>
      </c>
      <c r="B271" t="s">
        <v>17</v>
      </c>
      <c r="C271" t="s">
        <v>371</v>
      </c>
      <c r="D271" t="s">
        <v>152</v>
      </c>
      <c r="E271" t="s">
        <v>20</v>
      </c>
      <c r="F271">
        <v>0</v>
      </c>
      <c r="G271" t="s">
        <v>21</v>
      </c>
      <c r="H271" t="s">
        <v>292</v>
      </c>
      <c r="I271" t="s">
        <v>292</v>
      </c>
      <c r="J271" t="s">
        <v>35</v>
      </c>
      <c r="K271" t="s">
        <v>21</v>
      </c>
      <c r="L271" t="s">
        <v>43</v>
      </c>
      <c r="M271">
        <v>6</v>
      </c>
      <c r="N271" t="s">
        <v>25</v>
      </c>
      <c r="O271" t="s">
        <v>26</v>
      </c>
      <c r="P271" t="s">
        <v>168</v>
      </c>
      <c r="Q271" t="s">
        <v>228</v>
      </c>
    </row>
    <row r="272" spans="1:17" x14ac:dyDescent="0.3">
      <c r="A272">
        <v>548328</v>
      </c>
      <c r="B272" t="s">
        <v>29</v>
      </c>
      <c r="C272" t="s">
        <v>372</v>
      </c>
      <c r="D272" t="s">
        <v>189</v>
      </c>
      <c r="E272" t="s">
        <v>32</v>
      </c>
      <c r="F272">
        <v>0</v>
      </c>
      <c r="G272" t="s">
        <v>33</v>
      </c>
      <c r="H272" t="s">
        <v>22</v>
      </c>
      <c r="I272" t="s">
        <v>33</v>
      </c>
      <c r="J272" t="s">
        <v>35</v>
      </c>
      <c r="K272" t="s">
        <v>22</v>
      </c>
      <c r="L272" t="s">
        <v>43</v>
      </c>
      <c r="M272">
        <v>8</v>
      </c>
      <c r="N272" t="s">
        <v>25</v>
      </c>
      <c r="O272" t="s">
        <v>26</v>
      </c>
      <c r="P272" t="s">
        <v>347</v>
      </c>
      <c r="Q272" t="s">
        <v>305</v>
      </c>
    </row>
    <row r="273" spans="1:17" x14ac:dyDescent="0.3">
      <c r="A273">
        <v>548329</v>
      </c>
      <c r="B273" t="s">
        <v>64</v>
      </c>
      <c r="C273" s="1">
        <v>41187</v>
      </c>
      <c r="D273" t="s">
        <v>251</v>
      </c>
      <c r="E273" t="s">
        <v>67</v>
      </c>
      <c r="F273">
        <v>0</v>
      </c>
      <c r="G273" t="s">
        <v>56</v>
      </c>
      <c r="H273" t="s">
        <v>41</v>
      </c>
      <c r="I273" t="s">
        <v>56</v>
      </c>
      <c r="J273" t="s">
        <v>35</v>
      </c>
      <c r="K273" t="s">
        <v>41</v>
      </c>
      <c r="L273" t="s">
        <v>43</v>
      </c>
      <c r="M273">
        <v>9</v>
      </c>
      <c r="N273" t="s">
        <v>25</v>
      </c>
      <c r="O273" t="s">
        <v>26</v>
      </c>
      <c r="P273" t="s">
        <v>347</v>
      </c>
      <c r="Q273" t="s">
        <v>149</v>
      </c>
    </row>
    <row r="274" spans="1:17" x14ac:dyDescent="0.3">
      <c r="A274">
        <v>548330</v>
      </c>
      <c r="B274" t="s">
        <v>70</v>
      </c>
      <c r="C274" t="s">
        <v>364</v>
      </c>
      <c r="D274" t="s">
        <v>373</v>
      </c>
      <c r="E274" t="s">
        <v>73</v>
      </c>
      <c r="F274">
        <v>0</v>
      </c>
      <c r="G274" t="s">
        <v>34</v>
      </c>
      <c r="H274" t="s">
        <v>292</v>
      </c>
      <c r="I274" t="s">
        <v>292</v>
      </c>
      <c r="J274" t="s">
        <v>23</v>
      </c>
      <c r="K274" t="s">
        <v>34</v>
      </c>
      <c r="L274" t="s">
        <v>24</v>
      </c>
      <c r="M274">
        <v>13</v>
      </c>
      <c r="N274" t="s">
        <v>25</v>
      </c>
      <c r="O274" t="s">
        <v>26</v>
      </c>
      <c r="P274" t="s">
        <v>27</v>
      </c>
      <c r="Q274" t="s">
        <v>228</v>
      </c>
    </row>
    <row r="275" spans="1:17" x14ac:dyDescent="0.3">
      <c r="A275">
        <v>548331</v>
      </c>
      <c r="B275" t="s">
        <v>29</v>
      </c>
      <c r="C275" t="s">
        <v>374</v>
      </c>
      <c r="D275" t="s">
        <v>152</v>
      </c>
      <c r="E275" t="s">
        <v>32</v>
      </c>
      <c r="F275">
        <v>0</v>
      </c>
      <c r="G275" t="s">
        <v>33</v>
      </c>
      <c r="H275" t="s">
        <v>21</v>
      </c>
      <c r="I275" t="s">
        <v>21</v>
      </c>
      <c r="J275" t="s">
        <v>23</v>
      </c>
      <c r="K275" t="s">
        <v>21</v>
      </c>
      <c r="L275" t="s">
        <v>43</v>
      </c>
      <c r="M275">
        <v>5</v>
      </c>
      <c r="N275" t="s">
        <v>25</v>
      </c>
      <c r="O275" t="s">
        <v>26</v>
      </c>
      <c r="P275" t="s">
        <v>183</v>
      </c>
      <c r="Q275" t="s">
        <v>305</v>
      </c>
    </row>
    <row r="276" spans="1:17" x14ac:dyDescent="0.3">
      <c r="A276">
        <v>548332</v>
      </c>
      <c r="B276" t="s">
        <v>70</v>
      </c>
      <c r="C276" t="s">
        <v>375</v>
      </c>
      <c r="D276" t="s">
        <v>360</v>
      </c>
      <c r="E276" t="s">
        <v>73</v>
      </c>
      <c r="F276">
        <v>0</v>
      </c>
      <c r="G276" t="s">
        <v>34</v>
      </c>
      <c r="H276" t="s">
        <v>42</v>
      </c>
      <c r="I276" t="s">
        <v>42</v>
      </c>
      <c r="J276" t="s">
        <v>35</v>
      </c>
      <c r="K276" t="s">
        <v>34</v>
      </c>
      <c r="L276" t="s">
        <v>43</v>
      </c>
      <c r="M276">
        <v>7</v>
      </c>
      <c r="N276" t="s">
        <v>25</v>
      </c>
      <c r="O276" t="s">
        <v>26</v>
      </c>
      <c r="P276" t="s">
        <v>44</v>
      </c>
      <c r="Q276" t="s">
        <v>359</v>
      </c>
    </row>
    <row r="277" spans="1:17" x14ac:dyDescent="0.3">
      <c r="A277">
        <v>548333</v>
      </c>
      <c r="B277" t="s">
        <v>38</v>
      </c>
      <c r="C277" t="s">
        <v>375</v>
      </c>
      <c r="D277" t="s">
        <v>102</v>
      </c>
      <c r="E277" t="s">
        <v>40</v>
      </c>
      <c r="F277">
        <v>0</v>
      </c>
      <c r="G277" t="s">
        <v>41</v>
      </c>
      <c r="H277" t="s">
        <v>292</v>
      </c>
      <c r="I277" t="s">
        <v>41</v>
      </c>
      <c r="J277" t="s">
        <v>23</v>
      </c>
      <c r="K277" t="s">
        <v>292</v>
      </c>
      <c r="L277" t="s">
        <v>24</v>
      </c>
      <c r="M277">
        <v>20</v>
      </c>
      <c r="N277" t="s">
        <v>25</v>
      </c>
      <c r="O277" t="s">
        <v>26</v>
      </c>
      <c r="P277" t="s">
        <v>27</v>
      </c>
      <c r="Q277" t="s">
        <v>228</v>
      </c>
    </row>
    <row r="278" spans="1:17" x14ac:dyDescent="0.3">
      <c r="A278">
        <v>548334</v>
      </c>
      <c r="B278" t="s">
        <v>46</v>
      </c>
      <c r="C278" t="s">
        <v>376</v>
      </c>
      <c r="D278" t="s">
        <v>93</v>
      </c>
      <c r="E278" t="s">
        <v>49</v>
      </c>
      <c r="F278">
        <v>0</v>
      </c>
      <c r="G278" t="s">
        <v>50</v>
      </c>
      <c r="H278" t="s">
        <v>33</v>
      </c>
      <c r="I278" t="s">
        <v>50</v>
      </c>
      <c r="J278" t="s">
        <v>35</v>
      </c>
      <c r="K278" t="s">
        <v>33</v>
      </c>
      <c r="L278" t="s">
        <v>43</v>
      </c>
      <c r="M278">
        <v>6</v>
      </c>
      <c r="N278" t="s">
        <v>25</v>
      </c>
      <c r="O278" t="s">
        <v>26</v>
      </c>
      <c r="P278" t="s">
        <v>183</v>
      </c>
      <c r="Q278" t="s">
        <v>305</v>
      </c>
    </row>
    <row r="279" spans="1:17" x14ac:dyDescent="0.3">
      <c r="A279">
        <v>548335</v>
      </c>
      <c r="B279" t="s">
        <v>232</v>
      </c>
      <c r="C279" t="s">
        <v>376</v>
      </c>
      <c r="D279" t="s">
        <v>204</v>
      </c>
      <c r="E279" t="s">
        <v>234</v>
      </c>
      <c r="F279">
        <v>0</v>
      </c>
      <c r="G279" t="s">
        <v>56</v>
      </c>
      <c r="H279" t="s">
        <v>22</v>
      </c>
      <c r="I279" t="s">
        <v>22</v>
      </c>
      <c r="J279" t="s">
        <v>23</v>
      </c>
      <c r="K279" t="s">
        <v>22</v>
      </c>
      <c r="L279" t="s">
        <v>43</v>
      </c>
      <c r="M279">
        <v>5</v>
      </c>
      <c r="N279" t="s">
        <v>25</v>
      </c>
      <c r="O279" t="s">
        <v>26</v>
      </c>
      <c r="P279" t="s">
        <v>57</v>
      </c>
      <c r="Q279" t="s">
        <v>181</v>
      </c>
    </row>
    <row r="280" spans="1:17" x14ac:dyDescent="0.3">
      <c r="A280">
        <v>548336</v>
      </c>
      <c r="B280" t="s">
        <v>59</v>
      </c>
      <c r="C280" t="s">
        <v>377</v>
      </c>
      <c r="D280" t="s">
        <v>157</v>
      </c>
      <c r="E280" t="s">
        <v>62</v>
      </c>
      <c r="F280">
        <v>0</v>
      </c>
      <c r="G280" t="s">
        <v>42</v>
      </c>
      <c r="H280" t="s">
        <v>21</v>
      </c>
      <c r="I280" t="s">
        <v>42</v>
      </c>
      <c r="J280" t="s">
        <v>23</v>
      </c>
      <c r="K280" t="s">
        <v>21</v>
      </c>
      <c r="L280" t="s">
        <v>24</v>
      </c>
      <c r="M280">
        <v>46</v>
      </c>
      <c r="N280" t="s">
        <v>25</v>
      </c>
      <c r="O280" t="s">
        <v>26</v>
      </c>
      <c r="P280" t="s">
        <v>27</v>
      </c>
      <c r="Q280" t="s">
        <v>168</v>
      </c>
    </row>
    <row r="281" spans="1:17" x14ac:dyDescent="0.3">
      <c r="A281">
        <v>548337</v>
      </c>
      <c r="B281" t="s">
        <v>355</v>
      </c>
      <c r="C281" t="s">
        <v>378</v>
      </c>
      <c r="D281" t="s">
        <v>66</v>
      </c>
      <c r="E281" t="s">
        <v>357</v>
      </c>
      <c r="F281">
        <v>0</v>
      </c>
      <c r="G281" t="s">
        <v>292</v>
      </c>
      <c r="H281" t="s">
        <v>41</v>
      </c>
      <c r="I281" t="s">
        <v>292</v>
      </c>
      <c r="J281" t="s">
        <v>35</v>
      </c>
      <c r="K281" t="s">
        <v>41</v>
      </c>
      <c r="L281" t="s">
        <v>43</v>
      </c>
      <c r="M281">
        <v>8</v>
      </c>
      <c r="N281" t="s">
        <v>25</v>
      </c>
      <c r="O281" t="s">
        <v>26</v>
      </c>
      <c r="P281" t="s">
        <v>183</v>
      </c>
      <c r="Q281" t="s">
        <v>305</v>
      </c>
    </row>
    <row r="282" spans="1:17" x14ac:dyDescent="0.3">
      <c r="A282">
        <v>548339</v>
      </c>
      <c r="B282" t="s">
        <v>29</v>
      </c>
      <c r="C282" t="s">
        <v>379</v>
      </c>
      <c r="D282" t="s">
        <v>257</v>
      </c>
      <c r="E282" t="s">
        <v>32</v>
      </c>
      <c r="F282">
        <v>0</v>
      </c>
      <c r="G282" t="s">
        <v>33</v>
      </c>
      <c r="H282" t="s">
        <v>50</v>
      </c>
      <c r="I282" t="s">
        <v>33</v>
      </c>
      <c r="J282" t="s">
        <v>35</v>
      </c>
      <c r="K282" t="s">
        <v>50</v>
      </c>
      <c r="L282" t="s">
        <v>43</v>
      </c>
      <c r="M282">
        <v>4</v>
      </c>
      <c r="N282" t="s">
        <v>25</v>
      </c>
      <c r="O282" t="s">
        <v>26</v>
      </c>
      <c r="P282" t="s">
        <v>44</v>
      </c>
      <c r="Q282" t="s">
        <v>359</v>
      </c>
    </row>
    <row r="283" spans="1:17" x14ac:dyDescent="0.3">
      <c r="A283">
        <v>548341</v>
      </c>
      <c r="B283" t="s">
        <v>355</v>
      </c>
      <c r="C283" t="s">
        <v>380</v>
      </c>
      <c r="D283" t="s">
        <v>381</v>
      </c>
      <c r="E283" t="s">
        <v>357</v>
      </c>
      <c r="F283">
        <v>0</v>
      </c>
      <c r="G283" t="s">
        <v>292</v>
      </c>
      <c r="H283" t="s">
        <v>56</v>
      </c>
      <c r="I283" t="s">
        <v>56</v>
      </c>
      <c r="J283" t="s">
        <v>35</v>
      </c>
      <c r="K283" t="s">
        <v>56</v>
      </c>
      <c r="L283" t="s">
        <v>24</v>
      </c>
      <c r="M283">
        <v>18</v>
      </c>
      <c r="N283" t="s">
        <v>25</v>
      </c>
      <c r="O283" t="s">
        <v>26</v>
      </c>
      <c r="P283" t="s">
        <v>183</v>
      </c>
      <c r="Q283" t="s">
        <v>305</v>
      </c>
    </row>
    <row r="284" spans="1:17" x14ac:dyDescent="0.3">
      <c r="A284">
        <v>548342</v>
      </c>
      <c r="B284" t="s">
        <v>38</v>
      </c>
      <c r="C284" t="s">
        <v>382</v>
      </c>
      <c r="D284" t="s">
        <v>66</v>
      </c>
      <c r="E284" t="s">
        <v>40</v>
      </c>
      <c r="F284">
        <v>0</v>
      </c>
      <c r="G284" t="s">
        <v>41</v>
      </c>
      <c r="H284" t="s">
        <v>50</v>
      </c>
      <c r="I284" t="s">
        <v>50</v>
      </c>
      <c r="J284" t="s">
        <v>23</v>
      </c>
      <c r="K284" t="s">
        <v>41</v>
      </c>
      <c r="L284" t="s">
        <v>24</v>
      </c>
      <c r="M284">
        <v>37</v>
      </c>
      <c r="N284" t="s">
        <v>25</v>
      </c>
      <c r="O284" t="s">
        <v>26</v>
      </c>
      <c r="P284" t="s">
        <v>44</v>
      </c>
      <c r="Q284" t="s">
        <v>359</v>
      </c>
    </row>
    <row r="285" spans="1:17" x14ac:dyDescent="0.3">
      <c r="A285">
        <v>548343</v>
      </c>
      <c r="B285" t="s">
        <v>70</v>
      </c>
      <c r="C285" t="s">
        <v>383</v>
      </c>
      <c r="D285" t="s">
        <v>384</v>
      </c>
      <c r="E285" t="s">
        <v>73</v>
      </c>
      <c r="F285">
        <v>0</v>
      </c>
      <c r="G285" t="s">
        <v>34</v>
      </c>
      <c r="H285" t="s">
        <v>33</v>
      </c>
      <c r="I285" t="s">
        <v>33</v>
      </c>
      <c r="J285" t="s">
        <v>35</v>
      </c>
      <c r="K285" t="s">
        <v>33</v>
      </c>
      <c r="L285" t="s">
        <v>24</v>
      </c>
      <c r="M285">
        <v>7</v>
      </c>
      <c r="N285" t="s">
        <v>25</v>
      </c>
      <c r="O285" t="s">
        <v>26</v>
      </c>
      <c r="P285" t="s">
        <v>57</v>
      </c>
      <c r="Q285" t="s">
        <v>181</v>
      </c>
    </row>
    <row r="286" spans="1:17" x14ac:dyDescent="0.3">
      <c r="A286">
        <v>548344</v>
      </c>
      <c r="B286" t="s">
        <v>53</v>
      </c>
      <c r="C286" t="s">
        <v>383</v>
      </c>
      <c r="D286" t="s">
        <v>189</v>
      </c>
      <c r="E286" t="s">
        <v>55</v>
      </c>
      <c r="F286">
        <v>0</v>
      </c>
      <c r="G286" t="s">
        <v>22</v>
      </c>
      <c r="H286" t="s">
        <v>21</v>
      </c>
      <c r="I286" t="s">
        <v>22</v>
      </c>
      <c r="J286" t="s">
        <v>35</v>
      </c>
      <c r="K286" t="s">
        <v>22</v>
      </c>
      <c r="L286" t="s">
        <v>24</v>
      </c>
      <c r="M286">
        <v>47</v>
      </c>
      <c r="N286" t="s">
        <v>25</v>
      </c>
      <c r="O286" t="s">
        <v>26</v>
      </c>
      <c r="P286" t="s">
        <v>27</v>
      </c>
      <c r="Q286" t="s">
        <v>88</v>
      </c>
    </row>
    <row r="287" spans="1:17" x14ac:dyDescent="0.3">
      <c r="A287">
        <v>548345</v>
      </c>
      <c r="B287" t="s">
        <v>38</v>
      </c>
      <c r="C287" t="s">
        <v>385</v>
      </c>
      <c r="D287" t="s">
        <v>66</v>
      </c>
      <c r="E287" t="s">
        <v>40</v>
      </c>
      <c r="F287">
        <v>0</v>
      </c>
      <c r="G287" t="s">
        <v>41</v>
      </c>
      <c r="H287" t="s">
        <v>42</v>
      </c>
      <c r="I287" t="s">
        <v>41</v>
      </c>
      <c r="J287" t="s">
        <v>35</v>
      </c>
      <c r="K287" t="s">
        <v>41</v>
      </c>
      <c r="L287" t="s">
        <v>24</v>
      </c>
      <c r="M287">
        <v>1</v>
      </c>
      <c r="N287" t="s">
        <v>25</v>
      </c>
      <c r="O287" t="s">
        <v>26</v>
      </c>
      <c r="P287" t="s">
        <v>183</v>
      </c>
      <c r="Q287" t="s">
        <v>305</v>
      </c>
    </row>
    <row r="288" spans="1:17" x14ac:dyDescent="0.3">
      <c r="A288">
        <v>548346</v>
      </c>
      <c r="B288" t="s">
        <v>46</v>
      </c>
      <c r="C288" t="s">
        <v>385</v>
      </c>
      <c r="D288" t="s">
        <v>298</v>
      </c>
      <c r="E288" t="s">
        <v>49</v>
      </c>
      <c r="F288">
        <v>0</v>
      </c>
      <c r="G288" t="s">
        <v>50</v>
      </c>
      <c r="H288" t="s">
        <v>56</v>
      </c>
      <c r="I288" t="s">
        <v>50</v>
      </c>
      <c r="J288" t="s">
        <v>23</v>
      </c>
      <c r="K288" t="s">
        <v>50</v>
      </c>
      <c r="L288" t="s">
        <v>43</v>
      </c>
      <c r="M288">
        <v>5</v>
      </c>
      <c r="N288" t="s">
        <v>25</v>
      </c>
      <c r="O288" t="s">
        <v>26</v>
      </c>
      <c r="P288" t="s">
        <v>349</v>
      </c>
      <c r="Q288" t="s">
        <v>359</v>
      </c>
    </row>
    <row r="289" spans="1:17" x14ac:dyDescent="0.3">
      <c r="A289">
        <v>548347</v>
      </c>
      <c r="B289" t="s">
        <v>70</v>
      </c>
      <c r="C289" t="s">
        <v>386</v>
      </c>
      <c r="D289" t="s">
        <v>189</v>
      </c>
      <c r="E289" t="s">
        <v>73</v>
      </c>
      <c r="F289">
        <v>0</v>
      </c>
      <c r="G289" t="s">
        <v>34</v>
      </c>
      <c r="H289" t="s">
        <v>22</v>
      </c>
      <c r="I289" t="s">
        <v>34</v>
      </c>
      <c r="J289" t="s">
        <v>35</v>
      </c>
      <c r="K289" t="s">
        <v>22</v>
      </c>
      <c r="L289" t="s">
        <v>43</v>
      </c>
      <c r="M289">
        <v>5</v>
      </c>
      <c r="N289" t="s">
        <v>25</v>
      </c>
      <c r="O289" t="s">
        <v>26</v>
      </c>
      <c r="P289" t="s">
        <v>57</v>
      </c>
      <c r="Q289" t="s">
        <v>387</v>
      </c>
    </row>
    <row r="290" spans="1:17" x14ac:dyDescent="0.3">
      <c r="A290">
        <v>548348</v>
      </c>
      <c r="B290" t="s">
        <v>232</v>
      </c>
      <c r="C290" s="1">
        <v>40913</v>
      </c>
      <c r="D290" t="s">
        <v>77</v>
      </c>
      <c r="E290" t="s">
        <v>234</v>
      </c>
      <c r="F290">
        <v>0</v>
      </c>
      <c r="G290" t="s">
        <v>56</v>
      </c>
      <c r="H290" t="s">
        <v>292</v>
      </c>
      <c r="I290" t="s">
        <v>56</v>
      </c>
      <c r="J290" t="s">
        <v>35</v>
      </c>
      <c r="K290" t="s">
        <v>56</v>
      </c>
      <c r="L290" t="s">
        <v>24</v>
      </c>
      <c r="M290">
        <v>13</v>
      </c>
      <c r="N290" t="s">
        <v>25</v>
      </c>
      <c r="O290" t="s">
        <v>26</v>
      </c>
      <c r="P290" t="s">
        <v>44</v>
      </c>
      <c r="Q290" t="s">
        <v>349</v>
      </c>
    </row>
    <row r="291" spans="1:17" x14ac:dyDescent="0.3">
      <c r="A291">
        <v>548349</v>
      </c>
      <c r="B291" t="s">
        <v>59</v>
      </c>
      <c r="C291" s="1">
        <v>40913</v>
      </c>
      <c r="D291" t="s">
        <v>388</v>
      </c>
      <c r="E291" t="s">
        <v>62</v>
      </c>
      <c r="F291">
        <v>0</v>
      </c>
      <c r="G291" t="s">
        <v>42</v>
      </c>
      <c r="H291" t="s">
        <v>41</v>
      </c>
      <c r="I291" t="s">
        <v>42</v>
      </c>
      <c r="J291" t="s">
        <v>35</v>
      </c>
      <c r="K291" t="s">
        <v>41</v>
      </c>
      <c r="L291" t="s">
        <v>43</v>
      </c>
      <c r="M291">
        <v>6</v>
      </c>
      <c r="N291" t="s">
        <v>25</v>
      </c>
      <c r="O291" t="s">
        <v>26</v>
      </c>
      <c r="P291" t="s">
        <v>347</v>
      </c>
      <c r="Q291" t="s">
        <v>149</v>
      </c>
    </row>
    <row r="292" spans="1:17" x14ac:dyDescent="0.3">
      <c r="A292">
        <v>548350</v>
      </c>
      <c r="B292" t="s">
        <v>17</v>
      </c>
      <c r="C292" s="1">
        <v>40944</v>
      </c>
      <c r="D292" t="s">
        <v>389</v>
      </c>
      <c r="E292" t="s">
        <v>20</v>
      </c>
      <c r="F292">
        <v>0</v>
      </c>
      <c r="G292" t="s">
        <v>21</v>
      </c>
      <c r="H292" t="s">
        <v>33</v>
      </c>
      <c r="I292" t="s">
        <v>33</v>
      </c>
      <c r="J292" t="s">
        <v>23</v>
      </c>
      <c r="K292" t="s">
        <v>33</v>
      </c>
      <c r="L292" t="s">
        <v>43</v>
      </c>
      <c r="M292">
        <v>4</v>
      </c>
      <c r="N292" t="s">
        <v>25</v>
      </c>
      <c r="O292" t="s">
        <v>26</v>
      </c>
      <c r="P292" t="s">
        <v>57</v>
      </c>
      <c r="Q292" t="s">
        <v>387</v>
      </c>
    </row>
    <row r="293" spans="1:17" x14ac:dyDescent="0.3">
      <c r="A293">
        <v>548351</v>
      </c>
      <c r="B293" t="s">
        <v>355</v>
      </c>
      <c r="C293" s="1">
        <v>40973</v>
      </c>
      <c r="D293" t="s">
        <v>253</v>
      </c>
      <c r="E293" t="s">
        <v>357</v>
      </c>
      <c r="F293">
        <v>0</v>
      </c>
      <c r="G293" t="s">
        <v>292</v>
      </c>
      <c r="H293" t="s">
        <v>50</v>
      </c>
      <c r="I293" t="s">
        <v>50</v>
      </c>
      <c r="J293" t="s">
        <v>35</v>
      </c>
      <c r="K293" t="s">
        <v>50</v>
      </c>
      <c r="L293" t="s">
        <v>24</v>
      </c>
      <c r="M293">
        <v>1</v>
      </c>
      <c r="N293" t="s">
        <v>25</v>
      </c>
      <c r="O293" t="s">
        <v>26</v>
      </c>
      <c r="P293" t="s">
        <v>27</v>
      </c>
      <c r="Q293" t="s">
        <v>168</v>
      </c>
    </row>
    <row r="294" spans="1:17" x14ac:dyDescent="0.3">
      <c r="A294">
        <v>548352</v>
      </c>
      <c r="B294" t="s">
        <v>70</v>
      </c>
      <c r="C294" s="1">
        <v>41004</v>
      </c>
      <c r="D294" t="s">
        <v>133</v>
      </c>
      <c r="E294" t="s">
        <v>73</v>
      </c>
      <c r="F294">
        <v>0</v>
      </c>
      <c r="G294" t="s">
        <v>34</v>
      </c>
      <c r="H294" t="s">
        <v>56</v>
      </c>
      <c r="I294" t="s">
        <v>34</v>
      </c>
      <c r="J294" t="s">
        <v>35</v>
      </c>
      <c r="K294" t="s">
        <v>34</v>
      </c>
      <c r="L294" t="s">
        <v>24</v>
      </c>
      <c r="M294">
        <v>10</v>
      </c>
      <c r="N294" t="s">
        <v>25</v>
      </c>
      <c r="O294" t="s">
        <v>26</v>
      </c>
      <c r="P294" t="s">
        <v>165</v>
      </c>
      <c r="Q294" t="s">
        <v>359</v>
      </c>
    </row>
    <row r="295" spans="1:17" x14ac:dyDescent="0.3">
      <c r="A295">
        <v>548353</v>
      </c>
      <c r="B295" t="s">
        <v>53</v>
      </c>
      <c r="C295" s="1">
        <v>41034</v>
      </c>
      <c r="D295" t="s">
        <v>368</v>
      </c>
      <c r="E295" t="s">
        <v>55</v>
      </c>
      <c r="F295">
        <v>0</v>
      </c>
      <c r="G295" t="s">
        <v>22</v>
      </c>
      <c r="H295" t="s">
        <v>292</v>
      </c>
      <c r="I295" t="s">
        <v>22</v>
      </c>
      <c r="J295" t="s">
        <v>35</v>
      </c>
      <c r="K295" t="s">
        <v>22</v>
      </c>
      <c r="L295" t="s">
        <v>24</v>
      </c>
      <c r="M295">
        <v>7</v>
      </c>
      <c r="N295" t="s">
        <v>25</v>
      </c>
      <c r="O295" t="s">
        <v>26</v>
      </c>
      <c r="P295" t="s">
        <v>57</v>
      </c>
      <c r="Q295" t="s">
        <v>181</v>
      </c>
    </row>
    <row r="296" spans="1:17" x14ac:dyDescent="0.3">
      <c r="A296">
        <v>548354</v>
      </c>
      <c r="B296" t="s">
        <v>29</v>
      </c>
      <c r="C296" s="1">
        <v>41034</v>
      </c>
      <c r="D296" t="s">
        <v>61</v>
      </c>
      <c r="E296" t="s">
        <v>32</v>
      </c>
      <c r="F296">
        <v>0</v>
      </c>
      <c r="G296" t="s">
        <v>33</v>
      </c>
      <c r="H296" t="s">
        <v>42</v>
      </c>
      <c r="I296" t="s">
        <v>42</v>
      </c>
      <c r="J296" t="s">
        <v>35</v>
      </c>
      <c r="K296" t="s">
        <v>42</v>
      </c>
      <c r="L296" t="s">
        <v>24</v>
      </c>
      <c r="M296">
        <v>43</v>
      </c>
      <c r="N296" t="s">
        <v>25</v>
      </c>
      <c r="O296" t="s">
        <v>26</v>
      </c>
      <c r="P296" t="s">
        <v>347</v>
      </c>
      <c r="Q296" t="s">
        <v>149</v>
      </c>
    </row>
    <row r="297" spans="1:17" x14ac:dyDescent="0.3">
      <c r="A297">
        <v>548355</v>
      </c>
      <c r="B297" t="s">
        <v>46</v>
      </c>
      <c r="C297" s="1">
        <v>41065</v>
      </c>
      <c r="D297" t="s">
        <v>195</v>
      </c>
      <c r="E297" t="s">
        <v>49</v>
      </c>
      <c r="F297">
        <v>0</v>
      </c>
      <c r="G297" t="s">
        <v>50</v>
      </c>
      <c r="H297" t="s">
        <v>34</v>
      </c>
      <c r="I297" t="s">
        <v>50</v>
      </c>
      <c r="J297" t="s">
        <v>23</v>
      </c>
      <c r="K297" t="s">
        <v>50</v>
      </c>
      <c r="L297" t="s">
        <v>43</v>
      </c>
      <c r="M297">
        <v>2</v>
      </c>
      <c r="N297" t="s">
        <v>25</v>
      </c>
      <c r="O297" t="s">
        <v>26</v>
      </c>
      <c r="P297" t="s">
        <v>27</v>
      </c>
      <c r="Q297" t="s">
        <v>168</v>
      </c>
    </row>
    <row r="298" spans="1:17" x14ac:dyDescent="0.3">
      <c r="A298">
        <v>548356</v>
      </c>
      <c r="B298" t="s">
        <v>17</v>
      </c>
      <c r="C298" s="1">
        <v>41065</v>
      </c>
      <c r="D298" t="s">
        <v>157</v>
      </c>
      <c r="E298" t="s">
        <v>20</v>
      </c>
      <c r="F298">
        <v>0</v>
      </c>
      <c r="G298" t="s">
        <v>21</v>
      </c>
      <c r="H298" t="s">
        <v>56</v>
      </c>
      <c r="I298" t="s">
        <v>21</v>
      </c>
      <c r="J298" t="s">
        <v>23</v>
      </c>
      <c r="K298" t="s">
        <v>21</v>
      </c>
      <c r="L298" t="s">
        <v>43</v>
      </c>
      <c r="M298">
        <v>5</v>
      </c>
      <c r="N298" t="s">
        <v>25</v>
      </c>
      <c r="O298" t="s">
        <v>26</v>
      </c>
      <c r="P298" t="s">
        <v>165</v>
      </c>
      <c r="Q298" t="s">
        <v>359</v>
      </c>
    </row>
    <row r="299" spans="1:17" x14ac:dyDescent="0.3">
      <c r="A299">
        <v>548357</v>
      </c>
      <c r="B299" t="s">
        <v>38</v>
      </c>
      <c r="C299" s="1">
        <v>41095</v>
      </c>
      <c r="D299" t="s">
        <v>187</v>
      </c>
      <c r="E299" t="s">
        <v>40</v>
      </c>
      <c r="F299">
        <v>0</v>
      </c>
      <c r="G299" t="s">
        <v>41</v>
      </c>
      <c r="H299" t="s">
        <v>22</v>
      </c>
      <c r="I299" t="s">
        <v>41</v>
      </c>
      <c r="J299" t="s">
        <v>35</v>
      </c>
      <c r="K299" t="s">
        <v>22</v>
      </c>
      <c r="L299" t="s">
        <v>43</v>
      </c>
      <c r="M299">
        <v>6</v>
      </c>
      <c r="N299" t="s">
        <v>25</v>
      </c>
      <c r="O299" t="s">
        <v>26</v>
      </c>
      <c r="P299" t="s">
        <v>347</v>
      </c>
      <c r="Q299" t="s">
        <v>183</v>
      </c>
    </row>
    <row r="300" spans="1:17" x14ac:dyDescent="0.3">
      <c r="A300">
        <v>548358</v>
      </c>
      <c r="B300" t="s">
        <v>355</v>
      </c>
      <c r="C300" s="1">
        <v>41126</v>
      </c>
      <c r="D300" t="s">
        <v>61</v>
      </c>
      <c r="E300" t="s">
        <v>357</v>
      </c>
      <c r="F300">
        <v>0</v>
      </c>
      <c r="G300" t="s">
        <v>292</v>
      </c>
      <c r="H300" t="s">
        <v>42</v>
      </c>
      <c r="I300" t="s">
        <v>292</v>
      </c>
      <c r="J300" t="s">
        <v>35</v>
      </c>
      <c r="K300" t="s">
        <v>42</v>
      </c>
      <c r="L300" t="s">
        <v>43</v>
      </c>
      <c r="M300">
        <v>7</v>
      </c>
      <c r="N300" t="s">
        <v>25</v>
      </c>
      <c r="O300" t="s">
        <v>26</v>
      </c>
      <c r="P300" t="s">
        <v>27</v>
      </c>
      <c r="Q300" t="s">
        <v>88</v>
      </c>
    </row>
    <row r="301" spans="1:17" x14ac:dyDescent="0.3">
      <c r="A301">
        <v>548359</v>
      </c>
      <c r="B301" t="s">
        <v>64</v>
      </c>
      <c r="C301" s="1">
        <v>41126</v>
      </c>
      <c r="D301" t="s">
        <v>384</v>
      </c>
      <c r="E301" t="s">
        <v>67</v>
      </c>
      <c r="F301">
        <v>0</v>
      </c>
      <c r="G301" t="s">
        <v>56</v>
      </c>
      <c r="H301" t="s">
        <v>33</v>
      </c>
      <c r="I301" t="s">
        <v>56</v>
      </c>
      <c r="J301" t="s">
        <v>23</v>
      </c>
      <c r="K301" t="s">
        <v>33</v>
      </c>
      <c r="L301" t="s">
        <v>24</v>
      </c>
      <c r="M301">
        <v>25</v>
      </c>
      <c r="N301" t="s">
        <v>25</v>
      </c>
      <c r="O301" t="s">
        <v>26</v>
      </c>
      <c r="P301" t="s">
        <v>165</v>
      </c>
      <c r="Q301" t="s">
        <v>359</v>
      </c>
    </row>
    <row r="302" spans="1:17" x14ac:dyDescent="0.3">
      <c r="A302">
        <v>548360</v>
      </c>
      <c r="B302" t="s">
        <v>46</v>
      </c>
      <c r="C302" s="1">
        <v>41157</v>
      </c>
      <c r="D302" t="s">
        <v>152</v>
      </c>
      <c r="E302" t="s">
        <v>49</v>
      </c>
      <c r="F302">
        <v>0</v>
      </c>
      <c r="G302" t="s">
        <v>50</v>
      </c>
      <c r="H302" t="s">
        <v>21</v>
      </c>
      <c r="I302" t="s">
        <v>21</v>
      </c>
      <c r="J302" t="s">
        <v>23</v>
      </c>
      <c r="K302" t="s">
        <v>21</v>
      </c>
      <c r="L302" t="s">
        <v>43</v>
      </c>
      <c r="M302">
        <v>9</v>
      </c>
      <c r="N302" t="s">
        <v>25</v>
      </c>
      <c r="O302" t="s">
        <v>26</v>
      </c>
      <c r="P302" t="s">
        <v>57</v>
      </c>
      <c r="Q302" t="s">
        <v>354</v>
      </c>
    </row>
    <row r="303" spans="1:17" x14ac:dyDescent="0.3">
      <c r="A303">
        <v>548361</v>
      </c>
      <c r="B303" t="s">
        <v>59</v>
      </c>
      <c r="C303" s="1">
        <v>41187</v>
      </c>
      <c r="D303" t="s">
        <v>390</v>
      </c>
      <c r="E303" t="s">
        <v>62</v>
      </c>
      <c r="F303">
        <v>0</v>
      </c>
      <c r="G303" t="s">
        <v>42</v>
      </c>
      <c r="H303" t="s">
        <v>34</v>
      </c>
      <c r="I303" t="s">
        <v>34</v>
      </c>
      <c r="J303" t="s">
        <v>23</v>
      </c>
      <c r="K303" t="s">
        <v>34</v>
      </c>
      <c r="L303" t="s">
        <v>43</v>
      </c>
      <c r="M303">
        <v>4</v>
      </c>
      <c r="N303" t="s">
        <v>25</v>
      </c>
      <c r="O303" t="s">
        <v>26</v>
      </c>
      <c r="P303" t="s">
        <v>359</v>
      </c>
      <c r="Q303" t="s">
        <v>387</v>
      </c>
    </row>
    <row r="304" spans="1:17" x14ac:dyDescent="0.3">
      <c r="A304">
        <v>548362</v>
      </c>
      <c r="B304" t="s">
        <v>355</v>
      </c>
      <c r="C304" s="1">
        <v>41218</v>
      </c>
      <c r="D304" t="s">
        <v>152</v>
      </c>
      <c r="E304" t="s">
        <v>357</v>
      </c>
      <c r="F304">
        <v>0</v>
      </c>
      <c r="G304" t="s">
        <v>292</v>
      </c>
      <c r="H304" t="s">
        <v>21</v>
      </c>
      <c r="I304" t="s">
        <v>292</v>
      </c>
      <c r="J304" t="s">
        <v>23</v>
      </c>
      <c r="K304" t="s">
        <v>21</v>
      </c>
      <c r="L304" t="s">
        <v>24</v>
      </c>
      <c r="M304">
        <v>35</v>
      </c>
      <c r="N304" t="s">
        <v>25</v>
      </c>
      <c r="O304" t="s">
        <v>26</v>
      </c>
      <c r="P304" t="s">
        <v>57</v>
      </c>
      <c r="Q304" t="s">
        <v>181</v>
      </c>
    </row>
    <row r="305" spans="1:17" x14ac:dyDescent="0.3">
      <c r="A305">
        <v>548363</v>
      </c>
      <c r="B305" t="s">
        <v>53</v>
      </c>
      <c r="C305" s="1">
        <v>41248</v>
      </c>
      <c r="D305" t="s">
        <v>190</v>
      </c>
      <c r="E305" t="s">
        <v>55</v>
      </c>
      <c r="F305">
        <v>0</v>
      </c>
      <c r="G305" t="s">
        <v>22</v>
      </c>
      <c r="H305" t="s">
        <v>50</v>
      </c>
      <c r="I305" t="s">
        <v>50</v>
      </c>
      <c r="J305" t="s">
        <v>35</v>
      </c>
      <c r="K305" t="s">
        <v>50</v>
      </c>
      <c r="L305" t="s">
        <v>24</v>
      </c>
      <c r="M305">
        <v>27</v>
      </c>
      <c r="N305" t="s">
        <v>25</v>
      </c>
      <c r="O305" t="s">
        <v>26</v>
      </c>
      <c r="P305" t="s">
        <v>183</v>
      </c>
      <c r="Q305" t="s">
        <v>149</v>
      </c>
    </row>
    <row r="306" spans="1:17" x14ac:dyDescent="0.3">
      <c r="A306">
        <v>548364</v>
      </c>
      <c r="B306" t="s">
        <v>70</v>
      </c>
      <c r="C306" s="1">
        <v>41248</v>
      </c>
      <c r="D306" t="s">
        <v>390</v>
      </c>
      <c r="E306" t="s">
        <v>73</v>
      </c>
      <c r="F306">
        <v>0</v>
      </c>
      <c r="G306" t="s">
        <v>34</v>
      </c>
      <c r="H306" t="s">
        <v>41</v>
      </c>
      <c r="I306" t="s">
        <v>34</v>
      </c>
      <c r="J306" t="s">
        <v>23</v>
      </c>
      <c r="K306" t="s">
        <v>34</v>
      </c>
      <c r="L306" t="s">
        <v>43</v>
      </c>
      <c r="M306">
        <v>9</v>
      </c>
      <c r="N306" t="s">
        <v>25</v>
      </c>
      <c r="O306" t="s">
        <v>26</v>
      </c>
      <c r="P306" t="s">
        <v>228</v>
      </c>
      <c r="Q306" t="s">
        <v>88</v>
      </c>
    </row>
    <row r="307" spans="1:17" x14ac:dyDescent="0.3">
      <c r="A307">
        <v>548365</v>
      </c>
      <c r="B307" t="s">
        <v>59</v>
      </c>
      <c r="C307" t="s">
        <v>391</v>
      </c>
      <c r="D307" t="s">
        <v>392</v>
      </c>
      <c r="E307" t="s">
        <v>62</v>
      </c>
      <c r="F307">
        <v>0</v>
      </c>
      <c r="G307" t="s">
        <v>42</v>
      </c>
      <c r="H307" t="s">
        <v>292</v>
      </c>
      <c r="I307" t="s">
        <v>42</v>
      </c>
      <c r="J307" t="s">
        <v>35</v>
      </c>
      <c r="K307" t="s">
        <v>42</v>
      </c>
      <c r="L307" t="s">
        <v>24</v>
      </c>
      <c r="M307">
        <v>45</v>
      </c>
      <c r="N307" t="s">
        <v>25</v>
      </c>
      <c r="O307" t="s">
        <v>26</v>
      </c>
      <c r="P307" t="s">
        <v>57</v>
      </c>
      <c r="Q307" t="s">
        <v>181</v>
      </c>
    </row>
    <row r="308" spans="1:17" x14ac:dyDescent="0.3">
      <c r="A308">
        <v>548366</v>
      </c>
      <c r="B308" t="s">
        <v>29</v>
      </c>
      <c r="C308" t="s">
        <v>391</v>
      </c>
      <c r="D308" t="s">
        <v>54</v>
      </c>
      <c r="E308" t="s">
        <v>32</v>
      </c>
      <c r="F308">
        <v>0</v>
      </c>
      <c r="G308" t="s">
        <v>33</v>
      </c>
      <c r="H308" t="s">
        <v>56</v>
      </c>
      <c r="I308" t="s">
        <v>56</v>
      </c>
      <c r="J308" t="s">
        <v>35</v>
      </c>
      <c r="K308" t="s">
        <v>33</v>
      </c>
      <c r="L308" t="s">
        <v>43</v>
      </c>
      <c r="M308">
        <v>4</v>
      </c>
      <c r="N308" t="s">
        <v>25</v>
      </c>
      <c r="O308" t="s">
        <v>26</v>
      </c>
      <c r="P308" t="s">
        <v>165</v>
      </c>
      <c r="Q308" t="s">
        <v>359</v>
      </c>
    </row>
    <row r="309" spans="1:17" x14ac:dyDescent="0.3">
      <c r="A309">
        <v>548367</v>
      </c>
      <c r="B309" t="s">
        <v>17</v>
      </c>
      <c r="C309" t="s">
        <v>393</v>
      </c>
      <c r="D309" t="s">
        <v>257</v>
      </c>
      <c r="E309" t="s">
        <v>20</v>
      </c>
      <c r="F309">
        <v>0</v>
      </c>
      <c r="G309" t="s">
        <v>21</v>
      </c>
      <c r="H309" t="s">
        <v>50</v>
      </c>
      <c r="I309" t="s">
        <v>50</v>
      </c>
      <c r="J309" t="s">
        <v>23</v>
      </c>
      <c r="K309" t="s">
        <v>50</v>
      </c>
      <c r="L309" t="s">
        <v>43</v>
      </c>
      <c r="M309">
        <v>5</v>
      </c>
      <c r="N309" t="s">
        <v>25</v>
      </c>
      <c r="O309" t="s">
        <v>26</v>
      </c>
      <c r="P309" t="s">
        <v>228</v>
      </c>
      <c r="Q309" t="s">
        <v>88</v>
      </c>
    </row>
    <row r="310" spans="1:17" x14ac:dyDescent="0.3">
      <c r="A310">
        <v>548368</v>
      </c>
      <c r="B310" t="s">
        <v>53</v>
      </c>
      <c r="C310" t="s">
        <v>393</v>
      </c>
      <c r="D310" t="s">
        <v>31</v>
      </c>
      <c r="E310" t="s">
        <v>55</v>
      </c>
      <c r="F310">
        <v>0</v>
      </c>
      <c r="G310" t="s">
        <v>22</v>
      </c>
      <c r="H310" t="s">
        <v>34</v>
      </c>
      <c r="I310" t="s">
        <v>34</v>
      </c>
      <c r="J310" t="s">
        <v>23</v>
      </c>
      <c r="K310" t="s">
        <v>34</v>
      </c>
      <c r="L310" t="s">
        <v>43</v>
      </c>
      <c r="M310">
        <v>5</v>
      </c>
      <c r="N310" t="s">
        <v>25</v>
      </c>
      <c r="O310" t="s">
        <v>26</v>
      </c>
      <c r="P310" t="s">
        <v>347</v>
      </c>
      <c r="Q310" t="s">
        <v>149</v>
      </c>
    </row>
    <row r="311" spans="1:17" x14ac:dyDescent="0.3">
      <c r="A311">
        <v>548369</v>
      </c>
      <c r="B311" t="s">
        <v>38</v>
      </c>
      <c r="C311" t="s">
        <v>394</v>
      </c>
      <c r="D311" t="s">
        <v>395</v>
      </c>
      <c r="E311" t="s">
        <v>40</v>
      </c>
      <c r="F311">
        <v>0</v>
      </c>
      <c r="G311" t="s">
        <v>41</v>
      </c>
      <c r="H311" t="s">
        <v>33</v>
      </c>
      <c r="I311" t="s">
        <v>33</v>
      </c>
      <c r="J311" t="s">
        <v>35</v>
      </c>
      <c r="K311" t="s">
        <v>41</v>
      </c>
      <c r="L311" t="s">
        <v>43</v>
      </c>
      <c r="M311">
        <v>5</v>
      </c>
      <c r="N311" t="s">
        <v>25</v>
      </c>
      <c r="O311" t="s">
        <v>26</v>
      </c>
      <c r="P311" t="s">
        <v>165</v>
      </c>
      <c r="Q311" t="s">
        <v>359</v>
      </c>
    </row>
    <row r="312" spans="1:17" x14ac:dyDescent="0.3">
      <c r="A312">
        <v>548370</v>
      </c>
      <c r="B312" t="s">
        <v>46</v>
      </c>
      <c r="C312" t="s">
        <v>396</v>
      </c>
      <c r="D312" t="s">
        <v>368</v>
      </c>
      <c r="E312" t="s">
        <v>49</v>
      </c>
      <c r="F312">
        <v>0</v>
      </c>
      <c r="G312" t="s">
        <v>50</v>
      </c>
      <c r="H312" t="s">
        <v>22</v>
      </c>
      <c r="I312" t="s">
        <v>50</v>
      </c>
      <c r="J312" t="s">
        <v>23</v>
      </c>
      <c r="K312" t="s">
        <v>22</v>
      </c>
      <c r="L312" t="s">
        <v>24</v>
      </c>
      <c r="M312">
        <v>32</v>
      </c>
      <c r="N312" t="s">
        <v>25</v>
      </c>
      <c r="O312" t="s">
        <v>26</v>
      </c>
      <c r="P312" t="s">
        <v>228</v>
      </c>
      <c r="Q312" t="s">
        <v>88</v>
      </c>
    </row>
    <row r="313" spans="1:17" x14ac:dyDescent="0.3">
      <c r="A313">
        <v>548371</v>
      </c>
      <c r="B313" t="s">
        <v>271</v>
      </c>
      <c r="C313" t="s">
        <v>397</v>
      </c>
      <c r="D313" t="s">
        <v>82</v>
      </c>
      <c r="E313" t="s">
        <v>273</v>
      </c>
      <c r="F313">
        <v>0</v>
      </c>
      <c r="G313" t="s">
        <v>33</v>
      </c>
      <c r="H313" t="s">
        <v>34</v>
      </c>
      <c r="I313" t="s">
        <v>33</v>
      </c>
      <c r="J313" t="s">
        <v>23</v>
      </c>
      <c r="K313" t="s">
        <v>33</v>
      </c>
      <c r="L313" t="s">
        <v>43</v>
      </c>
      <c r="M313">
        <v>6</v>
      </c>
      <c r="N313" t="s">
        <v>25</v>
      </c>
      <c r="O313" t="s">
        <v>26</v>
      </c>
      <c r="P313" t="s">
        <v>354</v>
      </c>
      <c r="Q313" t="s">
        <v>181</v>
      </c>
    </row>
    <row r="314" spans="1:17" x14ac:dyDescent="0.3">
      <c r="A314">
        <v>548372</v>
      </c>
      <c r="B314" t="s">
        <v>38</v>
      </c>
      <c r="C314" t="s">
        <v>397</v>
      </c>
      <c r="D314" t="s">
        <v>152</v>
      </c>
      <c r="E314" t="s">
        <v>40</v>
      </c>
      <c r="F314">
        <v>0</v>
      </c>
      <c r="G314" t="s">
        <v>41</v>
      </c>
      <c r="H314" t="s">
        <v>21</v>
      </c>
      <c r="I314" t="s">
        <v>41</v>
      </c>
      <c r="J314" t="s">
        <v>23</v>
      </c>
      <c r="K314" t="s">
        <v>21</v>
      </c>
      <c r="L314" t="s">
        <v>24</v>
      </c>
      <c r="M314">
        <v>21</v>
      </c>
      <c r="N314" t="s">
        <v>25</v>
      </c>
      <c r="O314" t="s">
        <v>26</v>
      </c>
      <c r="P314" t="s">
        <v>165</v>
      </c>
      <c r="Q314" t="s">
        <v>387</v>
      </c>
    </row>
    <row r="315" spans="1:17" x14ac:dyDescent="0.3">
      <c r="A315">
        <v>548373</v>
      </c>
      <c r="B315" t="s">
        <v>64</v>
      </c>
      <c r="C315" t="s">
        <v>398</v>
      </c>
      <c r="D315" t="s">
        <v>298</v>
      </c>
      <c r="E315" t="s">
        <v>67</v>
      </c>
      <c r="F315">
        <v>0</v>
      </c>
      <c r="G315" t="s">
        <v>56</v>
      </c>
      <c r="H315" t="s">
        <v>42</v>
      </c>
      <c r="I315" t="s">
        <v>42</v>
      </c>
      <c r="J315" t="s">
        <v>35</v>
      </c>
      <c r="K315" t="s">
        <v>56</v>
      </c>
      <c r="L315" t="s">
        <v>43</v>
      </c>
      <c r="M315">
        <v>5</v>
      </c>
      <c r="N315" t="s">
        <v>25</v>
      </c>
      <c r="O315" t="s">
        <v>26</v>
      </c>
      <c r="P315" t="s">
        <v>183</v>
      </c>
      <c r="Q315" t="s">
        <v>149</v>
      </c>
    </row>
    <row r="316" spans="1:17" x14ac:dyDescent="0.3">
      <c r="A316">
        <v>548374</v>
      </c>
      <c r="B316" t="s">
        <v>271</v>
      </c>
      <c r="C316" t="s">
        <v>399</v>
      </c>
      <c r="D316" t="s">
        <v>395</v>
      </c>
      <c r="E316" t="s">
        <v>273</v>
      </c>
      <c r="F316">
        <v>0</v>
      </c>
      <c r="G316" t="s">
        <v>33</v>
      </c>
      <c r="H316" t="s">
        <v>41</v>
      </c>
      <c r="I316" t="s">
        <v>41</v>
      </c>
      <c r="J316" t="s">
        <v>23</v>
      </c>
      <c r="K316" t="s">
        <v>41</v>
      </c>
      <c r="L316" t="s">
        <v>43</v>
      </c>
      <c r="M316">
        <v>6</v>
      </c>
      <c r="N316" t="s">
        <v>25</v>
      </c>
      <c r="O316" t="s">
        <v>26</v>
      </c>
      <c r="P316" t="s">
        <v>57</v>
      </c>
      <c r="Q316" t="s">
        <v>354</v>
      </c>
    </row>
    <row r="317" spans="1:17" x14ac:dyDescent="0.3">
      <c r="A317">
        <v>548375</v>
      </c>
      <c r="B317" t="s">
        <v>355</v>
      </c>
      <c r="C317" t="s">
        <v>399</v>
      </c>
      <c r="D317" t="s">
        <v>363</v>
      </c>
      <c r="E317" t="s">
        <v>357</v>
      </c>
      <c r="F317">
        <v>0</v>
      </c>
      <c r="G317" t="s">
        <v>292</v>
      </c>
      <c r="H317" t="s">
        <v>22</v>
      </c>
      <c r="I317" t="s">
        <v>22</v>
      </c>
      <c r="J317" t="s">
        <v>35</v>
      </c>
      <c r="K317" t="s">
        <v>22</v>
      </c>
      <c r="L317" t="s">
        <v>24</v>
      </c>
      <c r="M317">
        <v>34</v>
      </c>
      <c r="N317" t="s">
        <v>25</v>
      </c>
      <c r="O317" t="s">
        <v>26</v>
      </c>
      <c r="P317" t="s">
        <v>168</v>
      </c>
      <c r="Q317" t="s">
        <v>88</v>
      </c>
    </row>
    <row r="318" spans="1:17" x14ac:dyDescent="0.3">
      <c r="A318">
        <v>548376</v>
      </c>
      <c r="B318" t="s">
        <v>64</v>
      </c>
      <c r="C318" t="s">
        <v>400</v>
      </c>
      <c r="D318" t="s">
        <v>298</v>
      </c>
      <c r="E318" t="s">
        <v>67</v>
      </c>
      <c r="F318">
        <v>0</v>
      </c>
      <c r="G318" t="s">
        <v>56</v>
      </c>
      <c r="H318" t="s">
        <v>21</v>
      </c>
      <c r="I318" t="s">
        <v>21</v>
      </c>
      <c r="J318" t="s">
        <v>23</v>
      </c>
      <c r="K318" t="s">
        <v>56</v>
      </c>
      <c r="L318" t="s">
        <v>24</v>
      </c>
      <c r="M318">
        <v>9</v>
      </c>
      <c r="N318" t="s">
        <v>25</v>
      </c>
      <c r="O318" t="s">
        <v>26</v>
      </c>
      <c r="P318" t="s">
        <v>183</v>
      </c>
      <c r="Q318" t="s">
        <v>149</v>
      </c>
    </row>
    <row r="319" spans="1:17" x14ac:dyDescent="0.3">
      <c r="A319">
        <v>548377</v>
      </c>
      <c r="B319" t="s">
        <v>59</v>
      </c>
      <c r="C319" t="s">
        <v>400</v>
      </c>
      <c r="D319" t="s">
        <v>195</v>
      </c>
      <c r="E319" t="s">
        <v>62</v>
      </c>
      <c r="F319">
        <v>0</v>
      </c>
      <c r="G319" t="s">
        <v>42</v>
      </c>
      <c r="H319" t="s">
        <v>50</v>
      </c>
      <c r="I319" t="s">
        <v>42</v>
      </c>
      <c r="J319" t="s">
        <v>35</v>
      </c>
      <c r="K319" t="s">
        <v>50</v>
      </c>
      <c r="L319" t="s">
        <v>43</v>
      </c>
      <c r="M319">
        <v>10</v>
      </c>
      <c r="N319" t="s">
        <v>25</v>
      </c>
      <c r="O319" t="s">
        <v>26</v>
      </c>
      <c r="P319" t="s">
        <v>165</v>
      </c>
      <c r="Q319" t="s">
        <v>387</v>
      </c>
    </row>
    <row r="320" spans="1:17" x14ac:dyDescent="0.3">
      <c r="A320">
        <v>548378</v>
      </c>
      <c r="B320" t="s">
        <v>355</v>
      </c>
      <c r="C320" t="s">
        <v>401</v>
      </c>
      <c r="D320" t="s">
        <v>75</v>
      </c>
      <c r="E320" t="s">
        <v>357</v>
      </c>
      <c r="F320">
        <v>0</v>
      </c>
      <c r="G320" t="s">
        <v>41</v>
      </c>
      <c r="H320" t="s">
        <v>22</v>
      </c>
      <c r="I320" t="s">
        <v>22</v>
      </c>
      <c r="J320" t="s">
        <v>35</v>
      </c>
      <c r="K320" t="s">
        <v>22</v>
      </c>
      <c r="L320" t="s">
        <v>24</v>
      </c>
      <c r="M320">
        <v>18</v>
      </c>
      <c r="N320" t="s">
        <v>25</v>
      </c>
      <c r="O320" t="s">
        <v>26</v>
      </c>
      <c r="P320" t="s">
        <v>88</v>
      </c>
      <c r="Q320" t="s">
        <v>149</v>
      </c>
    </row>
    <row r="321" spans="1:17" x14ac:dyDescent="0.3">
      <c r="A321">
        <v>548379</v>
      </c>
      <c r="B321" t="s">
        <v>17</v>
      </c>
      <c r="C321" t="s">
        <v>402</v>
      </c>
      <c r="D321" t="s">
        <v>87</v>
      </c>
      <c r="E321" t="s">
        <v>20</v>
      </c>
      <c r="F321">
        <v>0</v>
      </c>
      <c r="G321" t="s">
        <v>34</v>
      </c>
      <c r="H321" t="s">
        <v>50</v>
      </c>
      <c r="I321" t="s">
        <v>50</v>
      </c>
      <c r="J321" t="s">
        <v>23</v>
      </c>
      <c r="K321" t="s">
        <v>34</v>
      </c>
      <c r="L321" t="s">
        <v>24</v>
      </c>
      <c r="M321">
        <v>38</v>
      </c>
      <c r="N321" t="s">
        <v>25</v>
      </c>
      <c r="O321" t="s">
        <v>26</v>
      </c>
      <c r="P321" t="s">
        <v>57</v>
      </c>
      <c r="Q321" t="s">
        <v>165</v>
      </c>
    </row>
    <row r="322" spans="1:17" x14ac:dyDescent="0.3">
      <c r="A322">
        <v>548380</v>
      </c>
      <c r="B322" t="s">
        <v>70</v>
      </c>
      <c r="C322" t="s">
        <v>403</v>
      </c>
      <c r="D322" t="s">
        <v>255</v>
      </c>
      <c r="E322" t="s">
        <v>73</v>
      </c>
      <c r="F322">
        <v>0</v>
      </c>
      <c r="G322" t="s">
        <v>41</v>
      </c>
      <c r="H322" t="s">
        <v>34</v>
      </c>
      <c r="I322" t="s">
        <v>41</v>
      </c>
      <c r="J322" t="s">
        <v>23</v>
      </c>
      <c r="K322" t="s">
        <v>34</v>
      </c>
      <c r="L322" t="s">
        <v>24</v>
      </c>
      <c r="M322">
        <v>86</v>
      </c>
      <c r="N322" t="s">
        <v>25</v>
      </c>
      <c r="O322" t="s">
        <v>26</v>
      </c>
      <c r="P322" t="s">
        <v>88</v>
      </c>
      <c r="Q322" t="s">
        <v>149</v>
      </c>
    </row>
    <row r="323" spans="1:17" x14ac:dyDescent="0.3">
      <c r="A323">
        <v>548381</v>
      </c>
      <c r="B323" t="s">
        <v>70</v>
      </c>
      <c r="C323" t="s">
        <v>404</v>
      </c>
      <c r="D323" t="s">
        <v>405</v>
      </c>
      <c r="E323" t="s">
        <v>73</v>
      </c>
      <c r="F323">
        <v>0</v>
      </c>
      <c r="G323" t="s">
        <v>22</v>
      </c>
      <c r="H323" t="s">
        <v>34</v>
      </c>
      <c r="I323" t="s">
        <v>34</v>
      </c>
      <c r="J323" t="s">
        <v>35</v>
      </c>
      <c r="K323" t="s">
        <v>22</v>
      </c>
      <c r="L323" t="s">
        <v>43</v>
      </c>
      <c r="M323">
        <v>5</v>
      </c>
      <c r="N323" t="s">
        <v>25</v>
      </c>
      <c r="O323" t="s">
        <v>26</v>
      </c>
      <c r="P323" t="s">
        <v>57</v>
      </c>
      <c r="Q323" t="s">
        <v>149</v>
      </c>
    </row>
    <row r="324" spans="1:17" x14ac:dyDescent="0.3">
      <c r="A324">
        <v>597998</v>
      </c>
      <c r="B324" t="s">
        <v>53</v>
      </c>
      <c r="C324" s="1">
        <v>41337</v>
      </c>
      <c r="D324" t="s">
        <v>368</v>
      </c>
      <c r="E324" t="s">
        <v>55</v>
      </c>
      <c r="F324">
        <v>0</v>
      </c>
      <c r="G324" t="s">
        <v>22</v>
      </c>
      <c r="H324" t="s">
        <v>41</v>
      </c>
      <c r="I324" t="s">
        <v>22</v>
      </c>
      <c r="J324" t="s">
        <v>23</v>
      </c>
      <c r="K324" t="s">
        <v>22</v>
      </c>
      <c r="L324" t="s">
        <v>43</v>
      </c>
      <c r="M324">
        <v>6</v>
      </c>
      <c r="N324" t="s">
        <v>25</v>
      </c>
      <c r="O324" t="s">
        <v>26</v>
      </c>
      <c r="P324" t="s">
        <v>183</v>
      </c>
      <c r="Q324" t="s">
        <v>149</v>
      </c>
    </row>
    <row r="325" spans="1:17" x14ac:dyDescent="0.3">
      <c r="A325">
        <v>597999</v>
      </c>
      <c r="B325" t="s">
        <v>17</v>
      </c>
      <c r="C325" s="1">
        <v>41368</v>
      </c>
      <c r="D325" t="s">
        <v>152</v>
      </c>
      <c r="E325" t="s">
        <v>20</v>
      </c>
      <c r="F325">
        <v>0</v>
      </c>
      <c r="G325" t="s">
        <v>21</v>
      </c>
      <c r="H325" t="s">
        <v>50</v>
      </c>
      <c r="I325" t="s">
        <v>50</v>
      </c>
      <c r="J325" t="s">
        <v>23</v>
      </c>
      <c r="K325" t="s">
        <v>21</v>
      </c>
      <c r="L325" t="s">
        <v>24</v>
      </c>
      <c r="M325">
        <v>2</v>
      </c>
      <c r="N325" t="s">
        <v>25</v>
      </c>
      <c r="O325" t="s">
        <v>26</v>
      </c>
      <c r="P325" t="s">
        <v>354</v>
      </c>
      <c r="Q325" t="s">
        <v>387</v>
      </c>
    </row>
    <row r="326" spans="1:17" x14ac:dyDescent="0.3">
      <c r="A326">
        <v>598000</v>
      </c>
      <c r="B326" t="s">
        <v>64</v>
      </c>
      <c r="C326" s="1">
        <v>41398</v>
      </c>
      <c r="D326" t="s">
        <v>111</v>
      </c>
      <c r="E326" t="s">
        <v>67</v>
      </c>
      <c r="F326">
        <v>0</v>
      </c>
      <c r="G326" t="s">
        <v>406</v>
      </c>
      <c r="H326" t="s">
        <v>292</v>
      </c>
      <c r="I326" t="s">
        <v>292</v>
      </c>
      <c r="J326" t="s">
        <v>23</v>
      </c>
      <c r="K326" t="s">
        <v>406</v>
      </c>
      <c r="L326" t="s">
        <v>24</v>
      </c>
      <c r="M326">
        <v>22</v>
      </c>
      <c r="N326" t="s">
        <v>25</v>
      </c>
      <c r="O326" t="s">
        <v>26</v>
      </c>
      <c r="P326" t="s">
        <v>183</v>
      </c>
      <c r="Q326" t="s">
        <v>149</v>
      </c>
    </row>
    <row r="327" spans="1:17" x14ac:dyDescent="0.3">
      <c r="A327">
        <v>598001</v>
      </c>
      <c r="B327" t="s">
        <v>38</v>
      </c>
      <c r="C327" s="1">
        <v>41429</v>
      </c>
      <c r="D327" t="s">
        <v>140</v>
      </c>
      <c r="E327" t="s">
        <v>40</v>
      </c>
      <c r="F327">
        <v>0</v>
      </c>
      <c r="G327" t="s">
        <v>41</v>
      </c>
      <c r="H327" t="s">
        <v>42</v>
      </c>
      <c r="I327" t="s">
        <v>42</v>
      </c>
      <c r="J327" t="s">
        <v>35</v>
      </c>
      <c r="K327" t="s">
        <v>42</v>
      </c>
      <c r="L327" t="s">
        <v>24</v>
      </c>
      <c r="M327">
        <v>5</v>
      </c>
      <c r="N327" t="s">
        <v>25</v>
      </c>
      <c r="O327" t="s">
        <v>26</v>
      </c>
      <c r="P327" t="s">
        <v>228</v>
      </c>
      <c r="Q327" t="s">
        <v>387</v>
      </c>
    </row>
    <row r="328" spans="1:17" x14ac:dyDescent="0.3">
      <c r="A328">
        <v>598002</v>
      </c>
      <c r="B328" t="s">
        <v>70</v>
      </c>
      <c r="C328" s="1">
        <v>41429</v>
      </c>
      <c r="D328" t="s">
        <v>267</v>
      </c>
      <c r="E328" t="s">
        <v>73</v>
      </c>
      <c r="F328">
        <v>0</v>
      </c>
      <c r="G328" t="s">
        <v>34</v>
      </c>
      <c r="H328" t="s">
        <v>50</v>
      </c>
      <c r="I328" t="s">
        <v>50</v>
      </c>
      <c r="J328" t="s">
        <v>35</v>
      </c>
      <c r="K328" t="s">
        <v>50</v>
      </c>
      <c r="L328" t="s">
        <v>24</v>
      </c>
      <c r="M328">
        <v>9</v>
      </c>
      <c r="N328" t="s">
        <v>25</v>
      </c>
      <c r="O328" t="s">
        <v>26</v>
      </c>
      <c r="P328" t="s">
        <v>155</v>
      </c>
      <c r="Q328" t="s">
        <v>354</v>
      </c>
    </row>
    <row r="329" spans="1:17" x14ac:dyDescent="0.3">
      <c r="A329">
        <v>598003</v>
      </c>
      <c r="B329" t="s">
        <v>355</v>
      </c>
      <c r="C329" s="1">
        <v>41459</v>
      </c>
      <c r="D329" t="s">
        <v>407</v>
      </c>
      <c r="E329" t="s">
        <v>357</v>
      </c>
      <c r="F329">
        <v>0</v>
      </c>
      <c r="G329" t="s">
        <v>292</v>
      </c>
      <c r="H329" t="s">
        <v>33</v>
      </c>
      <c r="I329" t="s">
        <v>292</v>
      </c>
      <c r="J329" t="s">
        <v>35</v>
      </c>
      <c r="K329" t="s">
        <v>33</v>
      </c>
      <c r="L329" t="s">
        <v>43</v>
      </c>
      <c r="M329">
        <v>8</v>
      </c>
      <c r="N329" t="s">
        <v>25</v>
      </c>
      <c r="O329" t="s">
        <v>26</v>
      </c>
      <c r="P329" t="s">
        <v>168</v>
      </c>
      <c r="Q329" t="s">
        <v>149</v>
      </c>
    </row>
    <row r="330" spans="1:17" x14ac:dyDescent="0.3">
      <c r="A330">
        <v>598004</v>
      </c>
      <c r="B330" t="s">
        <v>64</v>
      </c>
      <c r="C330" s="1">
        <v>41459</v>
      </c>
      <c r="D330" t="s">
        <v>408</v>
      </c>
      <c r="E330" t="s">
        <v>67</v>
      </c>
      <c r="F330">
        <v>0</v>
      </c>
      <c r="G330" t="s">
        <v>406</v>
      </c>
      <c r="H330" t="s">
        <v>21</v>
      </c>
      <c r="I330" t="s">
        <v>21</v>
      </c>
      <c r="J330" t="s">
        <v>35</v>
      </c>
      <c r="K330" t="s">
        <v>406</v>
      </c>
      <c r="L330" t="s">
        <v>158</v>
      </c>
      <c r="M330" t="s">
        <v>26</v>
      </c>
      <c r="N330" t="s">
        <v>159</v>
      </c>
      <c r="O330" t="s">
        <v>26</v>
      </c>
      <c r="P330" t="s">
        <v>349</v>
      </c>
      <c r="Q330" t="s">
        <v>183</v>
      </c>
    </row>
    <row r="331" spans="1:17" x14ac:dyDescent="0.3">
      <c r="A331">
        <v>598005</v>
      </c>
      <c r="B331" t="s">
        <v>59</v>
      </c>
      <c r="C331" s="1">
        <v>41490</v>
      </c>
      <c r="D331" t="s">
        <v>287</v>
      </c>
      <c r="E331" t="s">
        <v>62</v>
      </c>
      <c r="F331">
        <v>0</v>
      </c>
      <c r="G331" t="s">
        <v>42</v>
      </c>
      <c r="H331" t="s">
        <v>22</v>
      </c>
      <c r="I331" t="s">
        <v>22</v>
      </c>
      <c r="J331" t="s">
        <v>23</v>
      </c>
      <c r="K331" t="s">
        <v>42</v>
      </c>
      <c r="L331" t="s">
        <v>24</v>
      </c>
      <c r="M331">
        <v>19</v>
      </c>
      <c r="N331" t="s">
        <v>25</v>
      </c>
      <c r="O331" t="s">
        <v>26</v>
      </c>
      <c r="P331" t="s">
        <v>44</v>
      </c>
      <c r="Q331" t="s">
        <v>228</v>
      </c>
    </row>
    <row r="332" spans="1:17" x14ac:dyDescent="0.3">
      <c r="A332">
        <v>598006</v>
      </c>
      <c r="B332" t="s">
        <v>46</v>
      </c>
      <c r="C332" s="1">
        <v>41521</v>
      </c>
      <c r="D332" t="s">
        <v>127</v>
      </c>
      <c r="E332" t="s">
        <v>49</v>
      </c>
      <c r="F332">
        <v>0</v>
      </c>
      <c r="G332" t="s">
        <v>50</v>
      </c>
      <c r="H332" t="s">
        <v>41</v>
      </c>
      <c r="I332" t="s">
        <v>50</v>
      </c>
      <c r="J332" t="s">
        <v>35</v>
      </c>
      <c r="K332" t="s">
        <v>50</v>
      </c>
      <c r="L332" t="s">
        <v>24</v>
      </c>
      <c r="M332">
        <v>44</v>
      </c>
      <c r="N332" t="s">
        <v>25</v>
      </c>
      <c r="O332" t="s">
        <v>26</v>
      </c>
      <c r="P332" t="s">
        <v>155</v>
      </c>
      <c r="Q332" t="s">
        <v>354</v>
      </c>
    </row>
    <row r="333" spans="1:17" x14ac:dyDescent="0.3">
      <c r="A333">
        <v>598007</v>
      </c>
      <c r="B333" t="s">
        <v>29</v>
      </c>
      <c r="C333" s="1">
        <v>41551</v>
      </c>
      <c r="D333" t="s">
        <v>31</v>
      </c>
      <c r="E333" t="s">
        <v>32</v>
      </c>
      <c r="F333">
        <v>0</v>
      </c>
      <c r="G333" t="s">
        <v>33</v>
      </c>
      <c r="H333" t="s">
        <v>34</v>
      </c>
      <c r="I333" t="s">
        <v>34</v>
      </c>
      <c r="J333" t="s">
        <v>23</v>
      </c>
      <c r="K333" t="s">
        <v>34</v>
      </c>
      <c r="L333" t="s">
        <v>43</v>
      </c>
      <c r="M333">
        <v>10</v>
      </c>
      <c r="N333" t="s">
        <v>25</v>
      </c>
      <c r="O333" t="s">
        <v>26</v>
      </c>
      <c r="P333" t="s">
        <v>44</v>
      </c>
      <c r="Q333" t="s">
        <v>387</v>
      </c>
    </row>
    <row r="334" spans="1:17" x14ac:dyDescent="0.3">
      <c r="A334">
        <v>598008</v>
      </c>
      <c r="B334" t="s">
        <v>17</v>
      </c>
      <c r="C334" s="1">
        <v>41582</v>
      </c>
      <c r="D334" t="s">
        <v>152</v>
      </c>
      <c r="E334" t="s">
        <v>20</v>
      </c>
      <c r="F334">
        <v>0</v>
      </c>
      <c r="G334" t="s">
        <v>21</v>
      </c>
      <c r="H334" t="s">
        <v>22</v>
      </c>
      <c r="I334" t="s">
        <v>21</v>
      </c>
      <c r="J334" t="s">
        <v>23</v>
      </c>
      <c r="K334" t="s">
        <v>21</v>
      </c>
      <c r="L334" t="s">
        <v>43</v>
      </c>
      <c r="M334">
        <v>8</v>
      </c>
      <c r="N334" t="s">
        <v>25</v>
      </c>
      <c r="O334" t="s">
        <v>26</v>
      </c>
      <c r="P334" t="s">
        <v>27</v>
      </c>
      <c r="Q334" t="s">
        <v>349</v>
      </c>
    </row>
    <row r="335" spans="1:17" x14ac:dyDescent="0.3">
      <c r="A335">
        <v>598009</v>
      </c>
      <c r="B335" t="s">
        <v>355</v>
      </c>
      <c r="C335" s="1">
        <v>41582</v>
      </c>
      <c r="D335" t="s">
        <v>409</v>
      </c>
      <c r="E335" t="s">
        <v>357</v>
      </c>
      <c r="F335">
        <v>0</v>
      </c>
      <c r="G335" t="s">
        <v>292</v>
      </c>
      <c r="H335" t="s">
        <v>42</v>
      </c>
      <c r="I335" t="s">
        <v>42</v>
      </c>
      <c r="J335" t="s">
        <v>35</v>
      </c>
      <c r="K335" t="s">
        <v>292</v>
      </c>
      <c r="L335" t="s">
        <v>43</v>
      </c>
      <c r="M335">
        <v>7</v>
      </c>
      <c r="N335" t="s">
        <v>25</v>
      </c>
      <c r="O335" t="s">
        <v>26</v>
      </c>
      <c r="P335" t="s">
        <v>155</v>
      </c>
      <c r="Q335" t="s">
        <v>410</v>
      </c>
    </row>
    <row r="336" spans="1:17" x14ac:dyDescent="0.3">
      <c r="A336">
        <v>598010</v>
      </c>
      <c r="B336" t="s">
        <v>38</v>
      </c>
      <c r="C336" s="1">
        <v>41612</v>
      </c>
      <c r="D336" t="s">
        <v>111</v>
      </c>
      <c r="E336" t="s">
        <v>40</v>
      </c>
      <c r="F336">
        <v>0</v>
      </c>
      <c r="G336" t="s">
        <v>41</v>
      </c>
      <c r="H336" t="s">
        <v>406</v>
      </c>
      <c r="I336" t="s">
        <v>41</v>
      </c>
      <c r="J336" t="s">
        <v>35</v>
      </c>
      <c r="K336" t="s">
        <v>406</v>
      </c>
      <c r="L336" t="s">
        <v>43</v>
      </c>
      <c r="M336">
        <v>3</v>
      </c>
      <c r="N336" t="s">
        <v>25</v>
      </c>
      <c r="O336" t="s">
        <v>26</v>
      </c>
      <c r="P336" t="s">
        <v>44</v>
      </c>
      <c r="Q336" t="s">
        <v>411</v>
      </c>
    </row>
    <row r="337" spans="1:17" x14ac:dyDescent="0.3">
      <c r="A337">
        <v>598011</v>
      </c>
      <c r="B337" t="s">
        <v>46</v>
      </c>
      <c r="C337" t="s">
        <v>412</v>
      </c>
      <c r="D337" t="s">
        <v>190</v>
      </c>
      <c r="E337" t="s">
        <v>49</v>
      </c>
      <c r="F337">
        <v>0</v>
      </c>
      <c r="G337" t="s">
        <v>50</v>
      </c>
      <c r="H337" t="s">
        <v>292</v>
      </c>
      <c r="I337" t="s">
        <v>50</v>
      </c>
      <c r="J337" t="s">
        <v>35</v>
      </c>
      <c r="K337" t="s">
        <v>50</v>
      </c>
      <c r="L337" t="s">
        <v>24</v>
      </c>
      <c r="M337">
        <v>41</v>
      </c>
      <c r="N337" t="s">
        <v>25</v>
      </c>
      <c r="O337" t="s">
        <v>26</v>
      </c>
      <c r="P337" t="s">
        <v>183</v>
      </c>
      <c r="Q337" t="s">
        <v>149</v>
      </c>
    </row>
    <row r="338" spans="1:17" x14ac:dyDescent="0.3">
      <c r="A338">
        <v>598012</v>
      </c>
      <c r="B338" t="s">
        <v>70</v>
      </c>
      <c r="C338" t="s">
        <v>412</v>
      </c>
      <c r="D338" t="s">
        <v>352</v>
      </c>
      <c r="E338" t="s">
        <v>73</v>
      </c>
      <c r="F338">
        <v>0</v>
      </c>
      <c r="G338" t="s">
        <v>34</v>
      </c>
      <c r="H338" t="s">
        <v>21</v>
      </c>
      <c r="I338" t="s">
        <v>34</v>
      </c>
      <c r="J338" t="s">
        <v>23</v>
      </c>
      <c r="K338" t="s">
        <v>34</v>
      </c>
      <c r="L338" t="s">
        <v>43</v>
      </c>
      <c r="M338">
        <v>4</v>
      </c>
      <c r="N338" t="s">
        <v>25</v>
      </c>
      <c r="O338" t="s">
        <v>26</v>
      </c>
      <c r="P338" t="s">
        <v>27</v>
      </c>
      <c r="Q338" t="s">
        <v>349</v>
      </c>
    </row>
    <row r="339" spans="1:17" x14ac:dyDescent="0.3">
      <c r="A339">
        <v>598013</v>
      </c>
      <c r="B339" t="s">
        <v>53</v>
      </c>
      <c r="C339" t="s">
        <v>413</v>
      </c>
      <c r="D339" t="s">
        <v>189</v>
      </c>
      <c r="E339" t="s">
        <v>55</v>
      </c>
      <c r="F339">
        <v>0</v>
      </c>
      <c r="G339" t="s">
        <v>22</v>
      </c>
      <c r="H339" t="s">
        <v>406</v>
      </c>
      <c r="I339" t="s">
        <v>22</v>
      </c>
      <c r="J339" t="s">
        <v>35</v>
      </c>
      <c r="K339" t="s">
        <v>22</v>
      </c>
      <c r="L339" t="s">
        <v>24</v>
      </c>
      <c r="M339">
        <v>48</v>
      </c>
      <c r="N339" t="s">
        <v>25</v>
      </c>
      <c r="O339" t="s">
        <v>26</v>
      </c>
      <c r="P339" t="s">
        <v>155</v>
      </c>
      <c r="Q339" t="s">
        <v>354</v>
      </c>
    </row>
    <row r="340" spans="1:17" x14ac:dyDescent="0.3">
      <c r="A340">
        <v>598014</v>
      </c>
      <c r="B340" t="s">
        <v>59</v>
      </c>
      <c r="C340" t="s">
        <v>413</v>
      </c>
      <c r="D340" t="s">
        <v>414</v>
      </c>
      <c r="E340" t="s">
        <v>62</v>
      </c>
      <c r="F340">
        <v>0</v>
      </c>
      <c r="G340" t="s">
        <v>42</v>
      </c>
      <c r="H340" t="s">
        <v>33</v>
      </c>
      <c r="I340" t="s">
        <v>42</v>
      </c>
      <c r="J340" t="s">
        <v>23</v>
      </c>
      <c r="K340" t="s">
        <v>42</v>
      </c>
      <c r="L340" t="s">
        <v>43</v>
      </c>
      <c r="M340">
        <v>6</v>
      </c>
      <c r="N340" t="s">
        <v>25</v>
      </c>
      <c r="O340" t="s">
        <v>26</v>
      </c>
      <c r="P340" t="s">
        <v>44</v>
      </c>
      <c r="Q340" t="s">
        <v>387</v>
      </c>
    </row>
    <row r="341" spans="1:17" x14ac:dyDescent="0.3">
      <c r="A341">
        <v>598015</v>
      </c>
      <c r="B341" t="s">
        <v>70</v>
      </c>
      <c r="C341" t="s">
        <v>415</v>
      </c>
      <c r="D341" t="s">
        <v>348</v>
      </c>
      <c r="E341" t="s">
        <v>73</v>
      </c>
      <c r="F341">
        <v>0</v>
      </c>
      <c r="G341" t="s">
        <v>34</v>
      </c>
      <c r="H341" t="s">
        <v>292</v>
      </c>
      <c r="I341" t="s">
        <v>292</v>
      </c>
      <c r="J341" t="s">
        <v>35</v>
      </c>
      <c r="K341" t="s">
        <v>292</v>
      </c>
      <c r="L341" t="s">
        <v>24</v>
      </c>
      <c r="M341">
        <v>24</v>
      </c>
      <c r="N341" t="s">
        <v>25</v>
      </c>
      <c r="O341" t="s">
        <v>26</v>
      </c>
      <c r="P341" t="s">
        <v>27</v>
      </c>
      <c r="Q341" t="s">
        <v>349</v>
      </c>
    </row>
    <row r="342" spans="1:17" x14ac:dyDescent="0.3">
      <c r="A342">
        <v>598016</v>
      </c>
      <c r="B342" t="s">
        <v>29</v>
      </c>
      <c r="C342" t="s">
        <v>416</v>
      </c>
      <c r="D342" t="s">
        <v>417</v>
      </c>
      <c r="E342" t="s">
        <v>32</v>
      </c>
      <c r="F342">
        <v>0</v>
      </c>
      <c r="G342" t="s">
        <v>33</v>
      </c>
      <c r="H342" t="s">
        <v>22</v>
      </c>
      <c r="I342" t="s">
        <v>22</v>
      </c>
      <c r="J342" t="s">
        <v>23</v>
      </c>
      <c r="K342" t="s">
        <v>33</v>
      </c>
      <c r="L342" t="s">
        <v>24</v>
      </c>
      <c r="M342">
        <v>4</v>
      </c>
      <c r="N342" t="s">
        <v>25</v>
      </c>
      <c r="O342" t="s">
        <v>26</v>
      </c>
      <c r="P342" t="s">
        <v>418</v>
      </c>
      <c r="Q342" t="s">
        <v>149</v>
      </c>
    </row>
    <row r="343" spans="1:17" x14ac:dyDescent="0.3">
      <c r="A343">
        <v>598017</v>
      </c>
      <c r="B343" t="s">
        <v>17</v>
      </c>
      <c r="C343" t="s">
        <v>416</v>
      </c>
      <c r="D343" t="s">
        <v>314</v>
      </c>
      <c r="E343" t="s">
        <v>20</v>
      </c>
      <c r="F343">
        <v>0</v>
      </c>
      <c r="G343" t="s">
        <v>21</v>
      </c>
      <c r="H343" t="s">
        <v>41</v>
      </c>
      <c r="I343" t="s">
        <v>21</v>
      </c>
      <c r="J343" t="s">
        <v>23</v>
      </c>
      <c r="K343" t="s">
        <v>21</v>
      </c>
      <c r="L343" t="s">
        <v>158</v>
      </c>
      <c r="M343" t="s">
        <v>26</v>
      </c>
      <c r="N343" t="s">
        <v>159</v>
      </c>
      <c r="O343" t="s">
        <v>26</v>
      </c>
      <c r="P343" t="s">
        <v>155</v>
      </c>
      <c r="Q343" t="s">
        <v>354</v>
      </c>
    </row>
    <row r="344" spans="1:17" x14ac:dyDescent="0.3">
      <c r="A344">
        <v>598018</v>
      </c>
      <c r="B344" t="s">
        <v>355</v>
      </c>
      <c r="C344" t="s">
        <v>419</v>
      </c>
      <c r="D344" t="s">
        <v>111</v>
      </c>
      <c r="E344" t="s">
        <v>357</v>
      </c>
      <c r="F344">
        <v>0</v>
      </c>
      <c r="G344" t="s">
        <v>292</v>
      </c>
      <c r="H344" t="s">
        <v>406</v>
      </c>
      <c r="I344" t="s">
        <v>292</v>
      </c>
      <c r="J344" t="s">
        <v>23</v>
      </c>
      <c r="K344" t="s">
        <v>406</v>
      </c>
      <c r="L344" t="s">
        <v>24</v>
      </c>
      <c r="M344">
        <v>11</v>
      </c>
      <c r="N344" t="s">
        <v>25</v>
      </c>
      <c r="O344" t="s">
        <v>26</v>
      </c>
      <c r="P344" t="s">
        <v>27</v>
      </c>
      <c r="Q344" t="s">
        <v>349</v>
      </c>
    </row>
    <row r="345" spans="1:17" x14ac:dyDescent="0.3">
      <c r="A345">
        <v>598019</v>
      </c>
      <c r="B345" t="s">
        <v>59</v>
      </c>
      <c r="C345" t="s">
        <v>419</v>
      </c>
      <c r="D345" t="s">
        <v>350</v>
      </c>
      <c r="E345" t="s">
        <v>62</v>
      </c>
      <c r="F345">
        <v>0</v>
      </c>
      <c r="G345" t="s">
        <v>42</v>
      </c>
      <c r="H345" t="s">
        <v>50</v>
      </c>
      <c r="I345" t="s">
        <v>42</v>
      </c>
      <c r="J345" t="s">
        <v>35</v>
      </c>
      <c r="K345" t="s">
        <v>42</v>
      </c>
      <c r="L345" t="s">
        <v>24</v>
      </c>
      <c r="M345">
        <v>87</v>
      </c>
      <c r="N345" t="s">
        <v>25</v>
      </c>
      <c r="O345" t="s">
        <v>26</v>
      </c>
      <c r="P345" t="s">
        <v>44</v>
      </c>
      <c r="Q345" t="s">
        <v>387</v>
      </c>
    </row>
    <row r="346" spans="1:17" x14ac:dyDescent="0.3">
      <c r="A346">
        <v>598020</v>
      </c>
      <c r="B346" t="s">
        <v>38</v>
      </c>
      <c r="C346" t="s">
        <v>420</v>
      </c>
      <c r="D346" t="s">
        <v>31</v>
      </c>
      <c r="E346" t="s">
        <v>40</v>
      </c>
      <c r="F346">
        <v>0</v>
      </c>
      <c r="G346" t="s">
        <v>41</v>
      </c>
      <c r="H346" t="s">
        <v>34</v>
      </c>
      <c r="I346" t="s">
        <v>34</v>
      </c>
      <c r="J346" t="s">
        <v>35</v>
      </c>
      <c r="K346" t="s">
        <v>34</v>
      </c>
      <c r="L346" t="s">
        <v>24</v>
      </c>
      <c r="M346">
        <v>86</v>
      </c>
      <c r="N346" t="s">
        <v>25</v>
      </c>
      <c r="O346" t="s">
        <v>26</v>
      </c>
      <c r="P346" t="s">
        <v>155</v>
      </c>
      <c r="Q346" t="s">
        <v>354</v>
      </c>
    </row>
    <row r="347" spans="1:17" x14ac:dyDescent="0.3">
      <c r="A347">
        <v>598021</v>
      </c>
      <c r="B347" t="s">
        <v>64</v>
      </c>
      <c r="C347" t="s">
        <v>421</v>
      </c>
      <c r="D347" t="s">
        <v>408</v>
      </c>
      <c r="E347" t="s">
        <v>67</v>
      </c>
      <c r="F347">
        <v>0</v>
      </c>
      <c r="G347" t="s">
        <v>406</v>
      </c>
      <c r="H347" t="s">
        <v>33</v>
      </c>
      <c r="I347" t="s">
        <v>33</v>
      </c>
      <c r="J347" t="s">
        <v>35</v>
      </c>
      <c r="K347" t="s">
        <v>406</v>
      </c>
      <c r="L347" t="s">
        <v>43</v>
      </c>
      <c r="M347">
        <v>5</v>
      </c>
      <c r="N347" t="s">
        <v>25</v>
      </c>
      <c r="O347" t="s">
        <v>26</v>
      </c>
      <c r="P347" t="s">
        <v>165</v>
      </c>
      <c r="Q347" t="s">
        <v>418</v>
      </c>
    </row>
    <row r="348" spans="1:17" x14ac:dyDescent="0.3">
      <c r="A348">
        <v>598022</v>
      </c>
      <c r="B348" t="s">
        <v>53</v>
      </c>
      <c r="C348" t="s">
        <v>422</v>
      </c>
      <c r="D348" t="s">
        <v>352</v>
      </c>
      <c r="E348" t="s">
        <v>55</v>
      </c>
      <c r="F348">
        <v>0</v>
      </c>
      <c r="G348" t="s">
        <v>22</v>
      </c>
      <c r="H348" t="s">
        <v>34</v>
      </c>
      <c r="I348" t="s">
        <v>22</v>
      </c>
      <c r="J348" t="s">
        <v>35</v>
      </c>
      <c r="K348" t="s">
        <v>34</v>
      </c>
      <c r="L348" t="s">
        <v>43</v>
      </c>
      <c r="M348">
        <v>4</v>
      </c>
      <c r="N348" t="s">
        <v>25</v>
      </c>
      <c r="O348" t="s">
        <v>26</v>
      </c>
      <c r="P348" t="s">
        <v>27</v>
      </c>
      <c r="Q348" t="s">
        <v>349</v>
      </c>
    </row>
    <row r="349" spans="1:17" x14ac:dyDescent="0.3">
      <c r="A349">
        <v>598023</v>
      </c>
      <c r="B349" t="s">
        <v>17</v>
      </c>
      <c r="C349" t="s">
        <v>422</v>
      </c>
      <c r="D349" t="s">
        <v>96</v>
      </c>
      <c r="E349" t="s">
        <v>20</v>
      </c>
      <c r="F349">
        <v>0</v>
      </c>
      <c r="G349" t="s">
        <v>21</v>
      </c>
      <c r="H349" t="s">
        <v>42</v>
      </c>
      <c r="I349" t="s">
        <v>21</v>
      </c>
      <c r="J349" t="s">
        <v>23</v>
      </c>
      <c r="K349" t="s">
        <v>21</v>
      </c>
      <c r="L349" t="s">
        <v>43</v>
      </c>
      <c r="M349">
        <v>7</v>
      </c>
      <c r="N349" t="s">
        <v>25</v>
      </c>
      <c r="O349" t="s">
        <v>26</v>
      </c>
      <c r="P349" t="s">
        <v>44</v>
      </c>
      <c r="Q349" t="s">
        <v>387</v>
      </c>
    </row>
    <row r="350" spans="1:17" x14ac:dyDescent="0.3">
      <c r="A350">
        <v>598024</v>
      </c>
      <c r="B350" t="s">
        <v>38</v>
      </c>
      <c r="C350" t="s">
        <v>423</v>
      </c>
      <c r="D350" t="s">
        <v>66</v>
      </c>
      <c r="E350" t="s">
        <v>40</v>
      </c>
      <c r="F350">
        <v>0</v>
      </c>
      <c r="G350" t="s">
        <v>41</v>
      </c>
      <c r="H350" t="s">
        <v>50</v>
      </c>
      <c r="I350" t="s">
        <v>50</v>
      </c>
      <c r="J350" t="s">
        <v>35</v>
      </c>
      <c r="K350" t="s">
        <v>41</v>
      </c>
      <c r="L350" t="s">
        <v>43</v>
      </c>
      <c r="M350">
        <v>9</v>
      </c>
      <c r="N350" t="s">
        <v>25</v>
      </c>
      <c r="O350" t="s">
        <v>26</v>
      </c>
      <c r="P350" t="s">
        <v>165</v>
      </c>
      <c r="Q350" t="s">
        <v>183</v>
      </c>
    </row>
    <row r="351" spans="1:17" x14ac:dyDescent="0.3">
      <c r="A351">
        <v>598025</v>
      </c>
      <c r="B351" t="s">
        <v>29</v>
      </c>
      <c r="C351" t="s">
        <v>423</v>
      </c>
      <c r="D351" t="s">
        <v>424</v>
      </c>
      <c r="E351" t="s">
        <v>32</v>
      </c>
      <c r="F351">
        <v>0</v>
      </c>
      <c r="G351" t="s">
        <v>33</v>
      </c>
      <c r="H351" t="s">
        <v>292</v>
      </c>
      <c r="I351" t="s">
        <v>33</v>
      </c>
      <c r="J351" t="s">
        <v>23</v>
      </c>
      <c r="K351" t="s">
        <v>33</v>
      </c>
      <c r="L351" t="s">
        <v>43</v>
      </c>
      <c r="M351">
        <v>7</v>
      </c>
      <c r="N351" t="s">
        <v>25</v>
      </c>
      <c r="O351" t="s">
        <v>26</v>
      </c>
      <c r="P351" t="s">
        <v>155</v>
      </c>
      <c r="Q351" t="s">
        <v>410</v>
      </c>
    </row>
    <row r="352" spans="1:17" x14ac:dyDescent="0.3">
      <c r="A352">
        <v>598026</v>
      </c>
      <c r="B352" t="s">
        <v>70</v>
      </c>
      <c r="C352" t="s">
        <v>425</v>
      </c>
      <c r="D352" t="s">
        <v>31</v>
      </c>
      <c r="E352" t="s">
        <v>73</v>
      </c>
      <c r="F352">
        <v>0</v>
      </c>
      <c r="G352" t="s">
        <v>34</v>
      </c>
      <c r="H352" t="s">
        <v>42</v>
      </c>
      <c r="I352" t="s">
        <v>42</v>
      </c>
      <c r="J352" t="s">
        <v>35</v>
      </c>
      <c r="K352" t="s">
        <v>34</v>
      </c>
      <c r="L352" t="s">
        <v>43</v>
      </c>
      <c r="M352">
        <v>5</v>
      </c>
      <c r="N352" t="s">
        <v>25</v>
      </c>
      <c r="O352" t="s">
        <v>26</v>
      </c>
      <c r="P352" t="s">
        <v>168</v>
      </c>
      <c r="Q352" t="s">
        <v>349</v>
      </c>
    </row>
    <row r="353" spans="1:17" x14ac:dyDescent="0.3">
      <c r="A353">
        <v>598027</v>
      </c>
      <c r="B353" t="s">
        <v>17</v>
      </c>
      <c r="C353" t="s">
        <v>426</v>
      </c>
      <c r="D353" t="s">
        <v>152</v>
      </c>
      <c r="E353" t="s">
        <v>20</v>
      </c>
      <c r="F353">
        <v>0</v>
      </c>
      <c r="G353" t="s">
        <v>21</v>
      </c>
      <c r="H353" t="s">
        <v>292</v>
      </c>
      <c r="I353" t="s">
        <v>292</v>
      </c>
      <c r="J353" t="s">
        <v>23</v>
      </c>
      <c r="K353" t="s">
        <v>21</v>
      </c>
      <c r="L353" t="s">
        <v>24</v>
      </c>
      <c r="M353">
        <v>130</v>
      </c>
      <c r="N353" t="s">
        <v>25</v>
      </c>
      <c r="O353" t="s">
        <v>26</v>
      </c>
      <c r="P353" t="s">
        <v>44</v>
      </c>
      <c r="Q353" t="s">
        <v>387</v>
      </c>
    </row>
    <row r="354" spans="1:17" x14ac:dyDescent="0.3">
      <c r="A354">
        <v>598028</v>
      </c>
      <c r="B354" t="s">
        <v>271</v>
      </c>
      <c r="C354" t="s">
        <v>427</v>
      </c>
      <c r="D354" t="s">
        <v>424</v>
      </c>
      <c r="E354" t="s">
        <v>273</v>
      </c>
      <c r="F354">
        <v>0</v>
      </c>
      <c r="G354" t="s">
        <v>33</v>
      </c>
      <c r="H354" t="s">
        <v>41</v>
      </c>
      <c r="I354" t="s">
        <v>41</v>
      </c>
      <c r="J354" t="s">
        <v>23</v>
      </c>
      <c r="K354" t="s">
        <v>33</v>
      </c>
      <c r="L354" t="s">
        <v>24</v>
      </c>
      <c r="M354">
        <v>7</v>
      </c>
      <c r="N354" t="s">
        <v>25</v>
      </c>
      <c r="O354" t="s">
        <v>26</v>
      </c>
      <c r="P354" t="s">
        <v>165</v>
      </c>
      <c r="Q354" t="s">
        <v>183</v>
      </c>
    </row>
    <row r="355" spans="1:17" x14ac:dyDescent="0.3">
      <c r="A355">
        <v>598029</v>
      </c>
      <c r="B355" t="s">
        <v>53</v>
      </c>
      <c r="C355" t="s">
        <v>428</v>
      </c>
      <c r="D355" t="s">
        <v>195</v>
      </c>
      <c r="E355" t="s">
        <v>55</v>
      </c>
      <c r="F355">
        <v>0</v>
      </c>
      <c r="G355" t="s">
        <v>22</v>
      </c>
      <c r="H355" t="s">
        <v>50</v>
      </c>
      <c r="I355" t="s">
        <v>22</v>
      </c>
      <c r="J355" t="s">
        <v>35</v>
      </c>
      <c r="K355" t="s">
        <v>50</v>
      </c>
      <c r="L355" t="s">
        <v>43</v>
      </c>
      <c r="M355">
        <v>5</v>
      </c>
      <c r="N355" t="s">
        <v>25</v>
      </c>
      <c r="O355" t="s">
        <v>26</v>
      </c>
      <c r="P355" t="s">
        <v>165</v>
      </c>
      <c r="Q355" t="s">
        <v>183</v>
      </c>
    </row>
    <row r="356" spans="1:17" x14ac:dyDescent="0.3">
      <c r="A356">
        <v>598030</v>
      </c>
      <c r="B356" t="s">
        <v>70</v>
      </c>
      <c r="C356" t="s">
        <v>429</v>
      </c>
      <c r="D356" t="s">
        <v>87</v>
      </c>
      <c r="E356" t="s">
        <v>73</v>
      </c>
      <c r="F356">
        <v>0</v>
      </c>
      <c r="G356" t="s">
        <v>34</v>
      </c>
      <c r="H356" t="s">
        <v>406</v>
      </c>
      <c r="I356" t="s">
        <v>406</v>
      </c>
      <c r="J356" t="s">
        <v>35</v>
      </c>
      <c r="K356" t="s">
        <v>34</v>
      </c>
      <c r="L356" t="s">
        <v>43</v>
      </c>
      <c r="M356">
        <v>5</v>
      </c>
      <c r="N356" t="s">
        <v>25</v>
      </c>
      <c r="O356" t="s">
        <v>26</v>
      </c>
      <c r="P356" t="s">
        <v>44</v>
      </c>
      <c r="Q356" t="s">
        <v>228</v>
      </c>
    </row>
    <row r="357" spans="1:17" x14ac:dyDescent="0.3">
      <c r="A357">
        <v>598031</v>
      </c>
      <c r="B357" t="s">
        <v>53</v>
      </c>
      <c r="C357" t="s">
        <v>430</v>
      </c>
      <c r="D357" t="s">
        <v>187</v>
      </c>
      <c r="E357" t="s">
        <v>55</v>
      </c>
      <c r="F357">
        <v>0</v>
      </c>
      <c r="G357" t="s">
        <v>22</v>
      </c>
      <c r="H357" t="s">
        <v>33</v>
      </c>
      <c r="I357" t="s">
        <v>33</v>
      </c>
      <c r="J357" t="s">
        <v>35</v>
      </c>
      <c r="K357" t="s">
        <v>22</v>
      </c>
      <c r="L357" t="s">
        <v>43</v>
      </c>
      <c r="M357">
        <v>6</v>
      </c>
      <c r="N357" t="s">
        <v>25</v>
      </c>
      <c r="O357" t="s">
        <v>26</v>
      </c>
      <c r="P357" t="s">
        <v>418</v>
      </c>
      <c r="Q357" t="s">
        <v>183</v>
      </c>
    </row>
    <row r="358" spans="1:17" x14ac:dyDescent="0.3">
      <c r="A358">
        <v>598032</v>
      </c>
      <c r="B358" t="s">
        <v>59</v>
      </c>
      <c r="C358" t="s">
        <v>431</v>
      </c>
      <c r="D358" t="s">
        <v>414</v>
      </c>
      <c r="E358" t="s">
        <v>62</v>
      </c>
      <c r="F358">
        <v>0</v>
      </c>
      <c r="G358" t="s">
        <v>42</v>
      </c>
      <c r="H358" t="s">
        <v>406</v>
      </c>
      <c r="I358" t="s">
        <v>406</v>
      </c>
      <c r="J358" t="s">
        <v>35</v>
      </c>
      <c r="K358" t="s">
        <v>42</v>
      </c>
      <c r="L358" t="s">
        <v>43</v>
      </c>
      <c r="M358">
        <v>8</v>
      </c>
      <c r="N358" t="s">
        <v>25</v>
      </c>
      <c r="O358" t="s">
        <v>26</v>
      </c>
      <c r="P358" t="s">
        <v>354</v>
      </c>
      <c r="Q358" t="s">
        <v>410</v>
      </c>
    </row>
    <row r="359" spans="1:17" x14ac:dyDescent="0.3">
      <c r="A359">
        <v>598033</v>
      </c>
      <c r="B359" t="s">
        <v>46</v>
      </c>
      <c r="C359" t="s">
        <v>431</v>
      </c>
      <c r="D359" t="s">
        <v>195</v>
      </c>
      <c r="E359" t="s">
        <v>49</v>
      </c>
      <c r="F359">
        <v>0</v>
      </c>
      <c r="G359" t="s">
        <v>50</v>
      </c>
      <c r="H359" t="s">
        <v>21</v>
      </c>
      <c r="I359" t="s">
        <v>50</v>
      </c>
      <c r="J359" t="s">
        <v>35</v>
      </c>
      <c r="K359" t="s">
        <v>50</v>
      </c>
      <c r="L359" t="s">
        <v>24</v>
      </c>
      <c r="M359">
        <v>58</v>
      </c>
      <c r="N359" t="s">
        <v>25</v>
      </c>
      <c r="O359" t="s">
        <v>26</v>
      </c>
      <c r="P359" t="s">
        <v>27</v>
      </c>
      <c r="Q359" t="s">
        <v>168</v>
      </c>
    </row>
    <row r="360" spans="1:17" x14ac:dyDescent="0.3">
      <c r="A360">
        <v>598034</v>
      </c>
      <c r="B360" t="s">
        <v>70</v>
      </c>
      <c r="C360" t="s">
        <v>432</v>
      </c>
      <c r="D360" t="s">
        <v>31</v>
      </c>
      <c r="E360" t="s">
        <v>73</v>
      </c>
      <c r="F360">
        <v>0</v>
      </c>
      <c r="G360" t="s">
        <v>34</v>
      </c>
      <c r="H360" t="s">
        <v>22</v>
      </c>
      <c r="I360" t="s">
        <v>22</v>
      </c>
      <c r="J360" t="s">
        <v>23</v>
      </c>
      <c r="K360" t="s">
        <v>34</v>
      </c>
      <c r="L360" t="s">
        <v>24</v>
      </c>
      <c r="M360">
        <v>14</v>
      </c>
      <c r="N360" t="s">
        <v>25</v>
      </c>
      <c r="O360" t="s">
        <v>26</v>
      </c>
      <c r="P360" t="s">
        <v>44</v>
      </c>
      <c r="Q360" t="s">
        <v>149</v>
      </c>
    </row>
    <row r="361" spans="1:17" x14ac:dyDescent="0.3">
      <c r="A361">
        <v>598035</v>
      </c>
      <c r="B361" t="s">
        <v>433</v>
      </c>
      <c r="C361" t="s">
        <v>432</v>
      </c>
      <c r="D361" t="s">
        <v>251</v>
      </c>
      <c r="E361" t="s">
        <v>434</v>
      </c>
      <c r="F361">
        <v>0</v>
      </c>
      <c r="G361" t="s">
        <v>41</v>
      </c>
      <c r="H361" t="s">
        <v>292</v>
      </c>
      <c r="I361" t="s">
        <v>292</v>
      </c>
      <c r="J361" t="s">
        <v>23</v>
      </c>
      <c r="K361" t="s">
        <v>41</v>
      </c>
      <c r="L361" t="s">
        <v>24</v>
      </c>
      <c r="M361">
        <v>15</v>
      </c>
      <c r="N361" t="s">
        <v>25</v>
      </c>
      <c r="O361" t="s">
        <v>26</v>
      </c>
      <c r="P361" t="s">
        <v>418</v>
      </c>
      <c r="Q361" t="s">
        <v>183</v>
      </c>
    </row>
    <row r="362" spans="1:17" x14ac:dyDescent="0.3">
      <c r="A362">
        <v>598036</v>
      </c>
      <c r="B362" t="s">
        <v>59</v>
      </c>
      <c r="C362" t="s">
        <v>435</v>
      </c>
      <c r="D362" t="s">
        <v>436</v>
      </c>
      <c r="E362" t="s">
        <v>62</v>
      </c>
      <c r="F362">
        <v>0</v>
      </c>
      <c r="G362" t="s">
        <v>42</v>
      </c>
      <c r="H362" t="s">
        <v>21</v>
      </c>
      <c r="I362" t="s">
        <v>42</v>
      </c>
      <c r="J362" t="s">
        <v>23</v>
      </c>
      <c r="K362" t="s">
        <v>42</v>
      </c>
      <c r="L362" t="s">
        <v>43</v>
      </c>
      <c r="M362">
        <v>4</v>
      </c>
      <c r="N362" t="s">
        <v>25</v>
      </c>
      <c r="O362" t="s">
        <v>26</v>
      </c>
      <c r="P362" t="s">
        <v>155</v>
      </c>
      <c r="Q362" t="s">
        <v>410</v>
      </c>
    </row>
    <row r="363" spans="1:17" x14ac:dyDescent="0.3">
      <c r="A363">
        <v>598037</v>
      </c>
      <c r="B363" t="s">
        <v>46</v>
      </c>
      <c r="C363" t="s">
        <v>435</v>
      </c>
      <c r="D363" t="s">
        <v>190</v>
      </c>
      <c r="E363" t="s">
        <v>49</v>
      </c>
      <c r="F363">
        <v>0</v>
      </c>
      <c r="G363" t="s">
        <v>50</v>
      </c>
      <c r="H363" t="s">
        <v>33</v>
      </c>
      <c r="I363" t="s">
        <v>50</v>
      </c>
      <c r="J363" t="s">
        <v>35</v>
      </c>
      <c r="K363" t="s">
        <v>50</v>
      </c>
      <c r="L363" t="s">
        <v>24</v>
      </c>
      <c r="M363">
        <v>4</v>
      </c>
      <c r="N363" t="s">
        <v>25</v>
      </c>
      <c r="O363" t="s">
        <v>26</v>
      </c>
      <c r="P363" t="s">
        <v>27</v>
      </c>
      <c r="Q363" t="s">
        <v>349</v>
      </c>
    </row>
    <row r="364" spans="1:17" x14ac:dyDescent="0.3">
      <c r="A364">
        <v>598038</v>
      </c>
      <c r="B364" t="s">
        <v>355</v>
      </c>
      <c r="C364" t="s">
        <v>437</v>
      </c>
      <c r="D364" t="s">
        <v>87</v>
      </c>
      <c r="E364" t="s">
        <v>357</v>
      </c>
      <c r="F364">
        <v>0</v>
      </c>
      <c r="G364" t="s">
        <v>292</v>
      </c>
      <c r="H364" t="s">
        <v>34</v>
      </c>
      <c r="I364" t="s">
        <v>34</v>
      </c>
      <c r="J364" t="s">
        <v>35</v>
      </c>
      <c r="K364" t="s">
        <v>34</v>
      </c>
      <c r="L364" t="s">
        <v>24</v>
      </c>
      <c r="M364">
        <v>37</v>
      </c>
      <c r="N364" t="s">
        <v>25</v>
      </c>
      <c r="O364" t="s">
        <v>26</v>
      </c>
      <c r="P364" t="s">
        <v>228</v>
      </c>
      <c r="Q364" t="s">
        <v>149</v>
      </c>
    </row>
    <row r="365" spans="1:17" x14ac:dyDescent="0.3">
      <c r="A365">
        <v>598039</v>
      </c>
      <c r="B365" t="s">
        <v>64</v>
      </c>
      <c r="C365" s="1">
        <v>41279</v>
      </c>
      <c r="D365" t="s">
        <v>316</v>
      </c>
      <c r="E365" t="s">
        <v>67</v>
      </c>
      <c r="F365">
        <v>0</v>
      </c>
      <c r="G365" t="s">
        <v>406</v>
      </c>
      <c r="H365" t="s">
        <v>50</v>
      </c>
      <c r="I365" t="s">
        <v>50</v>
      </c>
      <c r="J365" t="s">
        <v>35</v>
      </c>
      <c r="K365" t="s">
        <v>406</v>
      </c>
      <c r="L365" t="s">
        <v>43</v>
      </c>
      <c r="M365">
        <v>7</v>
      </c>
      <c r="N365" t="s">
        <v>25</v>
      </c>
      <c r="O365" t="s">
        <v>26</v>
      </c>
      <c r="P365" t="s">
        <v>27</v>
      </c>
      <c r="Q365" t="s">
        <v>168</v>
      </c>
    </row>
    <row r="366" spans="1:17" x14ac:dyDescent="0.3">
      <c r="A366">
        <v>598040</v>
      </c>
      <c r="B366" t="s">
        <v>433</v>
      </c>
      <c r="C366" s="1">
        <v>41279</v>
      </c>
      <c r="D366" t="s">
        <v>251</v>
      </c>
      <c r="E366" t="s">
        <v>434</v>
      </c>
      <c r="F366">
        <v>0</v>
      </c>
      <c r="G366" t="s">
        <v>41</v>
      </c>
      <c r="H366" t="s">
        <v>22</v>
      </c>
      <c r="I366" t="s">
        <v>22</v>
      </c>
      <c r="J366" t="s">
        <v>35</v>
      </c>
      <c r="K366" t="s">
        <v>41</v>
      </c>
      <c r="L366" t="s">
        <v>43</v>
      </c>
      <c r="M366">
        <v>7</v>
      </c>
      <c r="N366" t="s">
        <v>25</v>
      </c>
      <c r="O366" t="s">
        <v>26</v>
      </c>
      <c r="P366" t="s">
        <v>165</v>
      </c>
      <c r="Q366" t="s">
        <v>418</v>
      </c>
    </row>
    <row r="367" spans="1:17" x14ac:dyDescent="0.3">
      <c r="A367">
        <v>598041</v>
      </c>
      <c r="B367" t="s">
        <v>70</v>
      </c>
      <c r="C367" s="1">
        <v>41310</v>
      </c>
      <c r="D367" t="s">
        <v>133</v>
      </c>
      <c r="E367" t="s">
        <v>73</v>
      </c>
      <c r="F367">
        <v>0</v>
      </c>
      <c r="G367" t="s">
        <v>34</v>
      </c>
      <c r="H367" t="s">
        <v>33</v>
      </c>
      <c r="I367" t="s">
        <v>34</v>
      </c>
      <c r="J367" t="s">
        <v>35</v>
      </c>
      <c r="K367" t="s">
        <v>34</v>
      </c>
      <c r="L367" t="s">
        <v>24</v>
      </c>
      <c r="M367">
        <v>15</v>
      </c>
      <c r="N367" t="s">
        <v>25</v>
      </c>
      <c r="O367" t="s">
        <v>26</v>
      </c>
      <c r="P367" t="s">
        <v>155</v>
      </c>
      <c r="Q367" t="s">
        <v>354</v>
      </c>
    </row>
    <row r="368" spans="1:17" x14ac:dyDescent="0.3">
      <c r="A368">
        <v>598042</v>
      </c>
      <c r="B368" t="s">
        <v>355</v>
      </c>
      <c r="C368" s="1">
        <v>41310</v>
      </c>
      <c r="D368" t="s">
        <v>157</v>
      </c>
      <c r="E368" t="s">
        <v>357</v>
      </c>
      <c r="F368">
        <v>0</v>
      </c>
      <c r="G368" t="s">
        <v>292</v>
      </c>
      <c r="H368" t="s">
        <v>21</v>
      </c>
      <c r="I368" t="s">
        <v>21</v>
      </c>
      <c r="J368" t="s">
        <v>35</v>
      </c>
      <c r="K368" t="s">
        <v>21</v>
      </c>
      <c r="L368" t="s">
        <v>24</v>
      </c>
      <c r="M368">
        <v>17</v>
      </c>
      <c r="N368" t="s">
        <v>25</v>
      </c>
      <c r="O368" t="s">
        <v>26</v>
      </c>
      <c r="P368" t="s">
        <v>44</v>
      </c>
      <c r="Q368" t="s">
        <v>387</v>
      </c>
    </row>
    <row r="369" spans="1:17" x14ac:dyDescent="0.3">
      <c r="A369">
        <v>598043</v>
      </c>
      <c r="B369" t="s">
        <v>53</v>
      </c>
      <c r="C369" s="1">
        <v>41338</v>
      </c>
      <c r="D369" t="s">
        <v>75</v>
      </c>
      <c r="E369" t="s">
        <v>55</v>
      </c>
      <c r="F369">
        <v>0</v>
      </c>
      <c r="G369" t="s">
        <v>22</v>
      </c>
      <c r="H369" t="s">
        <v>42</v>
      </c>
      <c r="I369" t="s">
        <v>42</v>
      </c>
      <c r="J369" t="s">
        <v>35</v>
      </c>
      <c r="K369" t="s">
        <v>22</v>
      </c>
      <c r="L369" t="s">
        <v>43</v>
      </c>
      <c r="M369">
        <v>8</v>
      </c>
      <c r="N369" t="s">
        <v>25</v>
      </c>
      <c r="O369" t="s">
        <v>26</v>
      </c>
      <c r="P369" t="s">
        <v>165</v>
      </c>
      <c r="Q369" t="s">
        <v>418</v>
      </c>
    </row>
    <row r="370" spans="1:17" x14ac:dyDescent="0.3">
      <c r="A370">
        <v>598044</v>
      </c>
      <c r="B370" t="s">
        <v>64</v>
      </c>
      <c r="C370" s="1">
        <v>41369</v>
      </c>
      <c r="D370" t="s">
        <v>438</v>
      </c>
      <c r="E370" t="s">
        <v>67</v>
      </c>
      <c r="F370">
        <v>0</v>
      </c>
      <c r="G370" t="s">
        <v>406</v>
      </c>
      <c r="H370" t="s">
        <v>41</v>
      </c>
      <c r="I370" t="s">
        <v>41</v>
      </c>
      <c r="J370" t="s">
        <v>35</v>
      </c>
      <c r="K370" t="s">
        <v>406</v>
      </c>
      <c r="L370" t="s">
        <v>43</v>
      </c>
      <c r="M370">
        <v>6</v>
      </c>
      <c r="N370" t="s">
        <v>25</v>
      </c>
      <c r="O370" t="s">
        <v>26</v>
      </c>
      <c r="P370" t="s">
        <v>27</v>
      </c>
      <c r="Q370" t="s">
        <v>168</v>
      </c>
    </row>
    <row r="371" spans="1:17" x14ac:dyDescent="0.3">
      <c r="A371">
        <v>598045</v>
      </c>
      <c r="B371" t="s">
        <v>17</v>
      </c>
      <c r="C371" t="s">
        <v>439</v>
      </c>
      <c r="D371" t="s">
        <v>82</v>
      </c>
      <c r="E371" t="s">
        <v>20</v>
      </c>
      <c r="F371">
        <v>0</v>
      </c>
      <c r="G371" t="s">
        <v>21</v>
      </c>
      <c r="H371" t="s">
        <v>33</v>
      </c>
      <c r="I371" t="s">
        <v>33</v>
      </c>
      <c r="J371" t="s">
        <v>23</v>
      </c>
      <c r="K371" t="s">
        <v>33</v>
      </c>
      <c r="L371" t="s">
        <v>43</v>
      </c>
      <c r="M371">
        <v>7</v>
      </c>
      <c r="N371" t="s">
        <v>25</v>
      </c>
      <c r="O371" t="s">
        <v>26</v>
      </c>
      <c r="P371" t="s">
        <v>165</v>
      </c>
      <c r="Q371" t="s">
        <v>183</v>
      </c>
    </row>
    <row r="372" spans="1:17" x14ac:dyDescent="0.3">
      <c r="A372">
        <v>598046</v>
      </c>
      <c r="B372" t="s">
        <v>46</v>
      </c>
      <c r="C372" s="1">
        <v>41399</v>
      </c>
      <c r="D372" t="s">
        <v>440</v>
      </c>
      <c r="E372" t="s">
        <v>49</v>
      </c>
      <c r="F372">
        <v>0</v>
      </c>
      <c r="G372" t="s">
        <v>50</v>
      </c>
      <c r="H372" t="s">
        <v>34</v>
      </c>
      <c r="I372" t="s">
        <v>50</v>
      </c>
      <c r="J372" t="s">
        <v>35</v>
      </c>
      <c r="K372" t="s">
        <v>50</v>
      </c>
      <c r="L372" t="s">
        <v>24</v>
      </c>
      <c r="M372">
        <v>60</v>
      </c>
      <c r="N372" t="s">
        <v>25</v>
      </c>
      <c r="O372" t="s">
        <v>26</v>
      </c>
      <c r="P372" t="s">
        <v>165</v>
      </c>
      <c r="Q372" t="s">
        <v>418</v>
      </c>
    </row>
    <row r="373" spans="1:17" x14ac:dyDescent="0.3">
      <c r="A373">
        <v>598047</v>
      </c>
      <c r="B373" t="s">
        <v>59</v>
      </c>
      <c r="C373" s="1">
        <v>41399</v>
      </c>
      <c r="D373" t="s">
        <v>350</v>
      </c>
      <c r="E373" t="s">
        <v>62</v>
      </c>
      <c r="F373">
        <v>0</v>
      </c>
      <c r="G373" t="s">
        <v>42</v>
      </c>
      <c r="H373" t="s">
        <v>292</v>
      </c>
      <c r="I373" t="s">
        <v>292</v>
      </c>
      <c r="J373" t="s">
        <v>35</v>
      </c>
      <c r="K373" t="s">
        <v>42</v>
      </c>
      <c r="L373" t="s">
        <v>43</v>
      </c>
      <c r="M373">
        <v>5</v>
      </c>
      <c r="N373" t="s">
        <v>25</v>
      </c>
      <c r="O373" t="s">
        <v>26</v>
      </c>
      <c r="P373" t="s">
        <v>387</v>
      </c>
      <c r="Q373" t="s">
        <v>305</v>
      </c>
    </row>
    <row r="374" spans="1:17" x14ac:dyDescent="0.3">
      <c r="A374">
        <v>598048</v>
      </c>
      <c r="B374" t="s">
        <v>17</v>
      </c>
      <c r="C374" s="1">
        <v>41521</v>
      </c>
      <c r="D374" t="s">
        <v>314</v>
      </c>
      <c r="E374" t="s">
        <v>20</v>
      </c>
      <c r="F374">
        <v>0</v>
      </c>
      <c r="G374" t="s">
        <v>21</v>
      </c>
      <c r="H374" t="s">
        <v>406</v>
      </c>
      <c r="I374" t="s">
        <v>406</v>
      </c>
      <c r="J374" t="s">
        <v>35</v>
      </c>
      <c r="K374" t="s">
        <v>21</v>
      </c>
      <c r="L374" t="s">
        <v>43</v>
      </c>
      <c r="M374">
        <v>7</v>
      </c>
      <c r="N374" t="s">
        <v>25</v>
      </c>
      <c r="O374" t="s">
        <v>26</v>
      </c>
      <c r="P374" t="s">
        <v>183</v>
      </c>
      <c r="Q374" t="s">
        <v>149</v>
      </c>
    </row>
    <row r="375" spans="1:17" x14ac:dyDescent="0.3">
      <c r="A375">
        <v>598049</v>
      </c>
      <c r="B375" t="s">
        <v>59</v>
      </c>
      <c r="C375" s="1">
        <v>41460</v>
      </c>
      <c r="D375" t="s">
        <v>350</v>
      </c>
      <c r="E375" t="s">
        <v>62</v>
      </c>
      <c r="F375">
        <v>0</v>
      </c>
      <c r="G375" t="s">
        <v>42</v>
      </c>
      <c r="H375" t="s">
        <v>41</v>
      </c>
      <c r="I375" t="s">
        <v>41</v>
      </c>
      <c r="J375" t="s">
        <v>35</v>
      </c>
      <c r="K375" t="s">
        <v>42</v>
      </c>
      <c r="L375" t="s">
        <v>43</v>
      </c>
      <c r="M375">
        <v>9</v>
      </c>
      <c r="N375" t="s">
        <v>25</v>
      </c>
      <c r="O375" t="s">
        <v>26</v>
      </c>
      <c r="P375" t="s">
        <v>44</v>
      </c>
      <c r="Q375" t="s">
        <v>305</v>
      </c>
    </row>
    <row r="376" spans="1:17" x14ac:dyDescent="0.3">
      <c r="A376">
        <v>598050</v>
      </c>
      <c r="B376" t="s">
        <v>46</v>
      </c>
      <c r="C376" s="1">
        <v>41460</v>
      </c>
      <c r="D376" t="s">
        <v>138</v>
      </c>
      <c r="E376" t="s">
        <v>49</v>
      </c>
      <c r="F376">
        <v>0</v>
      </c>
      <c r="G376" t="s">
        <v>50</v>
      </c>
      <c r="H376" t="s">
        <v>22</v>
      </c>
      <c r="I376" t="s">
        <v>50</v>
      </c>
      <c r="J376" t="s">
        <v>35</v>
      </c>
      <c r="K376" t="s">
        <v>50</v>
      </c>
      <c r="L376" t="s">
        <v>24</v>
      </c>
      <c r="M376">
        <v>65</v>
      </c>
      <c r="N376" t="s">
        <v>25</v>
      </c>
      <c r="O376" t="s">
        <v>26</v>
      </c>
      <c r="P376" t="s">
        <v>165</v>
      </c>
      <c r="Q376" t="s">
        <v>183</v>
      </c>
    </row>
    <row r="377" spans="1:17" x14ac:dyDescent="0.3">
      <c r="A377">
        <v>598051</v>
      </c>
      <c r="B377" t="s">
        <v>64</v>
      </c>
      <c r="C377" s="1">
        <v>41491</v>
      </c>
      <c r="D377" t="s">
        <v>133</v>
      </c>
      <c r="E377" t="s">
        <v>67</v>
      </c>
      <c r="F377">
        <v>0</v>
      </c>
      <c r="G377" t="s">
        <v>406</v>
      </c>
      <c r="H377" t="s">
        <v>34</v>
      </c>
      <c r="I377" t="s">
        <v>406</v>
      </c>
      <c r="J377" t="s">
        <v>23</v>
      </c>
      <c r="K377" t="s">
        <v>34</v>
      </c>
      <c r="L377" t="s">
        <v>24</v>
      </c>
      <c r="M377">
        <v>77</v>
      </c>
      <c r="N377" t="s">
        <v>25</v>
      </c>
      <c r="O377" t="s">
        <v>26</v>
      </c>
      <c r="P377" t="s">
        <v>228</v>
      </c>
      <c r="Q377" t="s">
        <v>441</v>
      </c>
    </row>
    <row r="378" spans="1:17" x14ac:dyDescent="0.3">
      <c r="A378">
        <v>598052</v>
      </c>
      <c r="B378" t="s">
        <v>29</v>
      </c>
      <c r="C378" s="1">
        <v>41522</v>
      </c>
      <c r="D378" t="s">
        <v>442</v>
      </c>
      <c r="E378" t="s">
        <v>32</v>
      </c>
      <c r="F378">
        <v>0</v>
      </c>
      <c r="G378" t="s">
        <v>33</v>
      </c>
      <c r="H378" t="s">
        <v>42</v>
      </c>
      <c r="I378" t="s">
        <v>42</v>
      </c>
      <c r="J378" t="s">
        <v>23</v>
      </c>
      <c r="K378" t="s">
        <v>42</v>
      </c>
      <c r="L378" t="s">
        <v>43</v>
      </c>
      <c r="M378">
        <v>8</v>
      </c>
      <c r="N378" t="s">
        <v>25</v>
      </c>
      <c r="O378" t="s">
        <v>26</v>
      </c>
      <c r="P378" t="s">
        <v>165</v>
      </c>
      <c r="Q378" t="s">
        <v>183</v>
      </c>
    </row>
    <row r="379" spans="1:17" x14ac:dyDescent="0.3">
      <c r="A379">
        <v>598053</v>
      </c>
      <c r="B379" t="s">
        <v>355</v>
      </c>
      <c r="C379" s="1">
        <v>41522</v>
      </c>
      <c r="D379" t="s">
        <v>189</v>
      </c>
      <c r="E379" t="s">
        <v>357</v>
      </c>
      <c r="F379">
        <v>0</v>
      </c>
      <c r="G379" t="s">
        <v>292</v>
      </c>
      <c r="H379" t="s">
        <v>22</v>
      </c>
      <c r="I379" t="s">
        <v>22</v>
      </c>
      <c r="J379" t="s">
        <v>35</v>
      </c>
      <c r="K379" t="s">
        <v>22</v>
      </c>
      <c r="L379" t="s">
        <v>24</v>
      </c>
      <c r="M379">
        <v>46</v>
      </c>
      <c r="N379" t="s">
        <v>25</v>
      </c>
      <c r="O379" t="s">
        <v>26</v>
      </c>
      <c r="P379" t="s">
        <v>27</v>
      </c>
      <c r="Q379" t="s">
        <v>168</v>
      </c>
    </row>
    <row r="380" spans="1:17" x14ac:dyDescent="0.3">
      <c r="A380">
        <v>598054</v>
      </c>
      <c r="B380" t="s">
        <v>38</v>
      </c>
      <c r="C380" s="1">
        <v>41552</v>
      </c>
      <c r="D380" t="s">
        <v>276</v>
      </c>
      <c r="E380" t="s">
        <v>40</v>
      </c>
      <c r="F380">
        <v>0</v>
      </c>
      <c r="G380" t="s">
        <v>41</v>
      </c>
      <c r="H380" t="s">
        <v>21</v>
      </c>
      <c r="I380" t="s">
        <v>41</v>
      </c>
      <c r="J380" t="s">
        <v>23</v>
      </c>
      <c r="K380" t="s">
        <v>21</v>
      </c>
      <c r="L380" t="s">
        <v>24</v>
      </c>
      <c r="M380">
        <v>4</v>
      </c>
      <c r="N380" t="s">
        <v>25</v>
      </c>
      <c r="O380" t="s">
        <v>26</v>
      </c>
      <c r="P380" t="s">
        <v>441</v>
      </c>
      <c r="Q380" t="s">
        <v>410</v>
      </c>
    </row>
    <row r="381" spans="1:17" x14ac:dyDescent="0.3">
      <c r="A381">
        <v>598055</v>
      </c>
      <c r="B381" t="s">
        <v>355</v>
      </c>
      <c r="C381" s="1">
        <v>41583</v>
      </c>
      <c r="D381" t="s">
        <v>440</v>
      </c>
      <c r="E381" t="s">
        <v>357</v>
      </c>
      <c r="F381">
        <v>0</v>
      </c>
      <c r="G381" t="s">
        <v>292</v>
      </c>
      <c r="H381" t="s">
        <v>50</v>
      </c>
      <c r="I381" t="s">
        <v>292</v>
      </c>
      <c r="J381" t="s">
        <v>35</v>
      </c>
      <c r="K381" t="s">
        <v>50</v>
      </c>
      <c r="L381" t="s">
        <v>43</v>
      </c>
      <c r="M381">
        <v>5</v>
      </c>
      <c r="N381" t="s">
        <v>25</v>
      </c>
      <c r="O381" t="s">
        <v>26</v>
      </c>
      <c r="P381" t="s">
        <v>27</v>
      </c>
      <c r="Q381" t="s">
        <v>349</v>
      </c>
    </row>
    <row r="382" spans="1:17" x14ac:dyDescent="0.3">
      <c r="A382">
        <v>598056</v>
      </c>
      <c r="B382" t="s">
        <v>29</v>
      </c>
      <c r="C382" s="1">
        <v>41583</v>
      </c>
      <c r="D382" t="s">
        <v>443</v>
      </c>
      <c r="E382" t="s">
        <v>32</v>
      </c>
      <c r="F382">
        <v>0</v>
      </c>
      <c r="G382" t="s">
        <v>33</v>
      </c>
      <c r="H382" t="s">
        <v>406</v>
      </c>
      <c r="I382" t="s">
        <v>33</v>
      </c>
      <c r="J382" t="s">
        <v>23</v>
      </c>
      <c r="K382" t="s">
        <v>406</v>
      </c>
      <c r="L382" t="s">
        <v>24</v>
      </c>
      <c r="M382">
        <v>30</v>
      </c>
      <c r="N382" t="s">
        <v>25</v>
      </c>
      <c r="O382" t="s">
        <v>26</v>
      </c>
      <c r="P382" t="s">
        <v>228</v>
      </c>
      <c r="Q382" t="s">
        <v>305</v>
      </c>
    </row>
    <row r="383" spans="1:17" x14ac:dyDescent="0.3">
      <c r="A383">
        <v>598057</v>
      </c>
      <c r="B383" t="s">
        <v>444</v>
      </c>
      <c r="C383" s="1">
        <v>41613</v>
      </c>
      <c r="D383" t="s">
        <v>187</v>
      </c>
      <c r="E383" t="s">
        <v>445</v>
      </c>
      <c r="F383">
        <v>0</v>
      </c>
      <c r="G383" t="s">
        <v>22</v>
      </c>
      <c r="H383" t="s">
        <v>21</v>
      </c>
      <c r="I383" t="s">
        <v>22</v>
      </c>
      <c r="J383" t="s">
        <v>23</v>
      </c>
      <c r="K383" t="s">
        <v>22</v>
      </c>
      <c r="L383" t="s">
        <v>43</v>
      </c>
      <c r="M383">
        <v>5</v>
      </c>
      <c r="N383" t="s">
        <v>25</v>
      </c>
      <c r="O383" t="s">
        <v>26</v>
      </c>
      <c r="P383" t="s">
        <v>441</v>
      </c>
      <c r="Q383" t="s">
        <v>410</v>
      </c>
    </row>
    <row r="384" spans="1:17" x14ac:dyDescent="0.3">
      <c r="A384">
        <v>598058</v>
      </c>
      <c r="B384" t="s">
        <v>59</v>
      </c>
      <c r="C384" s="1">
        <v>41613</v>
      </c>
      <c r="D384" t="s">
        <v>61</v>
      </c>
      <c r="E384" t="s">
        <v>62</v>
      </c>
      <c r="F384">
        <v>0</v>
      </c>
      <c r="G384" t="s">
        <v>42</v>
      </c>
      <c r="H384" t="s">
        <v>34</v>
      </c>
      <c r="I384" t="s">
        <v>42</v>
      </c>
      <c r="J384" t="s">
        <v>23</v>
      </c>
      <c r="K384" t="s">
        <v>42</v>
      </c>
      <c r="L384" t="s">
        <v>43</v>
      </c>
      <c r="M384">
        <v>5</v>
      </c>
      <c r="N384" t="s">
        <v>25</v>
      </c>
      <c r="O384" t="s">
        <v>26</v>
      </c>
      <c r="P384" t="s">
        <v>165</v>
      </c>
      <c r="Q384" t="s">
        <v>418</v>
      </c>
    </row>
    <row r="385" spans="1:17" x14ac:dyDescent="0.3">
      <c r="A385">
        <v>598059</v>
      </c>
      <c r="B385" t="s">
        <v>38</v>
      </c>
      <c r="C385" t="s">
        <v>426</v>
      </c>
      <c r="D385" t="s">
        <v>265</v>
      </c>
      <c r="E385" t="s">
        <v>40</v>
      </c>
      <c r="F385">
        <v>0</v>
      </c>
      <c r="G385" t="s">
        <v>41</v>
      </c>
      <c r="H385" t="s">
        <v>33</v>
      </c>
      <c r="I385" t="s">
        <v>33</v>
      </c>
      <c r="J385" t="s">
        <v>23</v>
      </c>
      <c r="K385" t="s">
        <v>33</v>
      </c>
      <c r="L385" t="s">
        <v>43</v>
      </c>
      <c r="M385">
        <v>5</v>
      </c>
      <c r="N385" t="s">
        <v>25</v>
      </c>
      <c r="O385" t="s">
        <v>26</v>
      </c>
      <c r="P385" t="s">
        <v>354</v>
      </c>
      <c r="Q385" t="s">
        <v>410</v>
      </c>
    </row>
    <row r="386" spans="1:17" x14ac:dyDescent="0.3">
      <c r="A386">
        <v>598060</v>
      </c>
      <c r="B386" t="s">
        <v>46</v>
      </c>
      <c r="C386" t="s">
        <v>446</v>
      </c>
      <c r="D386" t="s">
        <v>267</v>
      </c>
      <c r="E386" t="s">
        <v>49</v>
      </c>
      <c r="F386">
        <v>0</v>
      </c>
      <c r="G386" t="s">
        <v>50</v>
      </c>
      <c r="H386" t="s">
        <v>406</v>
      </c>
      <c r="I386" t="s">
        <v>406</v>
      </c>
      <c r="J386" t="s">
        <v>35</v>
      </c>
      <c r="K386" t="s">
        <v>50</v>
      </c>
      <c r="L386" t="s">
        <v>43</v>
      </c>
      <c r="M386">
        <v>7</v>
      </c>
      <c r="N386" t="s">
        <v>25</v>
      </c>
      <c r="O386" t="s">
        <v>26</v>
      </c>
      <c r="P386" t="s">
        <v>349</v>
      </c>
      <c r="Q386" t="s">
        <v>149</v>
      </c>
    </row>
    <row r="387" spans="1:17" x14ac:dyDescent="0.3">
      <c r="A387">
        <v>598061</v>
      </c>
      <c r="B387" t="s">
        <v>444</v>
      </c>
      <c r="C387" t="s">
        <v>447</v>
      </c>
      <c r="D387" t="s">
        <v>214</v>
      </c>
      <c r="E387" t="s">
        <v>445</v>
      </c>
      <c r="F387">
        <v>0</v>
      </c>
      <c r="G387" t="s">
        <v>22</v>
      </c>
      <c r="H387" t="s">
        <v>292</v>
      </c>
      <c r="I387" t="s">
        <v>22</v>
      </c>
      <c r="J387" t="s">
        <v>23</v>
      </c>
      <c r="K387" t="s">
        <v>292</v>
      </c>
      <c r="L387" t="s">
        <v>24</v>
      </c>
      <c r="M387">
        <v>7</v>
      </c>
      <c r="N387" t="s">
        <v>25</v>
      </c>
      <c r="O387" t="s">
        <v>26</v>
      </c>
      <c r="P387" t="s">
        <v>441</v>
      </c>
      <c r="Q387" t="s">
        <v>410</v>
      </c>
    </row>
    <row r="388" spans="1:17" x14ac:dyDescent="0.3">
      <c r="A388">
        <v>598062</v>
      </c>
      <c r="B388" t="s">
        <v>70</v>
      </c>
      <c r="C388" t="s">
        <v>439</v>
      </c>
      <c r="D388" t="s">
        <v>87</v>
      </c>
      <c r="E388" t="s">
        <v>73</v>
      </c>
      <c r="F388">
        <v>0</v>
      </c>
      <c r="G388" t="s">
        <v>34</v>
      </c>
      <c r="H388" t="s">
        <v>41</v>
      </c>
      <c r="I388" t="s">
        <v>34</v>
      </c>
      <c r="J388" t="s">
        <v>35</v>
      </c>
      <c r="K388" t="s">
        <v>34</v>
      </c>
      <c r="L388" t="s">
        <v>24</v>
      </c>
      <c r="M388">
        <v>33</v>
      </c>
      <c r="N388" t="s">
        <v>25</v>
      </c>
      <c r="O388" t="s">
        <v>26</v>
      </c>
      <c r="P388" t="s">
        <v>387</v>
      </c>
      <c r="Q388" t="s">
        <v>305</v>
      </c>
    </row>
    <row r="389" spans="1:17" x14ac:dyDescent="0.3">
      <c r="A389">
        <v>598063</v>
      </c>
      <c r="B389" t="s">
        <v>46</v>
      </c>
      <c r="C389" t="s">
        <v>447</v>
      </c>
      <c r="D389" t="s">
        <v>448</v>
      </c>
      <c r="E389" t="s">
        <v>49</v>
      </c>
      <c r="F389">
        <v>0</v>
      </c>
      <c r="G389" t="s">
        <v>50</v>
      </c>
      <c r="H389" t="s">
        <v>42</v>
      </c>
      <c r="I389" t="s">
        <v>42</v>
      </c>
      <c r="J389" t="s">
        <v>23</v>
      </c>
      <c r="K389" t="s">
        <v>50</v>
      </c>
      <c r="L389" t="s">
        <v>24</v>
      </c>
      <c r="M389">
        <v>14</v>
      </c>
      <c r="N389" t="s">
        <v>25</v>
      </c>
      <c r="O389" t="s">
        <v>26</v>
      </c>
      <c r="P389" t="s">
        <v>27</v>
      </c>
      <c r="Q389" t="s">
        <v>168</v>
      </c>
    </row>
    <row r="390" spans="1:17" x14ac:dyDescent="0.3">
      <c r="A390">
        <v>598064</v>
      </c>
      <c r="B390" t="s">
        <v>29</v>
      </c>
      <c r="C390" s="1">
        <v>41430</v>
      </c>
      <c r="D390" t="s">
        <v>424</v>
      </c>
      <c r="E390" t="s">
        <v>32</v>
      </c>
      <c r="F390">
        <v>0</v>
      </c>
      <c r="G390" t="s">
        <v>33</v>
      </c>
      <c r="H390" t="s">
        <v>21</v>
      </c>
      <c r="I390" t="s">
        <v>33</v>
      </c>
      <c r="J390" t="s">
        <v>23</v>
      </c>
      <c r="K390" t="s">
        <v>33</v>
      </c>
      <c r="L390" t="s">
        <v>43</v>
      </c>
      <c r="M390">
        <v>6</v>
      </c>
      <c r="N390" t="s">
        <v>25</v>
      </c>
      <c r="O390" t="s">
        <v>26</v>
      </c>
      <c r="P390" t="s">
        <v>354</v>
      </c>
      <c r="Q390" t="s">
        <v>441</v>
      </c>
    </row>
    <row r="391" spans="1:17" x14ac:dyDescent="0.3">
      <c r="A391">
        <v>598065</v>
      </c>
      <c r="B391" t="s">
        <v>64</v>
      </c>
      <c r="C391" t="s">
        <v>449</v>
      </c>
      <c r="D391" t="s">
        <v>111</v>
      </c>
      <c r="E391" t="s">
        <v>67</v>
      </c>
      <c r="F391">
        <v>0</v>
      </c>
      <c r="G391" t="s">
        <v>406</v>
      </c>
      <c r="H391" t="s">
        <v>42</v>
      </c>
      <c r="I391" t="s">
        <v>406</v>
      </c>
      <c r="J391" t="s">
        <v>35</v>
      </c>
      <c r="K391" t="s">
        <v>406</v>
      </c>
      <c r="L391" t="s">
        <v>24</v>
      </c>
      <c r="M391">
        <v>23</v>
      </c>
      <c r="N391" t="s">
        <v>25</v>
      </c>
      <c r="O391" t="s">
        <v>26</v>
      </c>
      <c r="P391" t="s">
        <v>27</v>
      </c>
      <c r="Q391" t="s">
        <v>349</v>
      </c>
    </row>
    <row r="392" spans="1:17" x14ac:dyDescent="0.3">
      <c r="A392">
        <v>598066</v>
      </c>
      <c r="B392" t="s">
        <v>271</v>
      </c>
      <c r="C392" t="s">
        <v>450</v>
      </c>
      <c r="D392" t="s">
        <v>389</v>
      </c>
      <c r="E392" t="s">
        <v>273</v>
      </c>
      <c r="F392">
        <v>0</v>
      </c>
      <c r="G392" t="s">
        <v>33</v>
      </c>
      <c r="H392" t="s">
        <v>50</v>
      </c>
      <c r="I392" t="s">
        <v>50</v>
      </c>
      <c r="J392" t="s">
        <v>23</v>
      </c>
      <c r="K392" t="s">
        <v>33</v>
      </c>
      <c r="L392" t="s">
        <v>24</v>
      </c>
      <c r="M392">
        <v>50</v>
      </c>
      <c r="N392" t="s">
        <v>25</v>
      </c>
      <c r="O392" t="s">
        <v>26</v>
      </c>
      <c r="P392" t="s">
        <v>165</v>
      </c>
      <c r="Q392" t="s">
        <v>418</v>
      </c>
    </row>
    <row r="393" spans="1:17" x14ac:dyDescent="0.3">
      <c r="A393">
        <v>598067</v>
      </c>
      <c r="B393" t="s">
        <v>355</v>
      </c>
      <c r="C393" t="s">
        <v>451</v>
      </c>
      <c r="D393" t="s">
        <v>452</v>
      </c>
      <c r="E393" t="s">
        <v>357</v>
      </c>
      <c r="F393">
        <v>0</v>
      </c>
      <c r="G393" t="s">
        <v>292</v>
      </c>
      <c r="H393" t="s">
        <v>41</v>
      </c>
      <c r="I393" t="s">
        <v>292</v>
      </c>
      <c r="J393" t="s">
        <v>35</v>
      </c>
      <c r="K393" t="s">
        <v>292</v>
      </c>
      <c r="L393" t="s">
        <v>24</v>
      </c>
      <c r="M393">
        <v>38</v>
      </c>
      <c r="N393" t="s">
        <v>25</v>
      </c>
      <c r="O393" t="s">
        <v>26</v>
      </c>
      <c r="P393" t="s">
        <v>441</v>
      </c>
      <c r="Q393" t="s">
        <v>149</v>
      </c>
    </row>
    <row r="394" spans="1:17" x14ac:dyDescent="0.3">
      <c r="A394">
        <v>598068</v>
      </c>
      <c r="B394" t="s">
        <v>17</v>
      </c>
      <c r="C394" t="s">
        <v>450</v>
      </c>
      <c r="D394" t="s">
        <v>314</v>
      </c>
      <c r="E394" t="s">
        <v>20</v>
      </c>
      <c r="F394">
        <v>0</v>
      </c>
      <c r="G394" t="s">
        <v>21</v>
      </c>
      <c r="H394" t="s">
        <v>34</v>
      </c>
      <c r="I394" t="s">
        <v>34</v>
      </c>
      <c r="J394" t="s">
        <v>23</v>
      </c>
      <c r="K394" t="s">
        <v>21</v>
      </c>
      <c r="L394" t="s">
        <v>24</v>
      </c>
      <c r="M394">
        <v>24</v>
      </c>
      <c r="N394" t="s">
        <v>25</v>
      </c>
      <c r="O394" t="s">
        <v>26</v>
      </c>
      <c r="P394" t="s">
        <v>387</v>
      </c>
      <c r="Q394" t="s">
        <v>305</v>
      </c>
    </row>
    <row r="395" spans="1:17" x14ac:dyDescent="0.3">
      <c r="A395">
        <v>598069</v>
      </c>
      <c r="B395" t="s">
        <v>64</v>
      </c>
      <c r="C395" t="s">
        <v>451</v>
      </c>
      <c r="D395" t="s">
        <v>443</v>
      </c>
      <c r="E395" t="s">
        <v>67</v>
      </c>
      <c r="F395">
        <v>0</v>
      </c>
      <c r="G395" t="s">
        <v>406</v>
      </c>
      <c r="H395" t="s">
        <v>22</v>
      </c>
      <c r="I395" t="s">
        <v>22</v>
      </c>
      <c r="J395" t="s">
        <v>35</v>
      </c>
      <c r="K395" t="s">
        <v>406</v>
      </c>
      <c r="L395" t="s">
        <v>43</v>
      </c>
      <c r="M395">
        <v>5</v>
      </c>
      <c r="N395" t="s">
        <v>25</v>
      </c>
      <c r="O395" t="s">
        <v>26</v>
      </c>
      <c r="P395" t="s">
        <v>27</v>
      </c>
      <c r="Q395" t="s">
        <v>168</v>
      </c>
    </row>
    <row r="396" spans="1:17" x14ac:dyDescent="0.3">
      <c r="A396">
        <v>598070</v>
      </c>
      <c r="B396" t="s">
        <v>38</v>
      </c>
      <c r="C396" t="s">
        <v>453</v>
      </c>
      <c r="D396" t="s">
        <v>31</v>
      </c>
      <c r="E396" t="s">
        <v>40</v>
      </c>
      <c r="F396">
        <v>0</v>
      </c>
      <c r="G396" t="s">
        <v>34</v>
      </c>
      <c r="H396" t="s">
        <v>50</v>
      </c>
      <c r="I396" t="s">
        <v>34</v>
      </c>
      <c r="J396" t="s">
        <v>35</v>
      </c>
      <c r="K396" t="s">
        <v>34</v>
      </c>
      <c r="L396" t="s">
        <v>24</v>
      </c>
      <c r="M396">
        <v>48</v>
      </c>
      <c r="N396" t="s">
        <v>25</v>
      </c>
      <c r="O396" t="s">
        <v>26</v>
      </c>
      <c r="P396" t="s">
        <v>441</v>
      </c>
      <c r="Q396" t="s">
        <v>305</v>
      </c>
    </row>
    <row r="397" spans="1:17" x14ac:dyDescent="0.3">
      <c r="A397">
        <v>598071</v>
      </c>
      <c r="B397" t="s">
        <v>38</v>
      </c>
      <c r="C397" t="s">
        <v>454</v>
      </c>
      <c r="D397" t="s">
        <v>209</v>
      </c>
      <c r="E397" t="s">
        <v>40</v>
      </c>
      <c r="F397">
        <v>0</v>
      </c>
      <c r="G397" t="s">
        <v>42</v>
      </c>
      <c r="H397" t="s">
        <v>406</v>
      </c>
      <c r="I397" t="s">
        <v>406</v>
      </c>
      <c r="J397" t="s">
        <v>35</v>
      </c>
      <c r="K397" t="s">
        <v>42</v>
      </c>
      <c r="L397" t="s">
        <v>43</v>
      </c>
      <c r="M397">
        <v>4</v>
      </c>
      <c r="N397" t="s">
        <v>25</v>
      </c>
      <c r="O397" t="s">
        <v>26</v>
      </c>
      <c r="P397" t="s">
        <v>183</v>
      </c>
      <c r="Q397" t="s">
        <v>305</v>
      </c>
    </row>
    <row r="398" spans="1:17" x14ac:dyDescent="0.3">
      <c r="A398">
        <v>598072</v>
      </c>
      <c r="B398" t="s">
        <v>53</v>
      </c>
      <c r="C398" t="s">
        <v>455</v>
      </c>
      <c r="D398" t="s">
        <v>197</v>
      </c>
      <c r="E398" t="s">
        <v>55</v>
      </c>
      <c r="F398">
        <v>0</v>
      </c>
      <c r="G398" t="s">
        <v>50</v>
      </c>
      <c r="H398" t="s">
        <v>42</v>
      </c>
      <c r="I398" t="s">
        <v>42</v>
      </c>
      <c r="J398" t="s">
        <v>35</v>
      </c>
      <c r="K398" t="s">
        <v>50</v>
      </c>
      <c r="L398" t="s">
        <v>43</v>
      </c>
      <c r="M398">
        <v>4</v>
      </c>
      <c r="N398" t="s">
        <v>25</v>
      </c>
      <c r="O398" t="s">
        <v>26</v>
      </c>
      <c r="P398" t="s">
        <v>387</v>
      </c>
      <c r="Q398" t="s">
        <v>149</v>
      </c>
    </row>
    <row r="399" spans="1:17" x14ac:dyDescent="0.3">
      <c r="A399">
        <v>598073</v>
      </c>
      <c r="B399" t="s">
        <v>53</v>
      </c>
      <c r="C399" t="s">
        <v>456</v>
      </c>
      <c r="D399" t="s">
        <v>267</v>
      </c>
      <c r="E399" t="s">
        <v>55</v>
      </c>
      <c r="F399">
        <v>0</v>
      </c>
      <c r="G399" t="s">
        <v>34</v>
      </c>
      <c r="H399" t="s">
        <v>50</v>
      </c>
      <c r="I399" t="s">
        <v>50</v>
      </c>
      <c r="J399" t="s">
        <v>35</v>
      </c>
      <c r="K399" t="s">
        <v>50</v>
      </c>
      <c r="L399" t="s">
        <v>24</v>
      </c>
      <c r="M399">
        <v>23</v>
      </c>
      <c r="N399" t="s">
        <v>25</v>
      </c>
      <c r="O399" t="s">
        <v>26</v>
      </c>
      <c r="P399" t="s">
        <v>165</v>
      </c>
      <c r="Q399" t="s">
        <v>149</v>
      </c>
    </row>
    <row r="400" spans="1:17" x14ac:dyDescent="0.3">
      <c r="A400">
        <v>729279</v>
      </c>
      <c r="B400" t="s">
        <v>457</v>
      </c>
      <c r="C400" t="s">
        <v>458</v>
      </c>
      <c r="D400" t="s">
        <v>187</v>
      </c>
      <c r="E400" t="s">
        <v>459</v>
      </c>
      <c r="F400">
        <v>1</v>
      </c>
      <c r="G400" t="s">
        <v>50</v>
      </c>
      <c r="H400" t="s">
        <v>22</v>
      </c>
      <c r="I400" t="s">
        <v>22</v>
      </c>
      <c r="J400" t="s">
        <v>35</v>
      </c>
      <c r="K400" t="s">
        <v>22</v>
      </c>
      <c r="L400" t="s">
        <v>24</v>
      </c>
      <c r="M400">
        <v>41</v>
      </c>
      <c r="N400" t="s">
        <v>25</v>
      </c>
      <c r="O400" t="s">
        <v>26</v>
      </c>
      <c r="P400" t="s">
        <v>155</v>
      </c>
      <c r="Q400" t="s">
        <v>460</v>
      </c>
    </row>
    <row r="401" spans="1:17" x14ac:dyDescent="0.3">
      <c r="A401">
        <v>729281</v>
      </c>
      <c r="B401" t="s">
        <v>26</v>
      </c>
      <c r="C401" t="s">
        <v>461</v>
      </c>
      <c r="D401" t="s">
        <v>462</v>
      </c>
      <c r="E401" t="s">
        <v>463</v>
      </c>
      <c r="F401">
        <v>1</v>
      </c>
      <c r="G401" t="s">
        <v>41</v>
      </c>
      <c r="H401" t="s">
        <v>21</v>
      </c>
      <c r="I401" t="s">
        <v>21</v>
      </c>
      <c r="J401" t="s">
        <v>23</v>
      </c>
      <c r="K401" t="s">
        <v>21</v>
      </c>
      <c r="L401" t="s">
        <v>43</v>
      </c>
      <c r="M401">
        <v>8</v>
      </c>
      <c r="N401" t="s">
        <v>25</v>
      </c>
      <c r="O401" t="s">
        <v>26</v>
      </c>
      <c r="P401" t="s">
        <v>44</v>
      </c>
      <c r="Q401" t="s">
        <v>183</v>
      </c>
    </row>
    <row r="402" spans="1:17" x14ac:dyDescent="0.3">
      <c r="A402">
        <v>729283</v>
      </c>
      <c r="B402" t="s">
        <v>457</v>
      </c>
      <c r="C402" t="s">
        <v>464</v>
      </c>
      <c r="D402" t="s">
        <v>465</v>
      </c>
      <c r="E402" t="s">
        <v>459</v>
      </c>
      <c r="F402">
        <v>1</v>
      </c>
      <c r="G402" t="s">
        <v>34</v>
      </c>
      <c r="H402" t="s">
        <v>33</v>
      </c>
      <c r="I402" t="s">
        <v>34</v>
      </c>
      <c r="J402" t="s">
        <v>35</v>
      </c>
      <c r="K402" t="s">
        <v>33</v>
      </c>
      <c r="L402" t="s">
        <v>43</v>
      </c>
      <c r="M402">
        <v>6</v>
      </c>
      <c r="N402" t="s">
        <v>25</v>
      </c>
      <c r="O402" t="s">
        <v>26</v>
      </c>
      <c r="P402" t="s">
        <v>460</v>
      </c>
      <c r="Q402" t="s">
        <v>387</v>
      </c>
    </row>
    <row r="403" spans="1:17" x14ac:dyDescent="0.3">
      <c r="A403">
        <v>729285</v>
      </c>
      <c r="B403" t="s">
        <v>457</v>
      </c>
      <c r="C403" t="s">
        <v>464</v>
      </c>
      <c r="D403" t="s">
        <v>350</v>
      </c>
      <c r="E403" t="s">
        <v>459</v>
      </c>
      <c r="F403">
        <v>1</v>
      </c>
      <c r="G403" t="s">
        <v>406</v>
      </c>
      <c r="H403" t="s">
        <v>42</v>
      </c>
      <c r="I403" t="s">
        <v>42</v>
      </c>
      <c r="J403" t="s">
        <v>23</v>
      </c>
      <c r="K403" t="s">
        <v>42</v>
      </c>
      <c r="L403" t="s">
        <v>43</v>
      </c>
      <c r="M403">
        <v>4</v>
      </c>
      <c r="N403" t="s">
        <v>25</v>
      </c>
      <c r="O403" t="s">
        <v>26</v>
      </c>
      <c r="P403" t="s">
        <v>57</v>
      </c>
      <c r="Q403" t="s">
        <v>460</v>
      </c>
    </row>
    <row r="404" spans="1:17" x14ac:dyDescent="0.3">
      <c r="A404">
        <v>729287</v>
      </c>
      <c r="B404" t="s">
        <v>26</v>
      </c>
      <c r="C404" t="s">
        <v>466</v>
      </c>
      <c r="D404" t="s">
        <v>443</v>
      </c>
      <c r="E404" t="s">
        <v>467</v>
      </c>
      <c r="F404">
        <v>1</v>
      </c>
      <c r="G404" t="s">
        <v>21</v>
      </c>
      <c r="H404" t="s">
        <v>50</v>
      </c>
      <c r="I404" t="s">
        <v>21</v>
      </c>
      <c r="J404" t="s">
        <v>23</v>
      </c>
      <c r="K404" t="s">
        <v>21</v>
      </c>
      <c r="L404" t="s">
        <v>43</v>
      </c>
      <c r="M404">
        <v>7</v>
      </c>
      <c r="N404" t="s">
        <v>25</v>
      </c>
      <c r="O404" t="s">
        <v>26</v>
      </c>
      <c r="P404" t="s">
        <v>44</v>
      </c>
      <c r="Q404" t="s">
        <v>349</v>
      </c>
    </row>
    <row r="405" spans="1:17" x14ac:dyDescent="0.3">
      <c r="A405">
        <v>729289</v>
      </c>
      <c r="B405" t="s">
        <v>26</v>
      </c>
      <c r="C405" t="s">
        <v>466</v>
      </c>
      <c r="D405" t="s">
        <v>179</v>
      </c>
      <c r="E405" t="s">
        <v>467</v>
      </c>
      <c r="F405">
        <v>1</v>
      </c>
      <c r="G405" t="s">
        <v>22</v>
      </c>
      <c r="H405" t="s">
        <v>41</v>
      </c>
      <c r="I405" t="s">
        <v>22</v>
      </c>
      <c r="J405" t="s">
        <v>35</v>
      </c>
      <c r="K405" t="s">
        <v>41</v>
      </c>
      <c r="L405" t="s">
        <v>43</v>
      </c>
      <c r="M405">
        <v>4</v>
      </c>
      <c r="N405" t="s">
        <v>25</v>
      </c>
      <c r="O405" t="s">
        <v>26</v>
      </c>
      <c r="P405" t="s">
        <v>44</v>
      </c>
      <c r="Q405" t="s">
        <v>354</v>
      </c>
    </row>
    <row r="406" spans="1:17" x14ac:dyDescent="0.3">
      <c r="A406">
        <v>729291</v>
      </c>
      <c r="B406" t="s">
        <v>26</v>
      </c>
      <c r="C406" t="s">
        <v>468</v>
      </c>
      <c r="D406" t="s">
        <v>465</v>
      </c>
      <c r="E406" t="s">
        <v>463</v>
      </c>
      <c r="F406">
        <v>1</v>
      </c>
      <c r="G406" t="s">
        <v>42</v>
      </c>
      <c r="H406" t="s">
        <v>33</v>
      </c>
      <c r="I406" t="s">
        <v>33</v>
      </c>
      <c r="J406" t="s">
        <v>23</v>
      </c>
      <c r="K406" t="s">
        <v>33</v>
      </c>
      <c r="L406" t="s">
        <v>43</v>
      </c>
      <c r="M406">
        <v>7</v>
      </c>
      <c r="N406" t="s">
        <v>25</v>
      </c>
      <c r="O406" t="s">
        <v>26</v>
      </c>
      <c r="P406" t="s">
        <v>57</v>
      </c>
      <c r="Q406" t="s">
        <v>155</v>
      </c>
    </row>
    <row r="407" spans="1:17" x14ac:dyDescent="0.3">
      <c r="A407">
        <v>729293</v>
      </c>
      <c r="B407" t="s">
        <v>457</v>
      </c>
      <c r="C407" t="s">
        <v>469</v>
      </c>
      <c r="D407" t="s">
        <v>133</v>
      </c>
      <c r="E407" t="s">
        <v>459</v>
      </c>
      <c r="F407">
        <v>1</v>
      </c>
      <c r="G407" t="s">
        <v>34</v>
      </c>
      <c r="H407" t="s">
        <v>41</v>
      </c>
      <c r="I407" t="s">
        <v>34</v>
      </c>
      <c r="J407" t="s">
        <v>35</v>
      </c>
      <c r="K407" t="s">
        <v>34</v>
      </c>
      <c r="L407" t="s">
        <v>24</v>
      </c>
      <c r="M407">
        <v>93</v>
      </c>
      <c r="N407" t="s">
        <v>25</v>
      </c>
      <c r="O407" t="s">
        <v>26</v>
      </c>
      <c r="P407" t="s">
        <v>460</v>
      </c>
      <c r="Q407" t="s">
        <v>387</v>
      </c>
    </row>
    <row r="408" spans="1:17" x14ac:dyDescent="0.3">
      <c r="A408">
        <v>729295</v>
      </c>
      <c r="B408" t="s">
        <v>26</v>
      </c>
      <c r="C408" t="s">
        <v>470</v>
      </c>
      <c r="D408" t="s">
        <v>465</v>
      </c>
      <c r="E408" t="s">
        <v>463</v>
      </c>
      <c r="F408">
        <v>1</v>
      </c>
      <c r="G408" t="s">
        <v>33</v>
      </c>
      <c r="H408" t="s">
        <v>406</v>
      </c>
      <c r="I408" t="s">
        <v>406</v>
      </c>
      <c r="J408" t="s">
        <v>23</v>
      </c>
      <c r="K408" t="s">
        <v>33</v>
      </c>
      <c r="L408" t="s">
        <v>24</v>
      </c>
      <c r="M408">
        <v>72</v>
      </c>
      <c r="N408" t="s">
        <v>25</v>
      </c>
      <c r="O408" t="s">
        <v>26</v>
      </c>
      <c r="P408" t="s">
        <v>155</v>
      </c>
      <c r="Q408" t="s">
        <v>183</v>
      </c>
    </row>
    <row r="409" spans="1:17" x14ac:dyDescent="0.3">
      <c r="A409">
        <v>729297</v>
      </c>
      <c r="B409" t="s">
        <v>26</v>
      </c>
      <c r="C409" t="s">
        <v>471</v>
      </c>
      <c r="D409" t="s">
        <v>352</v>
      </c>
      <c r="E409" t="s">
        <v>467</v>
      </c>
      <c r="F409">
        <v>1</v>
      </c>
      <c r="G409" t="s">
        <v>42</v>
      </c>
      <c r="H409" t="s">
        <v>34</v>
      </c>
      <c r="I409" t="s">
        <v>42</v>
      </c>
      <c r="J409" t="s">
        <v>23</v>
      </c>
      <c r="K409" t="s">
        <v>34</v>
      </c>
      <c r="L409" t="s">
        <v>24</v>
      </c>
      <c r="M409">
        <v>7</v>
      </c>
      <c r="N409" t="s">
        <v>25</v>
      </c>
      <c r="O409" t="s">
        <v>26</v>
      </c>
      <c r="P409" t="s">
        <v>165</v>
      </c>
      <c r="Q409" t="s">
        <v>460</v>
      </c>
    </row>
    <row r="410" spans="1:17" x14ac:dyDescent="0.3">
      <c r="A410">
        <v>729299</v>
      </c>
      <c r="B410" t="s">
        <v>26</v>
      </c>
      <c r="C410" t="s">
        <v>472</v>
      </c>
      <c r="D410" t="s">
        <v>473</v>
      </c>
      <c r="E410" t="s">
        <v>463</v>
      </c>
      <c r="F410">
        <v>1</v>
      </c>
      <c r="G410" t="s">
        <v>21</v>
      </c>
      <c r="H410" t="s">
        <v>22</v>
      </c>
      <c r="I410" t="s">
        <v>21</v>
      </c>
      <c r="J410" t="s">
        <v>23</v>
      </c>
      <c r="K410" t="s">
        <v>22</v>
      </c>
      <c r="L410" t="s">
        <v>24</v>
      </c>
      <c r="M410">
        <v>2</v>
      </c>
      <c r="N410" t="s">
        <v>25</v>
      </c>
      <c r="O410" t="s">
        <v>26</v>
      </c>
      <c r="P410" t="s">
        <v>44</v>
      </c>
      <c r="Q410" t="s">
        <v>354</v>
      </c>
    </row>
    <row r="411" spans="1:17" x14ac:dyDescent="0.3">
      <c r="A411">
        <v>729301</v>
      </c>
      <c r="B411" t="s">
        <v>26</v>
      </c>
      <c r="C411" t="s">
        <v>474</v>
      </c>
      <c r="D411" t="s">
        <v>409</v>
      </c>
      <c r="E411" t="s">
        <v>467</v>
      </c>
      <c r="F411">
        <v>1</v>
      </c>
      <c r="G411" t="s">
        <v>406</v>
      </c>
      <c r="H411" t="s">
        <v>41</v>
      </c>
      <c r="I411" t="s">
        <v>406</v>
      </c>
      <c r="J411" t="s">
        <v>35</v>
      </c>
      <c r="K411" t="s">
        <v>406</v>
      </c>
      <c r="L411" t="s">
        <v>24</v>
      </c>
      <c r="M411">
        <v>4</v>
      </c>
      <c r="N411" t="s">
        <v>25</v>
      </c>
      <c r="O411" t="s">
        <v>26</v>
      </c>
      <c r="P411" t="s">
        <v>155</v>
      </c>
      <c r="Q411" t="s">
        <v>183</v>
      </c>
    </row>
    <row r="412" spans="1:17" x14ac:dyDescent="0.3">
      <c r="A412">
        <v>729303</v>
      </c>
      <c r="B412" t="s">
        <v>26</v>
      </c>
      <c r="C412" t="s">
        <v>474</v>
      </c>
      <c r="D412" t="s">
        <v>475</v>
      </c>
      <c r="E412" t="s">
        <v>467</v>
      </c>
      <c r="F412">
        <v>1</v>
      </c>
      <c r="G412" t="s">
        <v>34</v>
      </c>
      <c r="H412" t="s">
        <v>50</v>
      </c>
      <c r="I412" t="s">
        <v>50</v>
      </c>
      <c r="J412" t="s">
        <v>35</v>
      </c>
      <c r="K412" t="s">
        <v>34</v>
      </c>
      <c r="L412" t="s">
        <v>43</v>
      </c>
      <c r="M412">
        <v>7</v>
      </c>
      <c r="N412" t="s">
        <v>25</v>
      </c>
      <c r="O412" t="s">
        <v>26</v>
      </c>
      <c r="P412" t="s">
        <v>57</v>
      </c>
      <c r="Q412" t="s">
        <v>155</v>
      </c>
    </row>
    <row r="413" spans="1:17" x14ac:dyDescent="0.3">
      <c r="A413">
        <v>729305</v>
      </c>
      <c r="B413" t="s">
        <v>457</v>
      </c>
      <c r="C413" t="s">
        <v>476</v>
      </c>
      <c r="D413" t="s">
        <v>477</v>
      </c>
      <c r="E413" t="s">
        <v>459</v>
      </c>
      <c r="F413">
        <v>1</v>
      </c>
      <c r="G413" t="s">
        <v>42</v>
      </c>
      <c r="H413" t="s">
        <v>21</v>
      </c>
      <c r="I413" t="s">
        <v>42</v>
      </c>
      <c r="J413" t="s">
        <v>23</v>
      </c>
      <c r="K413" t="s">
        <v>42</v>
      </c>
      <c r="L413" t="s">
        <v>43</v>
      </c>
      <c r="M413">
        <v>6</v>
      </c>
      <c r="N413" t="s">
        <v>25</v>
      </c>
      <c r="O413" t="s">
        <v>26</v>
      </c>
      <c r="P413" t="s">
        <v>165</v>
      </c>
      <c r="Q413" t="s">
        <v>387</v>
      </c>
    </row>
    <row r="414" spans="1:17" x14ac:dyDescent="0.3">
      <c r="A414">
        <v>729307</v>
      </c>
      <c r="B414" t="s">
        <v>457</v>
      </c>
      <c r="C414" t="s">
        <v>476</v>
      </c>
      <c r="D414" t="s">
        <v>478</v>
      </c>
      <c r="E414" t="s">
        <v>459</v>
      </c>
      <c r="F414">
        <v>1</v>
      </c>
      <c r="G414" t="s">
        <v>22</v>
      </c>
      <c r="H414" t="s">
        <v>33</v>
      </c>
      <c r="I414" t="s">
        <v>22</v>
      </c>
      <c r="J414" t="s">
        <v>23</v>
      </c>
      <c r="K414" t="s">
        <v>33</v>
      </c>
      <c r="L414" t="s">
        <v>24</v>
      </c>
      <c r="M414">
        <v>23</v>
      </c>
      <c r="N414" t="s">
        <v>25</v>
      </c>
      <c r="O414" t="s">
        <v>26</v>
      </c>
      <c r="P414" t="s">
        <v>165</v>
      </c>
      <c r="Q414" t="s">
        <v>460</v>
      </c>
    </row>
    <row r="415" spans="1:17" x14ac:dyDescent="0.3">
      <c r="A415">
        <v>729309</v>
      </c>
      <c r="B415" t="s">
        <v>26</v>
      </c>
      <c r="C415" t="s">
        <v>479</v>
      </c>
      <c r="D415" t="s">
        <v>255</v>
      </c>
      <c r="E415" t="s">
        <v>463</v>
      </c>
      <c r="F415">
        <v>1</v>
      </c>
      <c r="G415" t="s">
        <v>41</v>
      </c>
      <c r="H415" t="s">
        <v>50</v>
      </c>
      <c r="I415" t="s">
        <v>50</v>
      </c>
      <c r="J415" t="s">
        <v>35</v>
      </c>
      <c r="K415" t="s">
        <v>41</v>
      </c>
      <c r="L415" t="s">
        <v>43</v>
      </c>
      <c r="M415">
        <v>6</v>
      </c>
      <c r="N415" t="s">
        <v>25</v>
      </c>
      <c r="O415" t="s">
        <v>26</v>
      </c>
      <c r="P415" t="s">
        <v>44</v>
      </c>
      <c r="Q415" t="s">
        <v>354</v>
      </c>
    </row>
    <row r="416" spans="1:17" x14ac:dyDescent="0.3">
      <c r="A416">
        <v>729311</v>
      </c>
      <c r="B416" t="s">
        <v>26</v>
      </c>
      <c r="C416" t="s">
        <v>479</v>
      </c>
      <c r="D416" t="s">
        <v>195</v>
      </c>
      <c r="E416" t="s">
        <v>463</v>
      </c>
      <c r="F416">
        <v>1</v>
      </c>
      <c r="G416" t="s">
        <v>406</v>
      </c>
      <c r="H416" t="s">
        <v>34</v>
      </c>
      <c r="I416" t="s">
        <v>406</v>
      </c>
      <c r="J416" t="s">
        <v>35</v>
      </c>
      <c r="K416" t="s">
        <v>34</v>
      </c>
      <c r="L416" t="s">
        <v>43</v>
      </c>
      <c r="M416">
        <v>5</v>
      </c>
      <c r="N416" t="s">
        <v>25</v>
      </c>
      <c r="O416" t="s">
        <v>26</v>
      </c>
      <c r="P416" t="s">
        <v>349</v>
      </c>
      <c r="Q416" t="s">
        <v>354</v>
      </c>
    </row>
    <row r="417" spans="1:17" x14ac:dyDescent="0.3">
      <c r="A417">
        <v>729313</v>
      </c>
      <c r="B417" t="s">
        <v>26</v>
      </c>
      <c r="C417" t="s">
        <v>480</v>
      </c>
      <c r="D417" t="s">
        <v>478</v>
      </c>
      <c r="E417" t="s">
        <v>467</v>
      </c>
      <c r="F417">
        <v>1</v>
      </c>
      <c r="G417" t="s">
        <v>33</v>
      </c>
      <c r="H417" t="s">
        <v>21</v>
      </c>
      <c r="I417" t="s">
        <v>33</v>
      </c>
      <c r="J417" t="s">
        <v>23</v>
      </c>
      <c r="K417" t="s">
        <v>33</v>
      </c>
      <c r="L417" t="s">
        <v>43</v>
      </c>
      <c r="M417">
        <v>5</v>
      </c>
      <c r="N417" t="s">
        <v>25</v>
      </c>
      <c r="O417" t="s">
        <v>26</v>
      </c>
      <c r="P417" t="s">
        <v>57</v>
      </c>
      <c r="Q417" t="s">
        <v>183</v>
      </c>
    </row>
    <row r="418" spans="1:17" x14ac:dyDescent="0.3">
      <c r="A418">
        <v>729315</v>
      </c>
      <c r="B418" t="s">
        <v>457</v>
      </c>
      <c r="C418" t="s">
        <v>481</v>
      </c>
      <c r="D418" t="s">
        <v>414</v>
      </c>
      <c r="E418" t="s">
        <v>459</v>
      </c>
      <c r="F418">
        <v>1</v>
      </c>
      <c r="G418" t="s">
        <v>22</v>
      </c>
      <c r="H418" t="s">
        <v>42</v>
      </c>
      <c r="I418" t="s">
        <v>42</v>
      </c>
      <c r="J418" t="s">
        <v>35</v>
      </c>
      <c r="K418" t="s">
        <v>42</v>
      </c>
      <c r="L418" t="s">
        <v>158</v>
      </c>
      <c r="M418" t="s">
        <v>26</v>
      </c>
      <c r="N418" t="s">
        <v>159</v>
      </c>
      <c r="O418" t="s">
        <v>26</v>
      </c>
      <c r="P418" t="s">
        <v>44</v>
      </c>
      <c r="Q418" t="s">
        <v>349</v>
      </c>
    </row>
    <row r="419" spans="1:17" x14ac:dyDescent="0.3">
      <c r="A419">
        <v>729317</v>
      </c>
      <c r="B419" t="s">
        <v>26</v>
      </c>
      <c r="C419" t="s">
        <v>482</v>
      </c>
      <c r="D419" t="s">
        <v>483</v>
      </c>
      <c r="E419" t="s">
        <v>467</v>
      </c>
      <c r="F419">
        <v>1</v>
      </c>
      <c r="G419" t="s">
        <v>50</v>
      </c>
      <c r="H419" t="s">
        <v>406</v>
      </c>
      <c r="I419" t="s">
        <v>50</v>
      </c>
      <c r="J419" t="s">
        <v>23</v>
      </c>
      <c r="K419" t="s">
        <v>406</v>
      </c>
      <c r="L419" t="s">
        <v>24</v>
      </c>
      <c r="M419">
        <v>15</v>
      </c>
      <c r="N419" t="s">
        <v>25</v>
      </c>
      <c r="O419" t="s">
        <v>26</v>
      </c>
      <c r="P419" t="s">
        <v>165</v>
      </c>
      <c r="Q419" t="s">
        <v>155</v>
      </c>
    </row>
    <row r="420" spans="1:17" x14ac:dyDescent="0.3">
      <c r="A420">
        <v>733971</v>
      </c>
      <c r="B420" t="s">
        <v>444</v>
      </c>
      <c r="C420" s="1">
        <v>41675</v>
      </c>
      <c r="D420" t="s">
        <v>352</v>
      </c>
      <c r="E420" t="s">
        <v>445</v>
      </c>
      <c r="F420">
        <v>0</v>
      </c>
      <c r="G420" t="s">
        <v>34</v>
      </c>
      <c r="H420" t="s">
        <v>22</v>
      </c>
      <c r="I420" t="s">
        <v>34</v>
      </c>
      <c r="J420" t="s">
        <v>35</v>
      </c>
      <c r="K420" t="s">
        <v>34</v>
      </c>
      <c r="L420" t="s">
        <v>24</v>
      </c>
      <c r="M420">
        <v>34</v>
      </c>
      <c r="N420" t="s">
        <v>25</v>
      </c>
      <c r="O420" t="s">
        <v>26</v>
      </c>
      <c r="P420" t="s">
        <v>349</v>
      </c>
      <c r="Q420" t="s">
        <v>441</v>
      </c>
    </row>
    <row r="421" spans="1:17" x14ac:dyDescent="0.3">
      <c r="A421">
        <v>733973</v>
      </c>
      <c r="B421" t="s">
        <v>46</v>
      </c>
      <c r="C421" s="1">
        <v>41703</v>
      </c>
      <c r="D421" t="s">
        <v>484</v>
      </c>
      <c r="E421" t="s">
        <v>49</v>
      </c>
      <c r="F421">
        <v>0</v>
      </c>
      <c r="G421" t="s">
        <v>50</v>
      </c>
      <c r="H421" t="s">
        <v>33</v>
      </c>
      <c r="I421" t="s">
        <v>33</v>
      </c>
      <c r="J421" t="s">
        <v>35</v>
      </c>
      <c r="K421" t="s">
        <v>50</v>
      </c>
      <c r="L421" t="s">
        <v>43</v>
      </c>
      <c r="M421">
        <v>5</v>
      </c>
      <c r="N421" t="s">
        <v>25</v>
      </c>
      <c r="O421" t="s">
        <v>26</v>
      </c>
      <c r="P421" t="s">
        <v>359</v>
      </c>
      <c r="Q421" t="s">
        <v>387</v>
      </c>
    </row>
    <row r="422" spans="1:17" x14ac:dyDescent="0.3">
      <c r="A422">
        <v>733975</v>
      </c>
      <c r="B422" t="s">
        <v>38</v>
      </c>
      <c r="C422" s="1">
        <v>41703</v>
      </c>
      <c r="D422" t="s">
        <v>485</v>
      </c>
      <c r="E422" t="s">
        <v>40</v>
      </c>
      <c r="F422">
        <v>0</v>
      </c>
      <c r="G422" t="s">
        <v>41</v>
      </c>
      <c r="H422" t="s">
        <v>42</v>
      </c>
      <c r="I422" t="s">
        <v>42</v>
      </c>
      <c r="J422" t="s">
        <v>23</v>
      </c>
      <c r="K422" t="s">
        <v>42</v>
      </c>
      <c r="L422" t="s">
        <v>43</v>
      </c>
      <c r="M422">
        <v>7</v>
      </c>
      <c r="N422" t="s">
        <v>25</v>
      </c>
      <c r="O422" t="s">
        <v>26</v>
      </c>
      <c r="P422" t="s">
        <v>188</v>
      </c>
      <c r="Q422" t="s">
        <v>183</v>
      </c>
    </row>
    <row r="423" spans="1:17" x14ac:dyDescent="0.3">
      <c r="A423">
        <v>733977</v>
      </c>
      <c r="B423" t="s">
        <v>17</v>
      </c>
      <c r="C423" s="1">
        <v>41734</v>
      </c>
      <c r="D423" t="s">
        <v>157</v>
      </c>
      <c r="E423" t="s">
        <v>20</v>
      </c>
      <c r="F423">
        <v>0</v>
      </c>
      <c r="G423" t="s">
        <v>21</v>
      </c>
      <c r="H423" t="s">
        <v>406</v>
      </c>
      <c r="I423" t="s">
        <v>21</v>
      </c>
      <c r="J423" t="s">
        <v>23</v>
      </c>
      <c r="K423" t="s">
        <v>21</v>
      </c>
      <c r="L423" t="s">
        <v>43</v>
      </c>
      <c r="M423">
        <v>4</v>
      </c>
      <c r="N423" t="s">
        <v>25</v>
      </c>
      <c r="O423" t="s">
        <v>26</v>
      </c>
      <c r="P423" t="s">
        <v>165</v>
      </c>
      <c r="Q423" t="s">
        <v>354</v>
      </c>
    </row>
    <row r="424" spans="1:17" x14ac:dyDescent="0.3">
      <c r="A424">
        <v>733979</v>
      </c>
      <c r="B424" t="s">
        <v>224</v>
      </c>
      <c r="C424" s="1">
        <v>41764</v>
      </c>
      <c r="D424" t="s">
        <v>477</v>
      </c>
      <c r="E424" t="s">
        <v>226</v>
      </c>
      <c r="F424">
        <v>0</v>
      </c>
      <c r="G424" t="s">
        <v>42</v>
      </c>
      <c r="H424" t="s">
        <v>22</v>
      </c>
      <c r="I424" t="s">
        <v>22</v>
      </c>
      <c r="J424" t="s">
        <v>23</v>
      </c>
      <c r="K424" t="s">
        <v>42</v>
      </c>
      <c r="L424" t="s">
        <v>24</v>
      </c>
      <c r="M424">
        <v>10</v>
      </c>
      <c r="N424" t="s">
        <v>25</v>
      </c>
      <c r="O424" t="s">
        <v>26</v>
      </c>
      <c r="P424" t="s">
        <v>441</v>
      </c>
      <c r="Q424" t="s">
        <v>418</v>
      </c>
    </row>
    <row r="425" spans="1:17" x14ac:dyDescent="0.3">
      <c r="A425">
        <v>733981</v>
      </c>
      <c r="B425" t="s">
        <v>38</v>
      </c>
      <c r="C425" s="1">
        <v>41764</v>
      </c>
      <c r="D425" t="s">
        <v>195</v>
      </c>
      <c r="E425" t="s">
        <v>40</v>
      </c>
      <c r="F425">
        <v>0</v>
      </c>
      <c r="G425" t="s">
        <v>41</v>
      </c>
      <c r="H425" t="s">
        <v>34</v>
      </c>
      <c r="I425" t="s">
        <v>34</v>
      </c>
      <c r="J425" t="s">
        <v>23</v>
      </c>
      <c r="K425" t="s">
        <v>34</v>
      </c>
      <c r="L425" t="s">
        <v>43</v>
      </c>
      <c r="M425">
        <v>8</v>
      </c>
      <c r="N425" t="s">
        <v>25</v>
      </c>
      <c r="O425" t="s">
        <v>26</v>
      </c>
      <c r="P425" t="s">
        <v>486</v>
      </c>
      <c r="Q425" t="s">
        <v>359</v>
      </c>
    </row>
    <row r="426" spans="1:17" x14ac:dyDescent="0.3">
      <c r="A426">
        <v>733983</v>
      </c>
      <c r="B426" t="s">
        <v>46</v>
      </c>
      <c r="C426" s="1">
        <v>41795</v>
      </c>
      <c r="D426" t="s">
        <v>190</v>
      </c>
      <c r="E426" t="s">
        <v>49</v>
      </c>
      <c r="F426">
        <v>0</v>
      </c>
      <c r="G426" t="s">
        <v>50</v>
      </c>
      <c r="H426" t="s">
        <v>21</v>
      </c>
      <c r="I426" t="s">
        <v>21</v>
      </c>
      <c r="J426" t="s">
        <v>23</v>
      </c>
      <c r="K426" t="s">
        <v>50</v>
      </c>
      <c r="L426" t="s">
        <v>24</v>
      </c>
      <c r="M426">
        <v>19</v>
      </c>
      <c r="N426" t="s">
        <v>25</v>
      </c>
      <c r="O426" t="s">
        <v>26</v>
      </c>
      <c r="P426" t="s">
        <v>183</v>
      </c>
      <c r="Q426" t="s">
        <v>410</v>
      </c>
    </row>
    <row r="427" spans="1:17" x14ac:dyDescent="0.3">
      <c r="A427">
        <v>733985</v>
      </c>
      <c r="B427" t="s">
        <v>38</v>
      </c>
      <c r="C427" s="1">
        <v>41825</v>
      </c>
      <c r="D427" t="s">
        <v>189</v>
      </c>
      <c r="E427" t="s">
        <v>40</v>
      </c>
      <c r="F427">
        <v>0</v>
      </c>
      <c r="G427" t="s">
        <v>41</v>
      </c>
      <c r="H427" t="s">
        <v>22</v>
      </c>
      <c r="I427" t="s">
        <v>41</v>
      </c>
      <c r="J427" t="s">
        <v>35</v>
      </c>
      <c r="K427" t="s">
        <v>22</v>
      </c>
      <c r="L427" t="s">
        <v>43</v>
      </c>
      <c r="M427">
        <v>8</v>
      </c>
      <c r="N427" t="s">
        <v>25</v>
      </c>
      <c r="O427" t="s">
        <v>26</v>
      </c>
      <c r="P427" t="s">
        <v>359</v>
      </c>
      <c r="Q427" t="s">
        <v>387</v>
      </c>
    </row>
    <row r="428" spans="1:17" x14ac:dyDescent="0.3">
      <c r="A428">
        <v>733987</v>
      </c>
      <c r="B428" t="s">
        <v>232</v>
      </c>
      <c r="C428" s="1">
        <v>41825</v>
      </c>
      <c r="D428" t="s">
        <v>465</v>
      </c>
      <c r="E428" t="s">
        <v>234</v>
      </c>
      <c r="F428">
        <v>0</v>
      </c>
      <c r="G428" t="s">
        <v>33</v>
      </c>
      <c r="H428" t="s">
        <v>34</v>
      </c>
      <c r="I428" t="s">
        <v>34</v>
      </c>
      <c r="J428" t="s">
        <v>23</v>
      </c>
      <c r="K428" t="s">
        <v>33</v>
      </c>
      <c r="L428" t="s">
        <v>24</v>
      </c>
      <c r="M428">
        <v>44</v>
      </c>
      <c r="N428" t="s">
        <v>25</v>
      </c>
      <c r="O428" t="s">
        <v>26</v>
      </c>
      <c r="P428" t="s">
        <v>165</v>
      </c>
      <c r="Q428" t="s">
        <v>487</v>
      </c>
    </row>
    <row r="429" spans="1:17" x14ac:dyDescent="0.3">
      <c r="A429">
        <v>733989</v>
      </c>
      <c r="B429" t="s">
        <v>224</v>
      </c>
      <c r="C429" s="1">
        <v>41856</v>
      </c>
      <c r="D429" t="s">
        <v>483</v>
      </c>
      <c r="E429" t="s">
        <v>226</v>
      </c>
      <c r="F429">
        <v>0</v>
      </c>
      <c r="G429" t="s">
        <v>42</v>
      </c>
      <c r="H429" t="s">
        <v>406</v>
      </c>
      <c r="I429" t="s">
        <v>42</v>
      </c>
      <c r="J429" t="s">
        <v>23</v>
      </c>
      <c r="K429" t="s">
        <v>406</v>
      </c>
      <c r="L429" t="s">
        <v>24</v>
      </c>
      <c r="M429">
        <v>32</v>
      </c>
      <c r="N429" t="s">
        <v>25</v>
      </c>
      <c r="O429" t="s">
        <v>26</v>
      </c>
      <c r="P429" t="s">
        <v>349</v>
      </c>
      <c r="Q429" t="s">
        <v>441</v>
      </c>
    </row>
    <row r="430" spans="1:17" x14ac:dyDescent="0.3">
      <c r="A430">
        <v>733991</v>
      </c>
      <c r="B430" t="s">
        <v>17</v>
      </c>
      <c r="C430" s="1">
        <v>41887</v>
      </c>
      <c r="D430" t="s">
        <v>478</v>
      </c>
      <c r="E430" t="s">
        <v>20</v>
      </c>
      <c r="F430">
        <v>0</v>
      </c>
      <c r="G430" t="s">
        <v>21</v>
      </c>
      <c r="H430" t="s">
        <v>33</v>
      </c>
      <c r="I430" t="s">
        <v>21</v>
      </c>
      <c r="J430" t="s">
        <v>23</v>
      </c>
      <c r="K430" t="s">
        <v>33</v>
      </c>
      <c r="L430" t="s">
        <v>24</v>
      </c>
      <c r="M430">
        <v>32</v>
      </c>
      <c r="N430" t="s">
        <v>25</v>
      </c>
      <c r="O430" t="s">
        <v>26</v>
      </c>
      <c r="P430" t="s">
        <v>183</v>
      </c>
      <c r="Q430" t="s">
        <v>410</v>
      </c>
    </row>
    <row r="431" spans="1:17" x14ac:dyDescent="0.3">
      <c r="A431">
        <v>733993</v>
      </c>
      <c r="B431" t="s">
        <v>38</v>
      </c>
      <c r="C431" s="1">
        <v>41917</v>
      </c>
      <c r="D431" t="s">
        <v>298</v>
      </c>
      <c r="E431" t="s">
        <v>40</v>
      </c>
      <c r="F431">
        <v>0</v>
      </c>
      <c r="G431" t="s">
        <v>41</v>
      </c>
      <c r="H431" t="s">
        <v>406</v>
      </c>
      <c r="I431" t="s">
        <v>406</v>
      </c>
      <c r="J431" t="s">
        <v>23</v>
      </c>
      <c r="K431" t="s">
        <v>406</v>
      </c>
      <c r="L431" t="s">
        <v>43</v>
      </c>
      <c r="M431">
        <v>8</v>
      </c>
      <c r="N431" t="s">
        <v>25</v>
      </c>
      <c r="O431" t="s">
        <v>115</v>
      </c>
      <c r="P431" t="s">
        <v>486</v>
      </c>
      <c r="Q431" t="s">
        <v>359</v>
      </c>
    </row>
    <row r="432" spans="1:17" x14ac:dyDescent="0.3">
      <c r="A432">
        <v>733995</v>
      </c>
      <c r="B432" t="s">
        <v>46</v>
      </c>
      <c r="C432" s="1">
        <v>41917</v>
      </c>
      <c r="D432" t="s">
        <v>195</v>
      </c>
      <c r="E432" t="s">
        <v>49</v>
      </c>
      <c r="F432">
        <v>0</v>
      </c>
      <c r="G432" t="s">
        <v>50</v>
      </c>
      <c r="H432" t="s">
        <v>34</v>
      </c>
      <c r="I432" t="s">
        <v>34</v>
      </c>
      <c r="J432" t="s">
        <v>23</v>
      </c>
      <c r="K432" t="s">
        <v>34</v>
      </c>
      <c r="L432" t="s">
        <v>43</v>
      </c>
      <c r="M432">
        <v>4</v>
      </c>
      <c r="N432" t="s">
        <v>25</v>
      </c>
      <c r="O432" t="s">
        <v>26</v>
      </c>
      <c r="P432" t="s">
        <v>165</v>
      </c>
      <c r="Q432" t="s">
        <v>354</v>
      </c>
    </row>
    <row r="433" spans="1:17" x14ac:dyDescent="0.3">
      <c r="A433">
        <v>733997</v>
      </c>
      <c r="B433" t="s">
        <v>232</v>
      </c>
      <c r="C433" s="1">
        <v>41948</v>
      </c>
      <c r="D433" t="s">
        <v>189</v>
      </c>
      <c r="E433" t="s">
        <v>234</v>
      </c>
      <c r="F433">
        <v>0</v>
      </c>
      <c r="G433" t="s">
        <v>33</v>
      </c>
      <c r="H433" t="s">
        <v>22</v>
      </c>
      <c r="I433" t="s">
        <v>22</v>
      </c>
      <c r="J433" t="s">
        <v>23</v>
      </c>
      <c r="K433" t="s">
        <v>22</v>
      </c>
      <c r="L433" t="s">
        <v>43</v>
      </c>
      <c r="M433">
        <v>9</v>
      </c>
      <c r="N433" t="s">
        <v>25</v>
      </c>
      <c r="O433" t="s">
        <v>26</v>
      </c>
      <c r="P433" t="s">
        <v>441</v>
      </c>
      <c r="Q433" t="s">
        <v>418</v>
      </c>
    </row>
    <row r="434" spans="1:17" x14ac:dyDescent="0.3">
      <c r="A434">
        <v>733999</v>
      </c>
      <c r="B434" t="s">
        <v>17</v>
      </c>
      <c r="C434" s="1">
        <v>41948</v>
      </c>
      <c r="D434" t="s">
        <v>414</v>
      </c>
      <c r="E434" t="s">
        <v>20</v>
      </c>
      <c r="F434">
        <v>0</v>
      </c>
      <c r="G434" t="s">
        <v>21</v>
      </c>
      <c r="H434" t="s">
        <v>42</v>
      </c>
      <c r="I434" t="s">
        <v>21</v>
      </c>
      <c r="J434" t="s">
        <v>35</v>
      </c>
      <c r="K434" t="s">
        <v>42</v>
      </c>
      <c r="L434" t="s">
        <v>43</v>
      </c>
      <c r="M434">
        <v>5</v>
      </c>
      <c r="N434" t="s">
        <v>25</v>
      </c>
      <c r="O434" t="s">
        <v>26</v>
      </c>
      <c r="P434" t="s">
        <v>183</v>
      </c>
      <c r="Q434" t="s">
        <v>305</v>
      </c>
    </row>
    <row r="435" spans="1:17" x14ac:dyDescent="0.3">
      <c r="A435">
        <v>734001</v>
      </c>
      <c r="B435" t="s">
        <v>64</v>
      </c>
      <c r="C435" s="1">
        <v>41978</v>
      </c>
      <c r="D435" t="s">
        <v>257</v>
      </c>
      <c r="E435" t="s">
        <v>67</v>
      </c>
      <c r="F435">
        <v>0</v>
      </c>
      <c r="G435" t="s">
        <v>406</v>
      </c>
      <c r="H435" t="s">
        <v>50</v>
      </c>
      <c r="I435" t="s">
        <v>406</v>
      </c>
      <c r="J435" t="s">
        <v>35</v>
      </c>
      <c r="K435" t="s">
        <v>50</v>
      </c>
      <c r="L435" t="s">
        <v>43</v>
      </c>
      <c r="M435">
        <v>7</v>
      </c>
      <c r="N435" t="s">
        <v>25</v>
      </c>
      <c r="O435" t="s">
        <v>26</v>
      </c>
      <c r="P435" t="s">
        <v>165</v>
      </c>
      <c r="Q435" t="s">
        <v>354</v>
      </c>
    </row>
    <row r="436" spans="1:17" x14ac:dyDescent="0.3">
      <c r="A436">
        <v>734003</v>
      </c>
      <c r="B436" t="s">
        <v>444</v>
      </c>
      <c r="C436" t="s">
        <v>488</v>
      </c>
      <c r="D436" t="s">
        <v>352</v>
      </c>
      <c r="E436" t="s">
        <v>445</v>
      </c>
      <c r="F436">
        <v>0</v>
      </c>
      <c r="G436" t="s">
        <v>34</v>
      </c>
      <c r="H436" t="s">
        <v>42</v>
      </c>
      <c r="I436" t="s">
        <v>42</v>
      </c>
      <c r="J436" t="s">
        <v>35</v>
      </c>
      <c r="K436" t="s">
        <v>34</v>
      </c>
      <c r="L436" t="s">
        <v>43</v>
      </c>
      <c r="M436">
        <v>5</v>
      </c>
      <c r="N436" t="s">
        <v>25</v>
      </c>
      <c r="O436" t="s">
        <v>26</v>
      </c>
      <c r="P436" t="s">
        <v>359</v>
      </c>
      <c r="Q436" t="s">
        <v>387</v>
      </c>
    </row>
    <row r="437" spans="1:17" x14ac:dyDescent="0.3">
      <c r="A437">
        <v>734005</v>
      </c>
      <c r="B437" t="s">
        <v>17</v>
      </c>
      <c r="C437" t="s">
        <v>488</v>
      </c>
      <c r="D437" t="s">
        <v>182</v>
      </c>
      <c r="E437" t="s">
        <v>20</v>
      </c>
      <c r="F437">
        <v>0</v>
      </c>
      <c r="G437" t="s">
        <v>21</v>
      </c>
      <c r="H437" t="s">
        <v>41</v>
      </c>
      <c r="I437" t="s">
        <v>41</v>
      </c>
      <c r="J437" t="s">
        <v>23</v>
      </c>
      <c r="K437" t="s">
        <v>21</v>
      </c>
      <c r="L437" t="s">
        <v>24</v>
      </c>
      <c r="M437">
        <v>16</v>
      </c>
      <c r="N437" t="s">
        <v>25</v>
      </c>
      <c r="O437" t="s">
        <v>26</v>
      </c>
      <c r="P437" t="s">
        <v>410</v>
      </c>
      <c r="Q437" t="s">
        <v>305</v>
      </c>
    </row>
    <row r="438" spans="1:17" x14ac:dyDescent="0.3">
      <c r="A438">
        <v>734007</v>
      </c>
      <c r="B438" t="s">
        <v>64</v>
      </c>
      <c r="C438" t="s">
        <v>489</v>
      </c>
      <c r="D438" t="s">
        <v>335</v>
      </c>
      <c r="E438" t="s">
        <v>67</v>
      </c>
      <c r="F438">
        <v>0</v>
      </c>
      <c r="G438" t="s">
        <v>406</v>
      </c>
      <c r="H438" t="s">
        <v>33</v>
      </c>
      <c r="I438" t="s">
        <v>33</v>
      </c>
      <c r="J438" t="s">
        <v>23</v>
      </c>
      <c r="K438" t="s">
        <v>33</v>
      </c>
      <c r="L438" t="s">
        <v>43</v>
      </c>
      <c r="M438">
        <v>6</v>
      </c>
      <c r="N438" t="s">
        <v>25</v>
      </c>
      <c r="O438" t="s">
        <v>26</v>
      </c>
      <c r="P438" t="s">
        <v>354</v>
      </c>
      <c r="Q438" t="s">
        <v>487</v>
      </c>
    </row>
    <row r="439" spans="1:17" x14ac:dyDescent="0.3">
      <c r="A439">
        <v>734009</v>
      </c>
      <c r="B439" t="s">
        <v>232</v>
      </c>
      <c r="C439" t="s">
        <v>489</v>
      </c>
      <c r="D439" t="s">
        <v>241</v>
      </c>
      <c r="E439" t="s">
        <v>234</v>
      </c>
      <c r="F439">
        <v>0</v>
      </c>
      <c r="G439" t="s">
        <v>22</v>
      </c>
      <c r="H439" t="s">
        <v>50</v>
      </c>
      <c r="I439" t="s">
        <v>22</v>
      </c>
      <c r="J439" t="s">
        <v>23</v>
      </c>
      <c r="K439" t="s">
        <v>22</v>
      </c>
      <c r="L439" t="s">
        <v>43</v>
      </c>
      <c r="M439">
        <v>6</v>
      </c>
      <c r="N439" t="s">
        <v>25</v>
      </c>
      <c r="O439" t="s">
        <v>26</v>
      </c>
      <c r="P439" t="s">
        <v>349</v>
      </c>
      <c r="Q439" t="s">
        <v>441</v>
      </c>
    </row>
    <row r="440" spans="1:17" x14ac:dyDescent="0.3">
      <c r="A440">
        <v>734011</v>
      </c>
      <c r="B440" t="s">
        <v>224</v>
      </c>
      <c r="C440" t="s">
        <v>490</v>
      </c>
      <c r="D440" t="s">
        <v>350</v>
      </c>
      <c r="E440" t="s">
        <v>226</v>
      </c>
      <c r="F440">
        <v>0</v>
      </c>
      <c r="G440" t="s">
        <v>42</v>
      </c>
      <c r="H440" t="s">
        <v>41</v>
      </c>
      <c r="I440" t="s">
        <v>41</v>
      </c>
      <c r="J440" t="s">
        <v>23</v>
      </c>
      <c r="K440" t="s">
        <v>42</v>
      </c>
      <c r="L440" t="s">
        <v>24</v>
      </c>
      <c r="M440">
        <v>62</v>
      </c>
      <c r="N440" t="s">
        <v>25</v>
      </c>
      <c r="O440" t="s">
        <v>26</v>
      </c>
      <c r="P440" t="s">
        <v>183</v>
      </c>
      <c r="Q440" t="s">
        <v>305</v>
      </c>
    </row>
    <row r="441" spans="1:17" x14ac:dyDescent="0.3">
      <c r="A441">
        <v>734013</v>
      </c>
      <c r="B441" t="s">
        <v>444</v>
      </c>
      <c r="C441" t="s">
        <v>491</v>
      </c>
      <c r="D441" t="s">
        <v>157</v>
      </c>
      <c r="E441" t="s">
        <v>445</v>
      </c>
      <c r="F441">
        <v>0</v>
      </c>
      <c r="G441" t="s">
        <v>34</v>
      </c>
      <c r="H441" t="s">
        <v>21</v>
      </c>
      <c r="I441" t="s">
        <v>34</v>
      </c>
      <c r="J441" t="s">
        <v>35</v>
      </c>
      <c r="K441" t="s">
        <v>21</v>
      </c>
      <c r="L441" t="s">
        <v>43</v>
      </c>
      <c r="M441">
        <v>5</v>
      </c>
      <c r="N441" t="s">
        <v>25</v>
      </c>
      <c r="O441" t="s">
        <v>26</v>
      </c>
      <c r="P441" t="s">
        <v>359</v>
      </c>
      <c r="Q441" t="s">
        <v>387</v>
      </c>
    </row>
    <row r="442" spans="1:17" x14ac:dyDescent="0.3">
      <c r="A442">
        <v>734015</v>
      </c>
      <c r="B442" t="s">
        <v>64</v>
      </c>
      <c r="C442" t="s">
        <v>491</v>
      </c>
      <c r="D442" t="s">
        <v>395</v>
      </c>
      <c r="E442" t="s">
        <v>67</v>
      </c>
      <c r="F442">
        <v>0</v>
      </c>
      <c r="G442" t="s">
        <v>406</v>
      </c>
      <c r="H442" t="s">
        <v>22</v>
      </c>
      <c r="I442" t="s">
        <v>406</v>
      </c>
      <c r="J442" t="s">
        <v>35</v>
      </c>
      <c r="K442" t="s">
        <v>22</v>
      </c>
      <c r="L442" t="s">
        <v>43</v>
      </c>
      <c r="M442">
        <v>7</v>
      </c>
      <c r="N442" t="s">
        <v>25</v>
      </c>
      <c r="O442" t="s">
        <v>26</v>
      </c>
      <c r="P442" t="s">
        <v>441</v>
      </c>
      <c r="Q442" t="s">
        <v>418</v>
      </c>
    </row>
    <row r="443" spans="1:17" x14ac:dyDescent="0.3">
      <c r="A443">
        <v>734017</v>
      </c>
      <c r="B443" t="s">
        <v>224</v>
      </c>
      <c r="C443" t="s">
        <v>492</v>
      </c>
      <c r="D443" t="s">
        <v>31</v>
      </c>
      <c r="E443" t="s">
        <v>226</v>
      </c>
      <c r="F443">
        <v>0</v>
      </c>
      <c r="G443" t="s">
        <v>42</v>
      </c>
      <c r="H443" t="s">
        <v>50</v>
      </c>
      <c r="I443" t="s">
        <v>50</v>
      </c>
      <c r="J443" t="s">
        <v>35</v>
      </c>
      <c r="K443" t="s">
        <v>50</v>
      </c>
      <c r="L443" t="s">
        <v>24</v>
      </c>
      <c r="M443">
        <v>25</v>
      </c>
      <c r="N443" t="s">
        <v>25</v>
      </c>
      <c r="O443" t="s">
        <v>26</v>
      </c>
      <c r="P443" t="s">
        <v>183</v>
      </c>
      <c r="Q443" t="s">
        <v>305</v>
      </c>
    </row>
    <row r="444" spans="1:17" x14ac:dyDescent="0.3">
      <c r="A444">
        <v>734019</v>
      </c>
      <c r="B444" t="s">
        <v>38</v>
      </c>
      <c r="C444" t="s">
        <v>492</v>
      </c>
      <c r="D444" t="s">
        <v>493</v>
      </c>
      <c r="E444" t="s">
        <v>40</v>
      </c>
      <c r="F444">
        <v>0</v>
      </c>
      <c r="G444" t="s">
        <v>41</v>
      </c>
      <c r="H444" t="s">
        <v>33</v>
      </c>
      <c r="I444" t="s">
        <v>33</v>
      </c>
      <c r="J444" t="s">
        <v>23</v>
      </c>
      <c r="K444" t="s">
        <v>33</v>
      </c>
      <c r="L444" t="s">
        <v>43</v>
      </c>
      <c r="M444">
        <v>4</v>
      </c>
      <c r="N444" t="s">
        <v>25</v>
      </c>
      <c r="O444" t="s">
        <v>26</v>
      </c>
      <c r="P444" t="s">
        <v>165</v>
      </c>
      <c r="Q444" t="s">
        <v>487</v>
      </c>
    </row>
    <row r="445" spans="1:17" x14ac:dyDescent="0.3">
      <c r="A445">
        <v>734021</v>
      </c>
      <c r="B445" t="s">
        <v>64</v>
      </c>
      <c r="C445" t="s">
        <v>494</v>
      </c>
      <c r="D445" t="s">
        <v>251</v>
      </c>
      <c r="E445" t="s">
        <v>67</v>
      </c>
      <c r="F445">
        <v>0</v>
      </c>
      <c r="G445" t="s">
        <v>406</v>
      </c>
      <c r="H445" t="s">
        <v>21</v>
      </c>
      <c r="I445" t="s">
        <v>21</v>
      </c>
      <c r="J445" t="s">
        <v>35</v>
      </c>
      <c r="K445" t="s">
        <v>406</v>
      </c>
      <c r="L445" t="s">
        <v>43</v>
      </c>
      <c r="M445">
        <v>7</v>
      </c>
      <c r="N445" t="s">
        <v>25</v>
      </c>
      <c r="O445" t="s">
        <v>26</v>
      </c>
      <c r="P445" t="s">
        <v>349</v>
      </c>
      <c r="Q445" t="s">
        <v>441</v>
      </c>
    </row>
    <row r="446" spans="1:17" x14ac:dyDescent="0.3">
      <c r="A446">
        <v>734023</v>
      </c>
      <c r="B446" t="s">
        <v>53</v>
      </c>
      <c r="C446" t="s">
        <v>494</v>
      </c>
      <c r="D446" t="s">
        <v>241</v>
      </c>
      <c r="E446" t="s">
        <v>55</v>
      </c>
      <c r="F446">
        <v>0</v>
      </c>
      <c r="G446" t="s">
        <v>22</v>
      </c>
      <c r="H446" t="s">
        <v>34</v>
      </c>
      <c r="I446" t="s">
        <v>22</v>
      </c>
      <c r="J446" t="s">
        <v>23</v>
      </c>
      <c r="K446" t="s">
        <v>22</v>
      </c>
      <c r="L446" t="s">
        <v>43</v>
      </c>
      <c r="M446">
        <v>8</v>
      </c>
      <c r="N446" t="s">
        <v>25</v>
      </c>
      <c r="O446" t="s">
        <v>26</v>
      </c>
      <c r="P446" t="s">
        <v>486</v>
      </c>
      <c r="Q446" t="s">
        <v>387</v>
      </c>
    </row>
    <row r="447" spans="1:17" x14ac:dyDescent="0.3">
      <c r="A447">
        <v>734025</v>
      </c>
      <c r="B447" t="s">
        <v>29</v>
      </c>
      <c r="C447" t="s">
        <v>495</v>
      </c>
      <c r="D447" t="s">
        <v>496</v>
      </c>
      <c r="E447" t="s">
        <v>32</v>
      </c>
      <c r="F447">
        <v>0</v>
      </c>
      <c r="G447" t="s">
        <v>33</v>
      </c>
      <c r="H447" t="s">
        <v>50</v>
      </c>
      <c r="I447" t="s">
        <v>50</v>
      </c>
      <c r="J447" t="s">
        <v>23</v>
      </c>
      <c r="K447" t="s">
        <v>50</v>
      </c>
      <c r="L447" t="s">
        <v>43</v>
      </c>
      <c r="M447">
        <v>7</v>
      </c>
      <c r="N447" t="s">
        <v>25</v>
      </c>
      <c r="O447" t="s">
        <v>26</v>
      </c>
      <c r="P447" t="s">
        <v>165</v>
      </c>
      <c r="Q447" t="s">
        <v>354</v>
      </c>
    </row>
    <row r="448" spans="1:17" x14ac:dyDescent="0.3">
      <c r="A448">
        <v>734027</v>
      </c>
      <c r="B448" t="s">
        <v>53</v>
      </c>
      <c r="C448" t="s">
        <v>497</v>
      </c>
      <c r="D448" t="s">
        <v>241</v>
      </c>
      <c r="E448" t="s">
        <v>55</v>
      </c>
      <c r="F448">
        <v>0</v>
      </c>
      <c r="G448" t="s">
        <v>22</v>
      </c>
      <c r="H448" t="s">
        <v>21</v>
      </c>
      <c r="I448" t="s">
        <v>21</v>
      </c>
      <c r="J448" t="s">
        <v>23</v>
      </c>
      <c r="K448" t="s">
        <v>22</v>
      </c>
      <c r="L448" t="s">
        <v>24</v>
      </c>
      <c r="M448">
        <v>30</v>
      </c>
      <c r="N448" t="s">
        <v>25</v>
      </c>
      <c r="O448" t="s">
        <v>26</v>
      </c>
      <c r="P448" t="s">
        <v>349</v>
      </c>
      <c r="Q448" t="s">
        <v>418</v>
      </c>
    </row>
    <row r="449" spans="1:17" x14ac:dyDescent="0.3">
      <c r="A449">
        <v>734029</v>
      </c>
      <c r="B449" t="s">
        <v>444</v>
      </c>
      <c r="C449" t="s">
        <v>497</v>
      </c>
      <c r="D449" t="s">
        <v>251</v>
      </c>
      <c r="E449" t="s">
        <v>445</v>
      </c>
      <c r="F449">
        <v>0</v>
      </c>
      <c r="G449" t="s">
        <v>34</v>
      </c>
      <c r="H449" t="s">
        <v>406</v>
      </c>
      <c r="I449" t="s">
        <v>406</v>
      </c>
      <c r="J449" t="s">
        <v>23</v>
      </c>
      <c r="K449" t="s">
        <v>406</v>
      </c>
      <c r="L449" t="s">
        <v>43</v>
      </c>
      <c r="M449">
        <v>6</v>
      </c>
      <c r="N449" t="s">
        <v>25</v>
      </c>
      <c r="O449" t="s">
        <v>26</v>
      </c>
      <c r="P449" t="s">
        <v>359</v>
      </c>
      <c r="Q449" t="s">
        <v>387</v>
      </c>
    </row>
    <row r="450" spans="1:17" x14ac:dyDescent="0.3">
      <c r="A450">
        <v>734031</v>
      </c>
      <c r="B450" t="s">
        <v>46</v>
      </c>
      <c r="C450" t="s">
        <v>498</v>
      </c>
      <c r="D450" t="s">
        <v>31</v>
      </c>
      <c r="E450" t="s">
        <v>49</v>
      </c>
      <c r="F450">
        <v>0</v>
      </c>
      <c r="G450" t="s">
        <v>50</v>
      </c>
      <c r="H450" t="s">
        <v>41</v>
      </c>
      <c r="I450" t="s">
        <v>41</v>
      </c>
      <c r="J450" t="s">
        <v>23</v>
      </c>
      <c r="K450" t="s">
        <v>50</v>
      </c>
      <c r="L450" t="s">
        <v>24</v>
      </c>
      <c r="M450">
        <v>15</v>
      </c>
      <c r="N450" t="s">
        <v>25</v>
      </c>
      <c r="O450" t="s">
        <v>26</v>
      </c>
      <c r="P450" t="s">
        <v>183</v>
      </c>
      <c r="Q450" t="s">
        <v>305</v>
      </c>
    </row>
    <row r="451" spans="1:17" x14ac:dyDescent="0.3">
      <c r="A451">
        <v>734033</v>
      </c>
      <c r="B451" t="s">
        <v>29</v>
      </c>
      <c r="C451" t="s">
        <v>498</v>
      </c>
      <c r="D451" t="s">
        <v>93</v>
      </c>
      <c r="E451" t="s">
        <v>32</v>
      </c>
      <c r="F451">
        <v>0</v>
      </c>
      <c r="G451" t="s">
        <v>33</v>
      </c>
      <c r="H451" t="s">
        <v>42</v>
      </c>
      <c r="I451" t="s">
        <v>42</v>
      </c>
      <c r="J451" t="s">
        <v>23</v>
      </c>
      <c r="K451" t="s">
        <v>33</v>
      </c>
      <c r="L451" t="s">
        <v>24</v>
      </c>
      <c r="M451">
        <v>16</v>
      </c>
      <c r="N451" t="s">
        <v>25</v>
      </c>
      <c r="O451" t="s">
        <v>26</v>
      </c>
      <c r="P451" t="s">
        <v>165</v>
      </c>
      <c r="Q451" t="s">
        <v>487</v>
      </c>
    </row>
    <row r="452" spans="1:17" x14ac:dyDescent="0.3">
      <c r="A452">
        <v>734035</v>
      </c>
      <c r="B452" t="s">
        <v>17</v>
      </c>
      <c r="C452" t="s">
        <v>499</v>
      </c>
      <c r="D452" t="s">
        <v>87</v>
      </c>
      <c r="E452" t="s">
        <v>20</v>
      </c>
      <c r="F452">
        <v>0</v>
      </c>
      <c r="G452" t="s">
        <v>21</v>
      </c>
      <c r="H452" t="s">
        <v>34</v>
      </c>
      <c r="I452" t="s">
        <v>34</v>
      </c>
      <c r="J452" t="s">
        <v>23</v>
      </c>
      <c r="K452" t="s">
        <v>34</v>
      </c>
      <c r="L452" t="s">
        <v>43</v>
      </c>
      <c r="M452">
        <v>8</v>
      </c>
      <c r="N452" t="s">
        <v>25</v>
      </c>
      <c r="O452" t="s">
        <v>26</v>
      </c>
      <c r="P452" t="s">
        <v>349</v>
      </c>
      <c r="Q452" t="s">
        <v>441</v>
      </c>
    </row>
    <row r="453" spans="1:17" x14ac:dyDescent="0.3">
      <c r="A453">
        <v>734037</v>
      </c>
      <c r="B453" t="s">
        <v>53</v>
      </c>
      <c r="C453" t="s">
        <v>499</v>
      </c>
      <c r="D453" t="s">
        <v>75</v>
      </c>
      <c r="E453" t="s">
        <v>55</v>
      </c>
      <c r="F453">
        <v>0</v>
      </c>
      <c r="G453" t="s">
        <v>22</v>
      </c>
      <c r="H453" t="s">
        <v>406</v>
      </c>
      <c r="I453" t="s">
        <v>22</v>
      </c>
      <c r="J453" t="s">
        <v>23</v>
      </c>
      <c r="K453" t="s">
        <v>22</v>
      </c>
      <c r="L453" t="s">
        <v>43</v>
      </c>
      <c r="M453">
        <v>4</v>
      </c>
      <c r="N453" t="s">
        <v>25</v>
      </c>
      <c r="O453" t="s">
        <v>26</v>
      </c>
      <c r="P453" t="s">
        <v>486</v>
      </c>
      <c r="Q453" t="s">
        <v>359</v>
      </c>
    </row>
    <row r="454" spans="1:17" x14ac:dyDescent="0.3">
      <c r="A454">
        <v>734039</v>
      </c>
      <c r="B454" t="s">
        <v>29</v>
      </c>
      <c r="C454" t="s">
        <v>500</v>
      </c>
      <c r="D454" t="s">
        <v>407</v>
      </c>
      <c r="E454" t="s">
        <v>32</v>
      </c>
      <c r="F454">
        <v>0</v>
      </c>
      <c r="G454" t="s">
        <v>33</v>
      </c>
      <c r="H454" t="s">
        <v>41</v>
      </c>
      <c r="I454" t="s">
        <v>33</v>
      </c>
      <c r="J454" t="s">
        <v>23</v>
      </c>
      <c r="K454" t="s">
        <v>33</v>
      </c>
      <c r="L454" t="s">
        <v>43</v>
      </c>
      <c r="M454">
        <v>7</v>
      </c>
      <c r="N454" t="s">
        <v>25</v>
      </c>
      <c r="O454" t="s">
        <v>26</v>
      </c>
      <c r="P454" t="s">
        <v>165</v>
      </c>
      <c r="Q454" t="s">
        <v>354</v>
      </c>
    </row>
    <row r="455" spans="1:17" x14ac:dyDescent="0.3">
      <c r="A455">
        <v>734041</v>
      </c>
      <c r="B455" t="s">
        <v>46</v>
      </c>
      <c r="C455" t="s">
        <v>500</v>
      </c>
      <c r="D455" t="s">
        <v>484</v>
      </c>
      <c r="E455" t="s">
        <v>49</v>
      </c>
      <c r="F455">
        <v>0</v>
      </c>
      <c r="G455" t="s">
        <v>50</v>
      </c>
      <c r="H455" t="s">
        <v>42</v>
      </c>
      <c r="I455" t="s">
        <v>50</v>
      </c>
      <c r="J455" t="s">
        <v>23</v>
      </c>
      <c r="K455" t="s">
        <v>50</v>
      </c>
      <c r="L455" t="s">
        <v>43</v>
      </c>
      <c r="M455">
        <v>5</v>
      </c>
      <c r="N455" t="s">
        <v>25</v>
      </c>
      <c r="O455" t="s">
        <v>26</v>
      </c>
      <c r="P455" t="s">
        <v>410</v>
      </c>
      <c r="Q455" t="s">
        <v>305</v>
      </c>
    </row>
    <row r="456" spans="1:17" x14ac:dyDescent="0.3">
      <c r="A456">
        <v>734043</v>
      </c>
      <c r="B456" t="s">
        <v>53</v>
      </c>
      <c r="C456" t="s">
        <v>501</v>
      </c>
      <c r="D456" t="s">
        <v>395</v>
      </c>
      <c r="E456" t="s">
        <v>55</v>
      </c>
      <c r="F456">
        <v>0</v>
      </c>
      <c r="G456" t="s">
        <v>33</v>
      </c>
      <c r="H456" t="s">
        <v>22</v>
      </c>
      <c r="I456" t="s">
        <v>33</v>
      </c>
      <c r="J456" t="s">
        <v>23</v>
      </c>
      <c r="K456" t="s">
        <v>22</v>
      </c>
      <c r="L456" t="s">
        <v>24</v>
      </c>
      <c r="M456">
        <v>28</v>
      </c>
      <c r="N456" t="s">
        <v>25</v>
      </c>
      <c r="O456" t="s">
        <v>26</v>
      </c>
      <c r="P456" t="s">
        <v>441</v>
      </c>
      <c r="Q456" t="s">
        <v>183</v>
      </c>
    </row>
    <row r="457" spans="1:17" x14ac:dyDescent="0.3">
      <c r="A457">
        <v>734045</v>
      </c>
      <c r="B457" t="s">
        <v>46</v>
      </c>
      <c r="C457" t="s">
        <v>502</v>
      </c>
      <c r="D457" t="s">
        <v>133</v>
      </c>
      <c r="E457" t="s">
        <v>220</v>
      </c>
      <c r="F457">
        <v>0</v>
      </c>
      <c r="G457" t="s">
        <v>34</v>
      </c>
      <c r="H457" t="s">
        <v>50</v>
      </c>
      <c r="I457" t="s">
        <v>34</v>
      </c>
      <c r="J457" t="s">
        <v>23</v>
      </c>
      <c r="K457" t="s">
        <v>34</v>
      </c>
      <c r="L457" t="s">
        <v>43</v>
      </c>
      <c r="M457">
        <v>7</v>
      </c>
      <c r="N457" t="s">
        <v>25</v>
      </c>
      <c r="O457" t="s">
        <v>26</v>
      </c>
      <c r="P457" t="s">
        <v>354</v>
      </c>
      <c r="Q457" t="s">
        <v>359</v>
      </c>
    </row>
    <row r="458" spans="1:17" x14ac:dyDescent="0.3">
      <c r="A458">
        <v>734047</v>
      </c>
      <c r="B458" t="s">
        <v>46</v>
      </c>
      <c r="C458" t="s">
        <v>503</v>
      </c>
      <c r="D458" t="s">
        <v>66</v>
      </c>
      <c r="E458" t="s">
        <v>49</v>
      </c>
      <c r="F458">
        <v>0</v>
      </c>
      <c r="G458" t="s">
        <v>34</v>
      </c>
      <c r="H458" t="s">
        <v>33</v>
      </c>
      <c r="I458" t="s">
        <v>34</v>
      </c>
      <c r="J458" t="s">
        <v>23</v>
      </c>
      <c r="K458" t="s">
        <v>33</v>
      </c>
      <c r="L458" t="s">
        <v>24</v>
      </c>
      <c r="M458">
        <v>24</v>
      </c>
      <c r="N458" t="s">
        <v>25</v>
      </c>
      <c r="O458" t="s">
        <v>26</v>
      </c>
      <c r="P458" t="s">
        <v>165</v>
      </c>
      <c r="Q458" t="s">
        <v>305</v>
      </c>
    </row>
    <row r="459" spans="1:17" x14ac:dyDescent="0.3">
      <c r="A459">
        <v>734049</v>
      </c>
      <c r="B459" t="s">
        <v>17</v>
      </c>
      <c r="C459" s="1">
        <v>41645</v>
      </c>
      <c r="D459" t="s">
        <v>214</v>
      </c>
      <c r="E459" t="s">
        <v>20</v>
      </c>
      <c r="F459">
        <v>0</v>
      </c>
      <c r="G459" t="s">
        <v>22</v>
      </c>
      <c r="H459" t="s">
        <v>33</v>
      </c>
      <c r="I459" t="s">
        <v>22</v>
      </c>
      <c r="J459" t="s">
        <v>23</v>
      </c>
      <c r="K459" t="s">
        <v>22</v>
      </c>
      <c r="L459" t="s">
        <v>43</v>
      </c>
      <c r="M459">
        <v>3</v>
      </c>
      <c r="N459" t="s">
        <v>25</v>
      </c>
      <c r="O459" t="s">
        <v>26</v>
      </c>
      <c r="P459" t="s">
        <v>165</v>
      </c>
      <c r="Q459" t="s">
        <v>359</v>
      </c>
    </row>
    <row r="460" spans="1:17" x14ac:dyDescent="0.3">
      <c r="A460">
        <v>829705</v>
      </c>
      <c r="B460" t="s">
        <v>53</v>
      </c>
      <c r="C460" s="1">
        <v>42220</v>
      </c>
      <c r="D460" t="s">
        <v>358</v>
      </c>
      <c r="E460" t="s">
        <v>55</v>
      </c>
      <c r="F460">
        <v>0</v>
      </c>
      <c r="G460" t="s">
        <v>22</v>
      </c>
      <c r="H460" t="s">
        <v>50</v>
      </c>
      <c r="I460" t="s">
        <v>22</v>
      </c>
      <c r="J460" t="s">
        <v>23</v>
      </c>
      <c r="K460" t="s">
        <v>22</v>
      </c>
      <c r="L460" t="s">
        <v>43</v>
      </c>
      <c r="M460">
        <v>7</v>
      </c>
      <c r="N460" t="s">
        <v>25</v>
      </c>
      <c r="O460" t="s">
        <v>26</v>
      </c>
      <c r="P460" t="s">
        <v>183</v>
      </c>
      <c r="Q460" t="s">
        <v>387</v>
      </c>
    </row>
    <row r="461" spans="1:17" x14ac:dyDescent="0.3">
      <c r="A461">
        <v>829707</v>
      </c>
      <c r="B461" t="s">
        <v>70</v>
      </c>
      <c r="C461" s="1">
        <v>42251</v>
      </c>
      <c r="D461" t="s">
        <v>101</v>
      </c>
      <c r="E461" t="s">
        <v>73</v>
      </c>
      <c r="F461">
        <v>0</v>
      </c>
      <c r="G461" t="s">
        <v>34</v>
      </c>
      <c r="H461" t="s">
        <v>41</v>
      </c>
      <c r="I461" t="s">
        <v>41</v>
      </c>
      <c r="J461" t="s">
        <v>23</v>
      </c>
      <c r="K461" t="s">
        <v>34</v>
      </c>
      <c r="L461" t="s">
        <v>24</v>
      </c>
      <c r="M461">
        <v>1</v>
      </c>
      <c r="N461" t="s">
        <v>25</v>
      </c>
      <c r="O461" t="s">
        <v>26</v>
      </c>
      <c r="P461" t="s">
        <v>460</v>
      </c>
      <c r="Q461" t="s">
        <v>354</v>
      </c>
    </row>
    <row r="462" spans="1:17" x14ac:dyDescent="0.3">
      <c r="A462">
        <v>829709</v>
      </c>
      <c r="B462" t="s">
        <v>355</v>
      </c>
      <c r="C462" s="1">
        <v>42281</v>
      </c>
      <c r="D462" t="s">
        <v>414</v>
      </c>
      <c r="E462" t="s">
        <v>504</v>
      </c>
      <c r="F462">
        <v>0</v>
      </c>
      <c r="G462" t="s">
        <v>33</v>
      </c>
      <c r="H462" t="s">
        <v>42</v>
      </c>
      <c r="I462" t="s">
        <v>33</v>
      </c>
      <c r="J462" t="s">
        <v>23</v>
      </c>
      <c r="K462" t="s">
        <v>42</v>
      </c>
      <c r="L462" t="s">
        <v>24</v>
      </c>
      <c r="M462">
        <v>26</v>
      </c>
      <c r="N462" t="s">
        <v>25</v>
      </c>
      <c r="O462" t="s">
        <v>26</v>
      </c>
      <c r="P462" t="s">
        <v>505</v>
      </c>
      <c r="Q462" t="s">
        <v>506</v>
      </c>
    </row>
    <row r="463" spans="1:17" x14ac:dyDescent="0.3">
      <c r="A463">
        <v>829711</v>
      </c>
      <c r="B463" t="s">
        <v>70</v>
      </c>
      <c r="C463" s="1">
        <v>42312</v>
      </c>
      <c r="D463" t="s">
        <v>19</v>
      </c>
      <c r="E463" t="s">
        <v>73</v>
      </c>
      <c r="F463">
        <v>0</v>
      </c>
      <c r="G463" t="s">
        <v>34</v>
      </c>
      <c r="H463" t="s">
        <v>406</v>
      </c>
      <c r="I463" t="s">
        <v>34</v>
      </c>
      <c r="J463" t="s">
        <v>35</v>
      </c>
      <c r="K463" t="s">
        <v>34</v>
      </c>
      <c r="L463" t="s">
        <v>24</v>
      </c>
      <c r="M463">
        <v>45</v>
      </c>
      <c r="N463" t="s">
        <v>25</v>
      </c>
      <c r="O463" t="s">
        <v>26</v>
      </c>
      <c r="P463" t="s">
        <v>460</v>
      </c>
      <c r="Q463" t="s">
        <v>354</v>
      </c>
    </row>
    <row r="464" spans="1:17" x14ac:dyDescent="0.3">
      <c r="A464">
        <v>829713</v>
      </c>
      <c r="B464" t="s">
        <v>53</v>
      </c>
      <c r="C464" s="1">
        <v>42312</v>
      </c>
      <c r="D464" t="s">
        <v>152</v>
      </c>
      <c r="E464" t="s">
        <v>55</v>
      </c>
      <c r="F464">
        <v>0</v>
      </c>
      <c r="G464" t="s">
        <v>22</v>
      </c>
      <c r="H464" t="s">
        <v>21</v>
      </c>
      <c r="I464" t="s">
        <v>21</v>
      </c>
      <c r="J464" t="s">
        <v>23</v>
      </c>
      <c r="K464" t="s">
        <v>21</v>
      </c>
      <c r="L464" t="s">
        <v>43</v>
      </c>
      <c r="M464">
        <v>3</v>
      </c>
      <c r="N464" t="s">
        <v>25</v>
      </c>
      <c r="O464" t="s">
        <v>26</v>
      </c>
      <c r="P464" t="s">
        <v>183</v>
      </c>
      <c r="Q464" t="s">
        <v>387</v>
      </c>
    </row>
    <row r="465" spans="1:17" x14ac:dyDescent="0.3">
      <c r="A465">
        <v>829715</v>
      </c>
      <c r="B465" t="s">
        <v>38</v>
      </c>
      <c r="C465" s="1">
        <v>42342</v>
      </c>
      <c r="D465" t="s">
        <v>507</v>
      </c>
      <c r="E465" t="s">
        <v>40</v>
      </c>
      <c r="F465">
        <v>0</v>
      </c>
      <c r="G465" t="s">
        <v>41</v>
      </c>
      <c r="H465" t="s">
        <v>42</v>
      </c>
      <c r="I465" t="s">
        <v>42</v>
      </c>
      <c r="J465" t="s">
        <v>23</v>
      </c>
      <c r="K465" t="s">
        <v>42</v>
      </c>
      <c r="L465" t="s">
        <v>43</v>
      </c>
      <c r="M465">
        <v>3</v>
      </c>
      <c r="N465" t="s">
        <v>25</v>
      </c>
      <c r="O465" t="s">
        <v>26</v>
      </c>
      <c r="P465" t="s">
        <v>505</v>
      </c>
      <c r="Q465" t="s">
        <v>506</v>
      </c>
    </row>
    <row r="466" spans="1:17" x14ac:dyDescent="0.3">
      <c r="A466">
        <v>829717</v>
      </c>
      <c r="B466" t="s">
        <v>46</v>
      </c>
      <c r="C466" s="1">
        <v>42342</v>
      </c>
      <c r="D466" t="s">
        <v>508</v>
      </c>
      <c r="E466" t="s">
        <v>49</v>
      </c>
      <c r="F466">
        <v>0</v>
      </c>
      <c r="G466" t="s">
        <v>50</v>
      </c>
      <c r="H466" t="s">
        <v>33</v>
      </c>
      <c r="I466" t="s">
        <v>50</v>
      </c>
      <c r="J466" t="s">
        <v>23</v>
      </c>
      <c r="K466" t="s">
        <v>33</v>
      </c>
      <c r="L466" t="s">
        <v>24</v>
      </c>
      <c r="M466">
        <v>18</v>
      </c>
      <c r="N466" t="s">
        <v>25</v>
      </c>
      <c r="O466" t="s">
        <v>26</v>
      </c>
      <c r="P466" t="s">
        <v>349</v>
      </c>
      <c r="Q466" t="s">
        <v>509</v>
      </c>
    </row>
    <row r="467" spans="1:17" x14ac:dyDescent="0.3">
      <c r="A467">
        <v>829719</v>
      </c>
      <c r="B467" t="s">
        <v>17</v>
      </c>
      <c r="C467" t="s">
        <v>510</v>
      </c>
      <c r="D467" t="s">
        <v>251</v>
      </c>
      <c r="E467" t="s">
        <v>20</v>
      </c>
      <c r="F467">
        <v>0</v>
      </c>
      <c r="G467" t="s">
        <v>21</v>
      </c>
      <c r="H467" t="s">
        <v>406</v>
      </c>
      <c r="I467" t="s">
        <v>406</v>
      </c>
      <c r="J467" t="s">
        <v>23</v>
      </c>
      <c r="K467" t="s">
        <v>406</v>
      </c>
      <c r="L467" t="s">
        <v>43</v>
      </c>
      <c r="M467">
        <v>8</v>
      </c>
      <c r="N467" t="s">
        <v>25</v>
      </c>
      <c r="O467" t="s">
        <v>26</v>
      </c>
      <c r="P467" t="s">
        <v>486</v>
      </c>
      <c r="Q467" t="s">
        <v>460</v>
      </c>
    </row>
    <row r="468" spans="1:17" x14ac:dyDescent="0.3">
      <c r="A468">
        <v>829721</v>
      </c>
      <c r="B468" t="s">
        <v>224</v>
      </c>
      <c r="C468" t="s">
        <v>511</v>
      </c>
      <c r="D468" t="s">
        <v>348</v>
      </c>
      <c r="E468" t="s">
        <v>226</v>
      </c>
      <c r="F468">
        <v>0</v>
      </c>
      <c r="G468" t="s">
        <v>42</v>
      </c>
      <c r="H468" t="s">
        <v>50</v>
      </c>
      <c r="I468" t="s">
        <v>50</v>
      </c>
      <c r="J468" t="s">
        <v>35</v>
      </c>
      <c r="K468" t="s">
        <v>42</v>
      </c>
      <c r="L468" t="s">
        <v>43</v>
      </c>
      <c r="M468">
        <v>7</v>
      </c>
      <c r="N468" t="s">
        <v>25</v>
      </c>
      <c r="O468" t="s">
        <v>26</v>
      </c>
      <c r="P468" t="s">
        <v>349</v>
      </c>
      <c r="Q468" t="s">
        <v>505</v>
      </c>
    </row>
    <row r="469" spans="1:17" x14ac:dyDescent="0.3">
      <c r="A469">
        <v>829723</v>
      </c>
      <c r="B469" t="s">
        <v>53</v>
      </c>
      <c r="C469" t="s">
        <v>512</v>
      </c>
      <c r="D469" t="s">
        <v>513</v>
      </c>
      <c r="E469" t="s">
        <v>55</v>
      </c>
      <c r="F469">
        <v>0</v>
      </c>
      <c r="G469" t="s">
        <v>22</v>
      </c>
      <c r="H469" t="s">
        <v>34</v>
      </c>
      <c r="I469" t="s">
        <v>22</v>
      </c>
      <c r="J469" t="s">
        <v>23</v>
      </c>
      <c r="K469" t="s">
        <v>22</v>
      </c>
      <c r="L469" t="s">
        <v>43</v>
      </c>
      <c r="M469">
        <v>7</v>
      </c>
      <c r="N469" t="s">
        <v>25</v>
      </c>
      <c r="O469" t="s">
        <v>26</v>
      </c>
      <c r="P469" t="s">
        <v>349</v>
      </c>
      <c r="Q469" t="s">
        <v>155</v>
      </c>
    </row>
    <row r="470" spans="1:17" x14ac:dyDescent="0.3">
      <c r="A470">
        <v>829725</v>
      </c>
      <c r="B470" t="s">
        <v>355</v>
      </c>
      <c r="C470" t="s">
        <v>514</v>
      </c>
      <c r="D470" t="s">
        <v>515</v>
      </c>
      <c r="E470" t="s">
        <v>504</v>
      </c>
      <c r="F470">
        <v>0</v>
      </c>
      <c r="G470" t="s">
        <v>33</v>
      </c>
      <c r="H470" t="s">
        <v>41</v>
      </c>
      <c r="I470" t="s">
        <v>33</v>
      </c>
      <c r="J470" t="s">
        <v>35</v>
      </c>
      <c r="K470" t="s">
        <v>41</v>
      </c>
      <c r="L470" t="s">
        <v>43</v>
      </c>
      <c r="M470">
        <v>5</v>
      </c>
      <c r="N470" t="s">
        <v>25</v>
      </c>
      <c r="O470" t="s">
        <v>26</v>
      </c>
      <c r="P470" t="s">
        <v>506</v>
      </c>
      <c r="Q470" t="s">
        <v>410</v>
      </c>
    </row>
    <row r="471" spans="1:17" x14ac:dyDescent="0.3">
      <c r="A471">
        <v>829727</v>
      </c>
      <c r="B471" t="s">
        <v>351</v>
      </c>
      <c r="C471" t="s">
        <v>516</v>
      </c>
      <c r="D471" t="s">
        <v>350</v>
      </c>
      <c r="E471" t="s">
        <v>353</v>
      </c>
      <c r="F471">
        <v>0</v>
      </c>
      <c r="G471" t="s">
        <v>406</v>
      </c>
      <c r="H471" t="s">
        <v>42</v>
      </c>
      <c r="I471" t="s">
        <v>42</v>
      </c>
      <c r="J471" t="s">
        <v>23</v>
      </c>
      <c r="K471" t="s">
        <v>42</v>
      </c>
      <c r="L471" t="s">
        <v>43</v>
      </c>
      <c r="M471">
        <v>6</v>
      </c>
      <c r="N471" t="s">
        <v>25</v>
      </c>
      <c r="O471" t="s">
        <v>26</v>
      </c>
      <c r="P471" t="s">
        <v>487</v>
      </c>
      <c r="Q471" t="s">
        <v>183</v>
      </c>
    </row>
    <row r="472" spans="1:17" x14ac:dyDescent="0.3">
      <c r="A472">
        <v>829729</v>
      </c>
      <c r="B472" t="s">
        <v>46</v>
      </c>
      <c r="C472" t="s">
        <v>517</v>
      </c>
      <c r="D472" t="s">
        <v>101</v>
      </c>
      <c r="E472" t="s">
        <v>49</v>
      </c>
      <c r="F472">
        <v>0</v>
      </c>
      <c r="G472" t="s">
        <v>50</v>
      </c>
      <c r="H472" t="s">
        <v>34</v>
      </c>
      <c r="I472" t="s">
        <v>50</v>
      </c>
      <c r="J472" t="s">
        <v>35</v>
      </c>
      <c r="K472" t="s">
        <v>34</v>
      </c>
      <c r="L472" t="s">
        <v>43</v>
      </c>
      <c r="M472">
        <v>6</v>
      </c>
      <c r="N472" t="s">
        <v>25</v>
      </c>
      <c r="O472" t="s">
        <v>26</v>
      </c>
      <c r="P472" t="s">
        <v>349</v>
      </c>
      <c r="Q472" t="s">
        <v>155</v>
      </c>
    </row>
    <row r="473" spans="1:17" x14ac:dyDescent="0.3">
      <c r="A473">
        <v>829731</v>
      </c>
      <c r="B473" t="s">
        <v>351</v>
      </c>
      <c r="C473" t="s">
        <v>518</v>
      </c>
      <c r="D473" t="s">
        <v>179</v>
      </c>
      <c r="E473" t="s">
        <v>353</v>
      </c>
      <c r="F473">
        <v>0</v>
      </c>
      <c r="G473" t="s">
        <v>406</v>
      </c>
      <c r="H473" t="s">
        <v>41</v>
      </c>
      <c r="I473" t="s">
        <v>41</v>
      </c>
      <c r="J473" t="s">
        <v>35</v>
      </c>
      <c r="K473" t="s">
        <v>41</v>
      </c>
      <c r="L473" t="s">
        <v>24</v>
      </c>
      <c r="M473">
        <v>4</v>
      </c>
      <c r="N473" t="s">
        <v>25</v>
      </c>
      <c r="O473" t="s">
        <v>26</v>
      </c>
      <c r="P473" t="s">
        <v>487</v>
      </c>
      <c r="Q473" t="s">
        <v>183</v>
      </c>
    </row>
    <row r="474" spans="1:17" x14ac:dyDescent="0.3">
      <c r="A474">
        <v>829733</v>
      </c>
      <c r="B474" t="s">
        <v>355</v>
      </c>
      <c r="C474" t="s">
        <v>518</v>
      </c>
      <c r="D474" t="s">
        <v>513</v>
      </c>
      <c r="E474" t="s">
        <v>504</v>
      </c>
      <c r="F474">
        <v>0</v>
      </c>
      <c r="G474" t="s">
        <v>33</v>
      </c>
      <c r="H474" t="s">
        <v>22</v>
      </c>
      <c r="I474" t="s">
        <v>22</v>
      </c>
      <c r="J474" t="s">
        <v>23</v>
      </c>
      <c r="K474" t="s">
        <v>22</v>
      </c>
      <c r="L474" t="s">
        <v>43</v>
      </c>
      <c r="M474">
        <v>4</v>
      </c>
      <c r="N474" t="s">
        <v>25</v>
      </c>
      <c r="O474" t="s">
        <v>26</v>
      </c>
      <c r="P474" t="s">
        <v>505</v>
      </c>
      <c r="Q474" t="s">
        <v>418</v>
      </c>
    </row>
    <row r="475" spans="1:17" x14ac:dyDescent="0.3">
      <c r="A475">
        <v>829735</v>
      </c>
      <c r="B475" t="s">
        <v>224</v>
      </c>
      <c r="C475" t="s">
        <v>519</v>
      </c>
      <c r="D475" t="s">
        <v>350</v>
      </c>
      <c r="E475" t="s">
        <v>226</v>
      </c>
      <c r="F475">
        <v>0</v>
      </c>
      <c r="G475" t="s">
        <v>42</v>
      </c>
      <c r="H475" t="s">
        <v>34</v>
      </c>
      <c r="I475" t="s">
        <v>34</v>
      </c>
      <c r="J475" t="s">
        <v>35</v>
      </c>
      <c r="K475" t="s">
        <v>42</v>
      </c>
      <c r="L475" t="s">
        <v>43</v>
      </c>
      <c r="M475">
        <v>8</v>
      </c>
      <c r="N475" t="s">
        <v>25</v>
      </c>
      <c r="O475" t="s">
        <v>26</v>
      </c>
      <c r="P475" t="s">
        <v>349</v>
      </c>
      <c r="Q475" t="s">
        <v>155</v>
      </c>
    </row>
    <row r="476" spans="1:17" x14ac:dyDescent="0.3">
      <c r="A476">
        <v>829737</v>
      </c>
      <c r="B476" t="s">
        <v>17</v>
      </c>
      <c r="C476" t="s">
        <v>519</v>
      </c>
      <c r="D476" t="s">
        <v>197</v>
      </c>
      <c r="E476" t="s">
        <v>20</v>
      </c>
      <c r="F476">
        <v>0</v>
      </c>
      <c r="G476" t="s">
        <v>21</v>
      </c>
      <c r="H476" t="s">
        <v>50</v>
      </c>
      <c r="I476" t="s">
        <v>21</v>
      </c>
      <c r="J476" t="s">
        <v>23</v>
      </c>
      <c r="K476" t="s">
        <v>50</v>
      </c>
      <c r="L476" t="s">
        <v>24</v>
      </c>
      <c r="M476">
        <v>18</v>
      </c>
      <c r="N476" t="s">
        <v>25</v>
      </c>
      <c r="O476" t="s">
        <v>26</v>
      </c>
      <c r="P476" t="s">
        <v>460</v>
      </c>
      <c r="Q476" t="s">
        <v>354</v>
      </c>
    </row>
    <row r="477" spans="1:17" x14ac:dyDescent="0.3">
      <c r="A477">
        <v>829739</v>
      </c>
      <c r="B477" t="s">
        <v>38</v>
      </c>
      <c r="C477" t="s">
        <v>520</v>
      </c>
      <c r="D477" t="s">
        <v>395</v>
      </c>
      <c r="E477" t="s">
        <v>40</v>
      </c>
      <c r="F477">
        <v>0</v>
      </c>
      <c r="G477" t="s">
        <v>41</v>
      </c>
      <c r="H477" t="s">
        <v>22</v>
      </c>
      <c r="I477" t="s">
        <v>22</v>
      </c>
      <c r="J477" t="s">
        <v>23</v>
      </c>
      <c r="K477" t="s">
        <v>22</v>
      </c>
      <c r="L477" t="s">
        <v>43</v>
      </c>
      <c r="M477">
        <v>6</v>
      </c>
      <c r="N477" t="s">
        <v>25</v>
      </c>
      <c r="O477" t="s">
        <v>26</v>
      </c>
      <c r="P477" t="s">
        <v>505</v>
      </c>
      <c r="Q477" t="s">
        <v>506</v>
      </c>
    </row>
    <row r="478" spans="1:17" x14ac:dyDescent="0.3">
      <c r="A478">
        <v>829741</v>
      </c>
      <c r="B478" t="s">
        <v>224</v>
      </c>
      <c r="C478" t="s">
        <v>521</v>
      </c>
      <c r="D478" t="s">
        <v>93</v>
      </c>
      <c r="E478" t="s">
        <v>226</v>
      </c>
      <c r="F478">
        <v>0</v>
      </c>
      <c r="G478" t="s">
        <v>42</v>
      </c>
      <c r="H478" t="s">
        <v>33</v>
      </c>
      <c r="I478" t="s">
        <v>33</v>
      </c>
      <c r="J478" t="s">
        <v>23</v>
      </c>
      <c r="K478" t="s">
        <v>33</v>
      </c>
      <c r="L478" t="s">
        <v>158</v>
      </c>
      <c r="M478" t="s">
        <v>26</v>
      </c>
      <c r="N478" t="s">
        <v>159</v>
      </c>
      <c r="O478" t="s">
        <v>26</v>
      </c>
      <c r="P478" t="s">
        <v>155</v>
      </c>
      <c r="Q478" t="s">
        <v>183</v>
      </c>
    </row>
    <row r="479" spans="1:17" x14ac:dyDescent="0.3">
      <c r="A479">
        <v>829743</v>
      </c>
      <c r="B479" t="s">
        <v>351</v>
      </c>
      <c r="C479" t="s">
        <v>522</v>
      </c>
      <c r="D479" t="s">
        <v>251</v>
      </c>
      <c r="E479" t="s">
        <v>353</v>
      </c>
      <c r="F479">
        <v>0</v>
      </c>
      <c r="G479" t="s">
        <v>406</v>
      </c>
      <c r="H479" t="s">
        <v>22</v>
      </c>
      <c r="I479" t="s">
        <v>22</v>
      </c>
      <c r="J479" t="s">
        <v>23</v>
      </c>
      <c r="K479" t="s">
        <v>406</v>
      </c>
      <c r="L479" t="s">
        <v>24</v>
      </c>
      <c r="M479">
        <v>16</v>
      </c>
      <c r="N479" t="s">
        <v>25</v>
      </c>
      <c r="O479" t="s">
        <v>115</v>
      </c>
      <c r="P479" t="s">
        <v>460</v>
      </c>
      <c r="Q479" t="s">
        <v>354</v>
      </c>
    </row>
    <row r="480" spans="1:17" x14ac:dyDescent="0.3">
      <c r="A480">
        <v>829745</v>
      </c>
      <c r="B480" t="s">
        <v>17</v>
      </c>
      <c r="C480" t="s">
        <v>522</v>
      </c>
      <c r="D480" t="s">
        <v>133</v>
      </c>
      <c r="E480" t="s">
        <v>20</v>
      </c>
      <c r="F480">
        <v>0</v>
      </c>
      <c r="G480" t="s">
        <v>21</v>
      </c>
      <c r="H480" t="s">
        <v>34</v>
      </c>
      <c r="I480" t="s">
        <v>21</v>
      </c>
      <c r="J480" t="s">
        <v>23</v>
      </c>
      <c r="K480" t="s">
        <v>34</v>
      </c>
      <c r="L480" t="s">
        <v>24</v>
      </c>
      <c r="M480">
        <v>27</v>
      </c>
      <c r="N480" t="s">
        <v>25</v>
      </c>
      <c r="O480" t="s">
        <v>26</v>
      </c>
      <c r="P480" t="s">
        <v>347</v>
      </c>
      <c r="Q480" t="s">
        <v>387</v>
      </c>
    </row>
    <row r="481" spans="1:17" x14ac:dyDescent="0.3">
      <c r="A481">
        <v>829747</v>
      </c>
      <c r="B481" t="s">
        <v>38</v>
      </c>
      <c r="C481" t="s">
        <v>523</v>
      </c>
      <c r="D481" t="s">
        <v>524</v>
      </c>
      <c r="E481" t="s">
        <v>40</v>
      </c>
      <c r="F481">
        <v>0</v>
      </c>
      <c r="G481" t="s">
        <v>41</v>
      </c>
      <c r="H481" t="s">
        <v>50</v>
      </c>
      <c r="I481" t="s">
        <v>50</v>
      </c>
      <c r="J481" t="s">
        <v>23</v>
      </c>
      <c r="K481" t="s">
        <v>41</v>
      </c>
      <c r="L481" t="s">
        <v>24</v>
      </c>
      <c r="M481">
        <v>37</v>
      </c>
      <c r="N481" t="s">
        <v>25</v>
      </c>
      <c r="O481" t="s">
        <v>26</v>
      </c>
      <c r="P481" t="s">
        <v>505</v>
      </c>
      <c r="Q481" t="s">
        <v>418</v>
      </c>
    </row>
    <row r="482" spans="1:17" x14ac:dyDescent="0.3">
      <c r="A482">
        <v>829749</v>
      </c>
      <c r="B482" t="s">
        <v>224</v>
      </c>
      <c r="C482" t="s">
        <v>525</v>
      </c>
      <c r="D482" t="s">
        <v>526</v>
      </c>
      <c r="E482" t="s">
        <v>226</v>
      </c>
      <c r="F482">
        <v>0</v>
      </c>
      <c r="G482" t="s">
        <v>42</v>
      </c>
      <c r="H482" t="s">
        <v>21</v>
      </c>
      <c r="I482" t="s">
        <v>21</v>
      </c>
      <c r="J482" t="s">
        <v>23</v>
      </c>
      <c r="K482" t="s">
        <v>21</v>
      </c>
      <c r="L482" t="s">
        <v>43</v>
      </c>
      <c r="M482">
        <v>9</v>
      </c>
      <c r="N482" t="s">
        <v>25</v>
      </c>
      <c r="O482" t="s">
        <v>26</v>
      </c>
      <c r="P482" t="s">
        <v>155</v>
      </c>
      <c r="Q482" t="s">
        <v>183</v>
      </c>
    </row>
    <row r="483" spans="1:17" x14ac:dyDescent="0.3">
      <c r="A483">
        <v>829751</v>
      </c>
      <c r="B483" t="s">
        <v>46</v>
      </c>
      <c r="C483" t="s">
        <v>527</v>
      </c>
      <c r="D483" t="s">
        <v>253</v>
      </c>
      <c r="E483" t="s">
        <v>49</v>
      </c>
      <c r="F483">
        <v>0</v>
      </c>
      <c r="G483" t="s">
        <v>50</v>
      </c>
      <c r="H483" t="s">
        <v>406</v>
      </c>
      <c r="I483" t="s">
        <v>50</v>
      </c>
      <c r="J483" t="s">
        <v>35</v>
      </c>
      <c r="K483" t="s">
        <v>50</v>
      </c>
      <c r="L483" t="s">
        <v>24</v>
      </c>
      <c r="M483">
        <v>20</v>
      </c>
      <c r="N483" t="s">
        <v>25</v>
      </c>
      <c r="O483" t="s">
        <v>26</v>
      </c>
      <c r="P483" t="s">
        <v>165</v>
      </c>
      <c r="Q483" t="s">
        <v>506</v>
      </c>
    </row>
    <row r="484" spans="1:17" x14ac:dyDescent="0.3">
      <c r="A484">
        <v>829753</v>
      </c>
      <c r="B484" t="s">
        <v>70</v>
      </c>
      <c r="C484" t="s">
        <v>527</v>
      </c>
      <c r="D484" t="s">
        <v>19</v>
      </c>
      <c r="E484" t="s">
        <v>73</v>
      </c>
      <c r="F484">
        <v>0</v>
      </c>
      <c r="G484" t="s">
        <v>34</v>
      </c>
      <c r="H484" t="s">
        <v>33</v>
      </c>
      <c r="I484" t="s">
        <v>34</v>
      </c>
      <c r="J484" t="s">
        <v>35</v>
      </c>
      <c r="K484" t="s">
        <v>34</v>
      </c>
      <c r="L484" t="s">
        <v>24</v>
      </c>
      <c r="M484">
        <v>97</v>
      </c>
      <c r="N484" t="s">
        <v>25</v>
      </c>
      <c r="O484" t="s">
        <v>26</v>
      </c>
      <c r="P484" t="s">
        <v>347</v>
      </c>
      <c r="Q484" t="s">
        <v>387</v>
      </c>
    </row>
    <row r="485" spans="1:17" x14ac:dyDescent="0.3">
      <c r="A485">
        <v>829757</v>
      </c>
      <c r="B485" t="s">
        <v>38</v>
      </c>
      <c r="C485" t="s">
        <v>528</v>
      </c>
      <c r="D485" t="s">
        <v>529</v>
      </c>
      <c r="E485" t="s">
        <v>40</v>
      </c>
      <c r="F485">
        <v>0</v>
      </c>
      <c r="G485" t="s">
        <v>41</v>
      </c>
      <c r="H485" t="s">
        <v>21</v>
      </c>
      <c r="I485" t="s">
        <v>21</v>
      </c>
      <c r="J485" t="s">
        <v>23</v>
      </c>
      <c r="K485" t="s">
        <v>21</v>
      </c>
      <c r="L485" t="s">
        <v>43</v>
      </c>
      <c r="M485">
        <v>10</v>
      </c>
      <c r="N485" t="s">
        <v>25</v>
      </c>
      <c r="O485" t="s">
        <v>26</v>
      </c>
      <c r="P485" t="s">
        <v>155</v>
      </c>
      <c r="Q485" t="s">
        <v>183</v>
      </c>
    </row>
    <row r="486" spans="1:17" x14ac:dyDescent="0.3">
      <c r="A486">
        <v>829759</v>
      </c>
      <c r="B486" t="s">
        <v>29</v>
      </c>
      <c r="C486" t="s">
        <v>530</v>
      </c>
      <c r="D486" t="s">
        <v>531</v>
      </c>
      <c r="E486" t="s">
        <v>32</v>
      </c>
      <c r="F486">
        <v>0</v>
      </c>
      <c r="G486" t="s">
        <v>33</v>
      </c>
      <c r="H486" t="s">
        <v>406</v>
      </c>
      <c r="I486" t="s">
        <v>33</v>
      </c>
      <c r="J486" t="s">
        <v>23</v>
      </c>
      <c r="K486" t="s">
        <v>406</v>
      </c>
      <c r="L486" t="s">
        <v>24</v>
      </c>
      <c r="M486">
        <v>20</v>
      </c>
      <c r="N486" t="s">
        <v>25</v>
      </c>
      <c r="O486" t="s">
        <v>26</v>
      </c>
      <c r="P486" t="s">
        <v>165</v>
      </c>
      <c r="Q486" t="s">
        <v>506</v>
      </c>
    </row>
    <row r="487" spans="1:17" x14ac:dyDescent="0.3">
      <c r="A487">
        <v>829761</v>
      </c>
      <c r="B487" t="s">
        <v>53</v>
      </c>
      <c r="C487" s="1">
        <v>42190</v>
      </c>
      <c r="D487" t="s">
        <v>264</v>
      </c>
      <c r="E487" t="s">
        <v>55</v>
      </c>
      <c r="F487">
        <v>0</v>
      </c>
      <c r="G487" t="s">
        <v>22</v>
      </c>
      <c r="H487" t="s">
        <v>41</v>
      </c>
      <c r="I487" t="s">
        <v>22</v>
      </c>
      <c r="J487" t="s">
        <v>35</v>
      </c>
      <c r="K487" t="s">
        <v>22</v>
      </c>
      <c r="L487" t="s">
        <v>24</v>
      </c>
      <c r="M487">
        <v>13</v>
      </c>
      <c r="N487" t="s">
        <v>25</v>
      </c>
      <c r="O487" t="s">
        <v>26</v>
      </c>
      <c r="P487" t="s">
        <v>349</v>
      </c>
      <c r="Q487" t="s">
        <v>155</v>
      </c>
    </row>
    <row r="488" spans="1:17" x14ac:dyDescent="0.3">
      <c r="A488">
        <v>829763</v>
      </c>
      <c r="B488" t="s">
        <v>17</v>
      </c>
      <c r="C488" t="s">
        <v>532</v>
      </c>
      <c r="D488" t="s">
        <v>26</v>
      </c>
      <c r="E488" t="s">
        <v>20</v>
      </c>
      <c r="F488">
        <v>0</v>
      </c>
      <c r="G488" t="s">
        <v>21</v>
      </c>
      <c r="H488" t="s">
        <v>42</v>
      </c>
      <c r="I488" t="s">
        <v>42</v>
      </c>
      <c r="J488" t="s">
        <v>23</v>
      </c>
      <c r="K488" t="s">
        <v>26</v>
      </c>
      <c r="L488" t="s">
        <v>26</v>
      </c>
      <c r="M488" t="s">
        <v>26</v>
      </c>
      <c r="N488" t="s">
        <v>26</v>
      </c>
      <c r="O488" t="s">
        <v>26</v>
      </c>
      <c r="P488" t="s">
        <v>347</v>
      </c>
      <c r="Q488" t="s">
        <v>487</v>
      </c>
    </row>
    <row r="489" spans="1:17" x14ac:dyDescent="0.3">
      <c r="A489">
        <v>829765</v>
      </c>
      <c r="B489" t="s">
        <v>70</v>
      </c>
      <c r="C489" t="s">
        <v>533</v>
      </c>
      <c r="D489" t="s">
        <v>118</v>
      </c>
      <c r="E489" t="s">
        <v>73</v>
      </c>
      <c r="F489">
        <v>0</v>
      </c>
      <c r="G489" t="s">
        <v>34</v>
      </c>
      <c r="H489" t="s">
        <v>22</v>
      </c>
      <c r="I489" t="s">
        <v>22</v>
      </c>
      <c r="J489" t="s">
        <v>23</v>
      </c>
      <c r="K489" t="s">
        <v>34</v>
      </c>
      <c r="L489" t="s">
        <v>24</v>
      </c>
      <c r="M489">
        <v>2</v>
      </c>
      <c r="N489" t="s">
        <v>25</v>
      </c>
      <c r="O489" t="s">
        <v>26</v>
      </c>
      <c r="P489" t="s">
        <v>486</v>
      </c>
      <c r="Q489" t="s">
        <v>354</v>
      </c>
    </row>
    <row r="490" spans="1:17" x14ac:dyDescent="0.3">
      <c r="A490">
        <v>829767</v>
      </c>
      <c r="B490" t="s">
        <v>38</v>
      </c>
      <c r="C490" s="1">
        <v>42009</v>
      </c>
      <c r="D490" t="s">
        <v>534</v>
      </c>
      <c r="E490" t="s">
        <v>40</v>
      </c>
      <c r="F490">
        <v>0</v>
      </c>
      <c r="G490" t="s">
        <v>41</v>
      </c>
      <c r="H490" t="s">
        <v>33</v>
      </c>
      <c r="I490" t="s">
        <v>41</v>
      </c>
      <c r="J490" t="s">
        <v>23</v>
      </c>
      <c r="K490" t="s">
        <v>41</v>
      </c>
      <c r="L490" t="s">
        <v>43</v>
      </c>
      <c r="M490">
        <v>9</v>
      </c>
      <c r="N490" t="s">
        <v>25</v>
      </c>
      <c r="O490" t="s">
        <v>26</v>
      </c>
      <c r="P490" t="s">
        <v>460</v>
      </c>
      <c r="Q490" t="s">
        <v>183</v>
      </c>
    </row>
    <row r="491" spans="1:17" x14ac:dyDescent="0.3">
      <c r="A491">
        <v>829769</v>
      </c>
      <c r="B491" t="s">
        <v>46</v>
      </c>
      <c r="C491" s="1">
        <v>42009</v>
      </c>
      <c r="D491" t="s">
        <v>257</v>
      </c>
      <c r="E491" t="s">
        <v>49</v>
      </c>
      <c r="F491">
        <v>0</v>
      </c>
      <c r="G491" t="s">
        <v>50</v>
      </c>
      <c r="H491" t="s">
        <v>42</v>
      </c>
      <c r="I491" t="s">
        <v>42</v>
      </c>
      <c r="J491" t="s">
        <v>23</v>
      </c>
      <c r="K491" t="s">
        <v>50</v>
      </c>
      <c r="L491" t="s">
        <v>24</v>
      </c>
      <c r="M491">
        <v>8</v>
      </c>
      <c r="N491" t="s">
        <v>25</v>
      </c>
      <c r="O491" t="s">
        <v>26</v>
      </c>
      <c r="P491" t="s">
        <v>165</v>
      </c>
      <c r="Q491" t="s">
        <v>418</v>
      </c>
    </row>
    <row r="492" spans="1:17" x14ac:dyDescent="0.3">
      <c r="A492">
        <v>829771</v>
      </c>
      <c r="B492" t="s">
        <v>17</v>
      </c>
      <c r="C492" s="1">
        <v>42040</v>
      </c>
      <c r="D492" t="s">
        <v>384</v>
      </c>
      <c r="E492" t="s">
        <v>20</v>
      </c>
      <c r="F492">
        <v>0</v>
      </c>
      <c r="G492" t="s">
        <v>21</v>
      </c>
      <c r="H492" t="s">
        <v>22</v>
      </c>
      <c r="I492" t="s">
        <v>21</v>
      </c>
      <c r="J492" t="s">
        <v>23</v>
      </c>
      <c r="K492" t="s">
        <v>21</v>
      </c>
      <c r="L492" t="s">
        <v>43</v>
      </c>
      <c r="M492">
        <v>7</v>
      </c>
      <c r="N492" t="s">
        <v>25</v>
      </c>
      <c r="O492" t="s">
        <v>26</v>
      </c>
      <c r="P492" t="s">
        <v>347</v>
      </c>
      <c r="Q492" t="s">
        <v>487</v>
      </c>
    </row>
    <row r="493" spans="1:17" x14ac:dyDescent="0.3">
      <c r="A493">
        <v>829773</v>
      </c>
      <c r="B493" t="s">
        <v>64</v>
      </c>
      <c r="C493" s="1">
        <v>42040</v>
      </c>
      <c r="D493" t="s">
        <v>251</v>
      </c>
      <c r="E493" t="s">
        <v>67</v>
      </c>
      <c r="F493">
        <v>0</v>
      </c>
      <c r="G493" t="s">
        <v>406</v>
      </c>
      <c r="H493" t="s">
        <v>34</v>
      </c>
      <c r="I493" t="s">
        <v>34</v>
      </c>
      <c r="J493" t="s">
        <v>23</v>
      </c>
      <c r="K493" t="s">
        <v>406</v>
      </c>
      <c r="L493" t="s">
        <v>24</v>
      </c>
      <c r="M493">
        <v>22</v>
      </c>
      <c r="N493" t="s">
        <v>25</v>
      </c>
      <c r="O493" t="s">
        <v>26</v>
      </c>
      <c r="P493" t="s">
        <v>349</v>
      </c>
      <c r="Q493" t="s">
        <v>509</v>
      </c>
    </row>
    <row r="494" spans="1:17" x14ac:dyDescent="0.3">
      <c r="A494">
        <v>829775</v>
      </c>
      <c r="B494" t="s">
        <v>29</v>
      </c>
      <c r="C494" s="1">
        <v>42068</v>
      </c>
      <c r="D494" t="s">
        <v>496</v>
      </c>
      <c r="E494" t="s">
        <v>32</v>
      </c>
      <c r="F494">
        <v>0</v>
      </c>
      <c r="G494" t="s">
        <v>33</v>
      </c>
      <c r="H494" t="s">
        <v>50</v>
      </c>
      <c r="I494" t="s">
        <v>50</v>
      </c>
      <c r="J494" t="s">
        <v>35</v>
      </c>
      <c r="K494" t="s">
        <v>50</v>
      </c>
      <c r="L494" t="s">
        <v>24</v>
      </c>
      <c r="M494">
        <v>23</v>
      </c>
      <c r="N494" t="s">
        <v>25</v>
      </c>
      <c r="O494" t="s">
        <v>26</v>
      </c>
      <c r="P494" t="s">
        <v>460</v>
      </c>
      <c r="Q494" t="s">
        <v>354</v>
      </c>
    </row>
    <row r="495" spans="1:17" x14ac:dyDescent="0.3">
      <c r="A495">
        <v>829777</v>
      </c>
      <c r="B495" t="s">
        <v>46</v>
      </c>
      <c r="C495" s="1">
        <v>42068</v>
      </c>
      <c r="D495" t="s">
        <v>350</v>
      </c>
      <c r="E495" t="s">
        <v>220</v>
      </c>
      <c r="F495">
        <v>0</v>
      </c>
      <c r="G495" t="s">
        <v>42</v>
      </c>
      <c r="H495" t="s">
        <v>41</v>
      </c>
      <c r="I495" t="s">
        <v>41</v>
      </c>
      <c r="J495" t="s">
        <v>23</v>
      </c>
      <c r="K495" t="s">
        <v>42</v>
      </c>
      <c r="L495" t="s">
        <v>24</v>
      </c>
      <c r="M495">
        <v>14</v>
      </c>
      <c r="N495" t="s">
        <v>25</v>
      </c>
      <c r="O495" t="s">
        <v>26</v>
      </c>
      <c r="P495" t="s">
        <v>165</v>
      </c>
      <c r="Q495" t="s">
        <v>506</v>
      </c>
    </row>
    <row r="496" spans="1:17" x14ac:dyDescent="0.3">
      <c r="A496">
        <v>829779</v>
      </c>
      <c r="B496" t="s">
        <v>70</v>
      </c>
      <c r="C496" s="1">
        <v>42099</v>
      </c>
      <c r="D496" t="s">
        <v>133</v>
      </c>
      <c r="E496" t="s">
        <v>73</v>
      </c>
      <c r="F496">
        <v>0</v>
      </c>
      <c r="G496" t="s">
        <v>34</v>
      </c>
      <c r="H496" t="s">
        <v>21</v>
      </c>
      <c r="I496" t="s">
        <v>34</v>
      </c>
      <c r="J496" t="s">
        <v>35</v>
      </c>
      <c r="K496" t="s">
        <v>34</v>
      </c>
      <c r="L496" t="s">
        <v>24</v>
      </c>
      <c r="M496">
        <v>24</v>
      </c>
      <c r="N496" t="s">
        <v>25</v>
      </c>
      <c r="O496" t="s">
        <v>26</v>
      </c>
      <c r="P496" t="s">
        <v>387</v>
      </c>
      <c r="Q496" t="s">
        <v>410</v>
      </c>
    </row>
    <row r="497" spans="1:17" x14ac:dyDescent="0.3">
      <c r="A497">
        <v>829781</v>
      </c>
      <c r="B497" t="s">
        <v>53</v>
      </c>
      <c r="C497" s="1">
        <v>42099</v>
      </c>
      <c r="D497" t="s">
        <v>395</v>
      </c>
      <c r="E497" t="s">
        <v>55</v>
      </c>
      <c r="F497">
        <v>0</v>
      </c>
      <c r="G497" t="s">
        <v>22</v>
      </c>
      <c r="H497" t="s">
        <v>406</v>
      </c>
      <c r="I497" t="s">
        <v>406</v>
      </c>
      <c r="J497" t="s">
        <v>23</v>
      </c>
      <c r="K497" t="s">
        <v>22</v>
      </c>
      <c r="L497" t="s">
        <v>24</v>
      </c>
      <c r="M497">
        <v>35</v>
      </c>
      <c r="N497" t="s">
        <v>25</v>
      </c>
      <c r="O497" t="s">
        <v>26</v>
      </c>
      <c r="P497" t="s">
        <v>349</v>
      </c>
      <c r="Q497" t="s">
        <v>155</v>
      </c>
    </row>
    <row r="498" spans="1:17" x14ac:dyDescent="0.3">
      <c r="A498">
        <v>829783</v>
      </c>
      <c r="B498" t="s">
        <v>46</v>
      </c>
      <c r="C498" s="1">
        <v>42129</v>
      </c>
      <c r="D498" t="s">
        <v>197</v>
      </c>
      <c r="E498" t="s">
        <v>49</v>
      </c>
      <c r="F498">
        <v>0</v>
      </c>
      <c r="G498" t="s">
        <v>50</v>
      </c>
      <c r="H498" t="s">
        <v>41</v>
      </c>
      <c r="I498" t="s">
        <v>41</v>
      </c>
      <c r="J498" t="s">
        <v>35</v>
      </c>
      <c r="K498" t="s">
        <v>50</v>
      </c>
      <c r="L498" t="s">
        <v>43</v>
      </c>
      <c r="M498">
        <v>5</v>
      </c>
      <c r="N498" t="s">
        <v>25</v>
      </c>
      <c r="O498" t="s">
        <v>26</v>
      </c>
      <c r="P498" t="s">
        <v>165</v>
      </c>
      <c r="Q498" t="s">
        <v>506</v>
      </c>
    </row>
    <row r="499" spans="1:17" x14ac:dyDescent="0.3">
      <c r="A499">
        <v>829785</v>
      </c>
      <c r="B499" t="s">
        <v>17</v>
      </c>
      <c r="C499" s="1">
        <v>42160</v>
      </c>
      <c r="D499" t="s">
        <v>152</v>
      </c>
      <c r="E499" t="s">
        <v>20</v>
      </c>
      <c r="F499">
        <v>0</v>
      </c>
      <c r="G499" t="s">
        <v>21</v>
      </c>
      <c r="H499" t="s">
        <v>33</v>
      </c>
      <c r="I499" t="s">
        <v>33</v>
      </c>
      <c r="J499" t="s">
        <v>23</v>
      </c>
      <c r="K499" t="s">
        <v>21</v>
      </c>
      <c r="L499" t="s">
        <v>24</v>
      </c>
      <c r="M499">
        <v>138</v>
      </c>
      <c r="N499" t="s">
        <v>25</v>
      </c>
      <c r="O499" t="s">
        <v>26</v>
      </c>
      <c r="P499" t="s">
        <v>460</v>
      </c>
      <c r="Q499" t="s">
        <v>354</v>
      </c>
    </row>
    <row r="500" spans="1:17" x14ac:dyDescent="0.3">
      <c r="A500">
        <v>829787</v>
      </c>
      <c r="B500" t="s">
        <v>46</v>
      </c>
      <c r="C500" s="1">
        <v>42190</v>
      </c>
      <c r="D500" t="s">
        <v>535</v>
      </c>
      <c r="E500" t="s">
        <v>220</v>
      </c>
      <c r="F500">
        <v>0</v>
      </c>
      <c r="G500" t="s">
        <v>42</v>
      </c>
      <c r="H500" t="s">
        <v>406</v>
      </c>
      <c r="I500" t="s">
        <v>42</v>
      </c>
      <c r="J500" t="s">
        <v>23</v>
      </c>
      <c r="K500" t="s">
        <v>406</v>
      </c>
      <c r="L500" t="s">
        <v>24</v>
      </c>
      <c r="M500">
        <v>7</v>
      </c>
      <c r="N500" t="s">
        <v>25</v>
      </c>
      <c r="O500" t="s">
        <v>26</v>
      </c>
      <c r="P500" t="s">
        <v>347</v>
      </c>
      <c r="Q500" t="s">
        <v>387</v>
      </c>
    </row>
    <row r="501" spans="1:17" x14ac:dyDescent="0.3">
      <c r="A501">
        <v>829789</v>
      </c>
      <c r="B501" t="s">
        <v>70</v>
      </c>
      <c r="C501" s="1">
        <v>42221</v>
      </c>
      <c r="D501" t="s">
        <v>536</v>
      </c>
      <c r="E501" t="s">
        <v>73</v>
      </c>
      <c r="F501">
        <v>0</v>
      </c>
      <c r="G501" t="s">
        <v>34</v>
      </c>
      <c r="H501" t="s">
        <v>50</v>
      </c>
      <c r="I501" t="s">
        <v>34</v>
      </c>
      <c r="J501" t="s">
        <v>35</v>
      </c>
      <c r="K501" t="s">
        <v>50</v>
      </c>
      <c r="L501" t="s">
        <v>43</v>
      </c>
      <c r="M501">
        <v>6</v>
      </c>
      <c r="N501" t="s">
        <v>25</v>
      </c>
      <c r="O501" t="s">
        <v>26</v>
      </c>
      <c r="P501" t="s">
        <v>506</v>
      </c>
      <c r="Q501" t="s">
        <v>418</v>
      </c>
    </row>
    <row r="502" spans="1:17" x14ac:dyDescent="0.3">
      <c r="A502">
        <v>829791</v>
      </c>
      <c r="B502" t="s">
        <v>53</v>
      </c>
      <c r="C502" s="1">
        <v>42252</v>
      </c>
      <c r="D502" t="s">
        <v>513</v>
      </c>
      <c r="E502" t="s">
        <v>55</v>
      </c>
      <c r="F502">
        <v>0</v>
      </c>
      <c r="G502" t="s">
        <v>22</v>
      </c>
      <c r="H502" t="s">
        <v>33</v>
      </c>
      <c r="I502" t="s">
        <v>33</v>
      </c>
      <c r="J502" t="s">
        <v>35</v>
      </c>
      <c r="K502" t="s">
        <v>22</v>
      </c>
      <c r="L502" t="s">
        <v>43</v>
      </c>
      <c r="M502">
        <v>1</v>
      </c>
      <c r="N502" t="s">
        <v>25</v>
      </c>
      <c r="O502" t="s">
        <v>26</v>
      </c>
      <c r="P502" t="s">
        <v>349</v>
      </c>
      <c r="Q502" t="s">
        <v>165</v>
      </c>
    </row>
    <row r="503" spans="1:17" x14ac:dyDescent="0.3">
      <c r="A503">
        <v>829793</v>
      </c>
      <c r="B503" t="s">
        <v>433</v>
      </c>
      <c r="C503" s="1">
        <v>42252</v>
      </c>
      <c r="D503" t="s">
        <v>537</v>
      </c>
      <c r="E503" t="s">
        <v>434</v>
      </c>
      <c r="F503">
        <v>0</v>
      </c>
      <c r="G503" t="s">
        <v>41</v>
      </c>
      <c r="H503" t="s">
        <v>406</v>
      </c>
      <c r="I503" t="s">
        <v>406</v>
      </c>
      <c r="J503" t="s">
        <v>35</v>
      </c>
      <c r="K503" t="s">
        <v>406</v>
      </c>
      <c r="L503" t="s">
        <v>24</v>
      </c>
      <c r="M503">
        <v>6</v>
      </c>
      <c r="N503" t="s">
        <v>25</v>
      </c>
      <c r="O503" t="s">
        <v>26</v>
      </c>
      <c r="P503" t="s">
        <v>354</v>
      </c>
      <c r="Q503" t="s">
        <v>183</v>
      </c>
    </row>
    <row r="504" spans="1:17" x14ac:dyDescent="0.3">
      <c r="A504">
        <v>829795</v>
      </c>
      <c r="B504" t="s">
        <v>46</v>
      </c>
      <c r="C504" s="1">
        <v>42282</v>
      </c>
      <c r="D504" t="s">
        <v>157</v>
      </c>
      <c r="E504" t="s">
        <v>49</v>
      </c>
      <c r="F504">
        <v>0</v>
      </c>
      <c r="G504" t="s">
        <v>50</v>
      </c>
      <c r="H504" t="s">
        <v>21</v>
      </c>
      <c r="I504" t="s">
        <v>21</v>
      </c>
      <c r="J504" t="s">
        <v>35</v>
      </c>
      <c r="K504" t="s">
        <v>21</v>
      </c>
      <c r="L504" t="s">
        <v>24</v>
      </c>
      <c r="M504">
        <v>39</v>
      </c>
      <c r="N504" t="s">
        <v>25</v>
      </c>
      <c r="O504" t="s">
        <v>26</v>
      </c>
      <c r="P504" t="s">
        <v>347</v>
      </c>
      <c r="Q504" t="s">
        <v>387</v>
      </c>
    </row>
    <row r="505" spans="1:17" x14ac:dyDescent="0.3">
      <c r="A505">
        <v>829797</v>
      </c>
      <c r="B505" t="s">
        <v>70</v>
      </c>
      <c r="C505" s="1">
        <v>42282</v>
      </c>
      <c r="D505" t="s">
        <v>352</v>
      </c>
      <c r="E505" t="s">
        <v>73</v>
      </c>
      <c r="F505">
        <v>0</v>
      </c>
      <c r="G505" t="s">
        <v>34</v>
      </c>
      <c r="H505" t="s">
        <v>42</v>
      </c>
      <c r="I505" t="s">
        <v>34</v>
      </c>
      <c r="J505" t="s">
        <v>35</v>
      </c>
      <c r="K505" t="s">
        <v>34</v>
      </c>
      <c r="L505" t="s">
        <v>24</v>
      </c>
      <c r="M505">
        <v>12</v>
      </c>
      <c r="N505" t="s">
        <v>25</v>
      </c>
      <c r="O505" t="s">
        <v>26</v>
      </c>
      <c r="P505" t="s">
        <v>155</v>
      </c>
      <c r="Q505" t="s">
        <v>418</v>
      </c>
    </row>
    <row r="506" spans="1:17" x14ac:dyDescent="0.3">
      <c r="A506">
        <v>829799</v>
      </c>
      <c r="B506" t="s">
        <v>64</v>
      </c>
      <c r="C506" s="1">
        <v>42313</v>
      </c>
      <c r="D506" t="s">
        <v>251</v>
      </c>
      <c r="E506" t="s">
        <v>67</v>
      </c>
      <c r="F506">
        <v>0</v>
      </c>
      <c r="G506" t="s">
        <v>406</v>
      </c>
      <c r="H506" t="s">
        <v>33</v>
      </c>
      <c r="I506" t="s">
        <v>406</v>
      </c>
      <c r="J506" t="s">
        <v>35</v>
      </c>
      <c r="K506" t="s">
        <v>406</v>
      </c>
      <c r="L506" t="s">
        <v>24</v>
      </c>
      <c r="M506">
        <v>5</v>
      </c>
      <c r="N506" t="s">
        <v>25</v>
      </c>
      <c r="O506" t="s">
        <v>26</v>
      </c>
      <c r="P506" t="s">
        <v>349</v>
      </c>
      <c r="Q506" t="s">
        <v>165</v>
      </c>
    </row>
    <row r="507" spans="1:17" x14ac:dyDescent="0.3">
      <c r="A507">
        <v>829801</v>
      </c>
      <c r="B507" t="s">
        <v>433</v>
      </c>
      <c r="C507" s="1">
        <v>42343</v>
      </c>
      <c r="D507" t="s">
        <v>538</v>
      </c>
      <c r="E507" t="s">
        <v>434</v>
      </c>
      <c r="F507">
        <v>0</v>
      </c>
      <c r="G507" t="s">
        <v>41</v>
      </c>
      <c r="H507" t="s">
        <v>34</v>
      </c>
      <c r="I507" t="s">
        <v>34</v>
      </c>
      <c r="J507" t="s">
        <v>35</v>
      </c>
      <c r="K507" t="s">
        <v>41</v>
      </c>
      <c r="L507" t="s">
        <v>43</v>
      </c>
      <c r="M507">
        <v>6</v>
      </c>
      <c r="N507" t="s">
        <v>25</v>
      </c>
      <c r="O507" t="s">
        <v>26</v>
      </c>
      <c r="P507" t="s">
        <v>460</v>
      </c>
      <c r="Q507" t="s">
        <v>354</v>
      </c>
    </row>
    <row r="508" spans="1:17" x14ac:dyDescent="0.3">
      <c r="A508">
        <v>829803</v>
      </c>
      <c r="B508" t="s">
        <v>29</v>
      </c>
      <c r="C508" t="s">
        <v>539</v>
      </c>
      <c r="D508" t="s">
        <v>493</v>
      </c>
      <c r="E508" t="s">
        <v>32</v>
      </c>
      <c r="F508">
        <v>0</v>
      </c>
      <c r="G508" t="s">
        <v>33</v>
      </c>
      <c r="H508" t="s">
        <v>21</v>
      </c>
      <c r="I508" t="s">
        <v>21</v>
      </c>
      <c r="J508" t="s">
        <v>23</v>
      </c>
      <c r="K508" t="s">
        <v>33</v>
      </c>
      <c r="L508" t="s">
        <v>24</v>
      </c>
      <c r="M508">
        <v>22</v>
      </c>
      <c r="N508" t="s">
        <v>25</v>
      </c>
      <c r="O508" t="s">
        <v>26</v>
      </c>
      <c r="P508" t="s">
        <v>347</v>
      </c>
      <c r="Q508" t="s">
        <v>387</v>
      </c>
    </row>
    <row r="509" spans="1:17" x14ac:dyDescent="0.3">
      <c r="A509">
        <v>829805</v>
      </c>
      <c r="B509" t="s">
        <v>46</v>
      </c>
      <c r="C509" t="s">
        <v>540</v>
      </c>
      <c r="D509" t="s">
        <v>536</v>
      </c>
      <c r="E509" t="s">
        <v>49</v>
      </c>
      <c r="F509">
        <v>0</v>
      </c>
      <c r="G509" t="s">
        <v>50</v>
      </c>
      <c r="H509" t="s">
        <v>22</v>
      </c>
      <c r="I509" t="s">
        <v>22</v>
      </c>
      <c r="J509" t="s">
        <v>23</v>
      </c>
      <c r="K509" t="s">
        <v>50</v>
      </c>
      <c r="L509" t="s">
        <v>24</v>
      </c>
      <c r="M509">
        <v>5</v>
      </c>
      <c r="N509" t="s">
        <v>25</v>
      </c>
      <c r="O509" t="s">
        <v>26</v>
      </c>
      <c r="P509" t="s">
        <v>460</v>
      </c>
      <c r="Q509" t="s">
        <v>354</v>
      </c>
    </row>
    <row r="510" spans="1:17" x14ac:dyDescent="0.3">
      <c r="A510">
        <v>829807</v>
      </c>
      <c r="B510" t="s">
        <v>64</v>
      </c>
      <c r="C510" t="s">
        <v>541</v>
      </c>
      <c r="D510" t="s">
        <v>314</v>
      </c>
      <c r="E510" t="s">
        <v>67</v>
      </c>
      <c r="F510">
        <v>0</v>
      </c>
      <c r="G510" t="s">
        <v>406</v>
      </c>
      <c r="H510" t="s">
        <v>21</v>
      </c>
      <c r="I510" t="s">
        <v>406</v>
      </c>
      <c r="J510" t="s">
        <v>35</v>
      </c>
      <c r="K510" t="s">
        <v>21</v>
      </c>
      <c r="L510" t="s">
        <v>43</v>
      </c>
      <c r="M510">
        <v>6</v>
      </c>
      <c r="N510" t="s">
        <v>25</v>
      </c>
      <c r="O510" t="s">
        <v>115</v>
      </c>
      <c r="P510" t="s">
        <v>349</v>
      </c>
      <c r="Q510" t="s">
        <v>165</v>
      </c>
    </row>
    <row r="511" spans="1:17" x14ac:dyDescent="0.3">
      <c r="A511">
        <v>829809</v>
      </c>
      <c r="B511" t="s">
        <v>29</v>
      </c>
      <c r="C511" t="s">
        <v>542</v>
      </c>
      <c r="D511" t="s">
        <v>388</v>
      </c>
      <c r="E511" t="s">
        <v>32</v>
      </c>
      <c r="F511">
        <v>0</v>
      </c>
      <c r="G511" t="s">
        <v>33</v>
      </c>
      <c r="H511" t="s">
        <v>34</v>
      </c>
      <c r="I511" t="s">
        <v>33</v>
      </c>
      <c r="J511" t="s">
        <v>35</v>
      </c>
      <c r="K511" t="s">
        <v>34</v>
      </c>
      <c r="L511" t="s">
        <v>43</v>
      </c>
      <c r="M511">
        <v>7</v>
      </c>
      <c r="N511" t="s">
        <v>25</v>
      </c>
      <c r="O511" t="s">
        <v>26</v>
      </c>
      <c r="P511" t="s">
        <v>418</v>
      </c>
      <c r="Q511" t="s">
        <v>387</v>
      </c>
    </row>
    <row r="512" spans="1:17" x14ac:dyDescent="0.3">
      <c r="A512">
        <v>829811</v>
      </c>
      <c r="B512" t="s">
        <v>46</v>
      </c>
      <c r="C512" t="s">
        <v>542</v>
      </c>
      <c r="D512" t="s">
        <v>61</v>
      </c>
      <c r="E512" t="s">
        <v>220</v>
      </c>
      <c r="F512">
        <v>0</v>
      </c>
      <c r="G512" t="s">
        <v>42</v>
      </c>
      <c r="H512" t="s">
        <v>22</v>
      </c>
      <c r="I512" t="s">
        <v>42</v>
      </c>
      <c r="J512" t="s">
        <v>35</v>
      </c>
      <c r="K512" t="s">
        <v>42</v>
      </c>
      <c r="L512" t="s">
        <v>24</v>
      </c>
      <c r="M512">
        <v>9</v>
      </c>
      <c r="N512" t="s">
        <v>25</v>
      </c>
      <c r="O512" t="s">
        <v>26</v>
      </c>
      <c r="P512" t="s">
        <v>486</v>
      </c>
      <c r="Q512" t="s">
        <v>460</v>
      </c>
    </row>
    <row r="513" spans="1:17" x14ac:dyDescent="0.3">
      <c r="A513">
        <v>829813</v>
      </c>
      <c r="B513" t="s">
        <v>17</v>
      </c>
      <c r="C513" t="s">
        <v>543</v>
      </c>
      <c r="D513" t="s">
        <v>26</v>
      </c>
      <c r="E513" t="s">
        <v>20</v>
      </c>
      <c r="F513">
        <v>0</v>
      </c>
      <c r="G513" t="s">
        <v>21</v>
      </c>
      <c r="H513" t="s">
        <v>41</v>
      </c>
      <c r="I513" t="s">
        <v>21</v>
      </c>
      <c r="J513" t="s">
        <v>23</v>
      </c>
      <c r="K513" t="s">
        <v>26</v>
      </c>
      <c r="L513" t="s">
        <v>26</v>
      </c>
      <c r="M513" t="s">
        <v>26</v>
      </c>
      <c r="N513" t="s">
        <v>26</v>
      </c>
      <c r="O513" t="s">
        <v>26</v>
      </c>
      <c r="P513" t="s">
        <v>165</v>
      </c>
      <c r="Q513" t="s">
        <v>509</v>
      </c>
    </row>
    <row r="514" spans="1:17" x14ac:dyDescent="0.3">
      <c r="A514">
        <v>829815</v>
      </c>
      <c r="B514" t="s">
        <v>64</v>
      </c>
      <c r="C514" t="s">
        <v>543</v>
      </c>
      <c r="D514" t="s">
        <v>544</v>
      </c>
      <c r="E514" t="s">
        <v>67</v>
      </c>
      <c r="F514">
        <v>0</v>
      </c>
      <c r="G514" t="s">
        <v>406</v>
      </c>
      <c r="H514" t="s">
        <v>50</v>
      </c>
      <c r="I514" t="s">
        <v>406</v>
      </c>
      <c r="J514" t="s">
        <v>35</v>
      </c>
      <c r="K514" t="s">
        <v>50</v>
      </c>
      <c r="L514" t="s">
        <v>43</v>
      </c>
      <c r="M514">
        <v>9</v>
      </c>
      <c r="N514" t="s">
        <v>25</v>
      </c>
      <c r="O514" t="s">
        <v>26</v>
      </c>
      <c r="P514" t="s">
        <v>506</v>
      </c>
      <c r="Q514" t="s">
        <v>410</v>
      </c>
    </row>
    <row r="515" spans="1:17" x14ac:dyDescent="0.3">
      <c r="A515">
        <v>829817</v>
      </c>
      <c r="B515" t="s">
        <v>46</v>
      </c>
      <c r="C515" t="s">
        <v>545</v>
      </c>
      <c r="D515" t="s">
        <v>267</v>
      </c>
      <c r="E515" t="s">
        <v>49</v>
      </c>
      <c r="F515">
        <v>0</v>
      </c>
      <c r="G515" t="s">
        <v>34</v>
      </c>
      <c r="H515" t="s">
        <v>50</v>
      </c>
      <c r="I515" t="s">
        <v>50</v>
      </c>
      <c r="J515" t="s">
        <v>35</v>
      </c>
      <c r="K515" t="s">
        <v>50</v>
      </c>
      <c r="L515" t="s">
        <v>24</v>
      </c>
      <c r="M515">
        <v>25</v>
      </c>
      <c r="N515" t="s">
        <v>25</v>
      </c>
      <c r="O515" t="s">
        <v>26</v>
      </c>
      <c r="P515" t="s">
        <v>165</v>
      </c>
      <c r="Q515" t="s">
        <v>460</v>
      </c>
    </row>
    <row r="516" spans="1:17" x14ac:dyDescent="0.3">
      <c r="A516">
        <v>829819</v>
      </c>
      <c r="B516" t="s">
        <v>355</v>
      </c>
      <c r="C516" t="s">
        <v>546</v>
      </c>
      <c r="D516" t="s">
        <v>157</v>
      </c>
      <c r="E516" t="s">
        <v>504</v>
      </c>
      <c r="F516">
        <v>0</v>
      </c>
      <c r="G516" t="s">
        <v>21</v>
      </c>
      <c r="H516" t="s">
        <v>42</v>
      </c>
      <c r="I516" t="s">
        <v>21</v>
      </c>
      <c r="J516" t="s">
        <v>35</v>
      </c>
      <c r="K516" t="s">
        <v>21</v>
      </c>
      <c r="L516" t="s">
        <v>24</v>
      </c>
      <c r="M516">
        <v>71</v>
      </c>
      <c r="N516" t="s">
        <v>25</v>
      </c>
      <c r="O516" t="s">
        <v>26</v>
      </c>
      <c r="P516" t="s">
        <v>349</v>
      </c>
      <c r="Q516" t="s">
        <v>387</v>
      </c>
    </row>
    <row r="517" spans="1:17" x14ac:dyDescent="0.3">
      <c r="A517">
        <v>829821</v>
      </c>
      <c r="B517" t="s">
        <v>444</v>
      </c>
      <c r="C517" t="s">
        <v>547</v>
      </c>
      <c r="D517" t="s">
        <v>101</v>
      </c>
      <c r="E517" t="s">
        <v>445</v>
      </c>
      <c r="F517">
        <v>0</v>
      </c>
      <c r="G517" t="s">
        <v>34</v>
      </c>
      <c r="H517" t="s">
        <v>21</v>
      </c>
      <c r="I517" t="s">
        <v>34</v>
      </c>
      <c r="J517" t="s">
        <v>23</v>
      </c>
      <c r="K517" t="s">
        <v>34</v>
      </c>
      <c r="L517" t="s">
        <v>43</v>
      </c>
      <c r="M517">
        <v>3</v>
      </c>
      <c r="N517" t="s">
        <v>25</v>
      </c>
      <c r="O517" t="s">
        <v>26</v>
      </c>
      <c r="P517" t="s">
        <v>349</v>
      </c>
      <c r="Q517" t="s">
        <v>506</v>
      </c>
    </row>
    <row r="518" spans="1:17" x14ac:dyDescent="0.3">
      <c r="A518">
        <v>829823</v>
      </c>
      <c r="B518" t="s">
        <v>53</v>
      </c>
      <c r="C518" t="s">
        <v>548</v>
      </c>
      <c r="D518" t="s">
        <v>190</v>
      </c>
      <c r="E518" t="s">
        <v>55</v>
      </c>
      <c r="F518">
        <v>0</v>
      </c>
      <c r="G518" t="s">
        <v>50</v>
      </c>
      <c r="H518" t="s">
        <v>34</v>
      </c>
      <c r="I518" t="s">
        <v>34</v>
      </c>
      <c r="J518" t="s">
        <v>23</v>
      </c>
      <c r="K518" t="s">
        <v>50</v>
      </c>
      <c r="L518" t="s">
        <v>24</v>
      </c>
      <c r="M518">
        <v>41</v>
      </c>
      <c r="N518" t="s">
        <v>25</v>
      </c>
      <c r="O518" t="s">
        <v>26</v>
      </c>
      <c r="P518" t="s">
        <v>165</v>
      </c>
      <c r="Q518" t="s">
        <v>460</v>
      </c>
    </row>
    <row r="519" spans="1:17" x14ac:dyDescent="0.3">
      <c r="A519">
        <v>980901</v>
      </c>
      <c r="B519" t="s">
        <v>46</v>
      </c>
      <c r="C519" s="1">
        <v>42617</v>
      </c>
      <c r="D519" t="s">
        <v>350</v>
      </c>
      <c r="E519" t="s">
        <v>49</v>
      </c>
      <c r="F519">
        <v>0</v>
      </c>
      <c r="G519" t="s">
        <v>50</v>
      </c>
      <c r="H519" t="s">
        <v>549</v>
      </c>
      <c r="I519" t="s">
        <v>50</v>
      </c>
      <c r="J519" t="s">
        <v>35</v>
      </c>
      <c r="K519" t="s">
        <v>549</v>
      </c>
      <c r="L519" t="s">
        <v>43</v>
      </c>
      <c r="M519">
        <v>9</v>
      </c>
      <c r="N519" t="s">
        <v>25</v>
      </c>
      <c r="O519" t="s">
        <v>26</v>
      </c>
      <c r="P519" t="s">
        <v>165</v>
      </c>
      <c r="Q519" t="s">
        <v>418</v>
      </c>
    </row>
    <row r="520" spans="1:17" x14ac:dyDescent="0.3">
      <c r="A520">
        <v>980903</v>
      </c>
      <c r="B520" t="s">
        <v>53</v>
      </c>
      <c r="C520" s="1">
        <v>42647</v>
      </c>
      <c r="D520" t="s">
        <v>513</v>
      </c>
      <c r="E520" t="s">
        <v>55</v>
      </c>
      <c r="F520">
        <v>0</v>
      </c>
      <c r="G520" t="s">
        <v>22</v>
      </c>
      <c r="H520" t="s">
        <v>41</v>
      </c>
      <c r="I520" t="s">
        <v>22</v>
      </c>
      <c r="J520" t="s">
        <v>23</v>
      </c>
      <c r="K520" t="s">
        <v>22</v>
      </c>
      <c r="L520" t="s">
        <v>43</v>
      </c>
      <c r="M520">
        <v>9</v>
      </c>
      <c r="N520" t="s">
        <v>25</v>
      </c>
      <c r="O520" t="s">
        <v>26</v>
      </c>
      <c r="P520" t="s">
        <v>183</v>
      </c>
      <c r="Q520" t="s">
        <v>387</v>
      </c>
    </row>
    <row r="521" spans="1:17" x14ac:dyDescent="0.3">
      <c r="A521">
        <v>980905</v>
      </c>
      <c r="B521" t="s">
        <v>29</v>
      </c>
      <c r="C521" s="1">
        <v>42678</v>
      </c>
      <c r="D521" t="s">
        <v>409</v>
      </c>
      <c r="E521" t="s">
        <v>550</v>
      </c>
      <c r="F521">
        <v>0</v>
      </c>
      <c r="G521" t="s">
        <v>33</v>
      </c>
      <c r="H521" t="s">
        <v>551</v>
      </c>
      <c r="I521" t="s">
        <v>551</v>
      </c>
      <c r="J521" t="s">
        <v>23</v>
      </c>
      <c r="K521" t="s">
        <v>551</v>
      </c>
      <c r="L521" t="s">
        <v>43</v>
      </c>
      <c r="M521">
        <v>5</v>
      </c>
      <c r="N521" t="s">
        <v>25</v>
      </c>
      <c r="O521" t="s">
        <v>26</v>
      </c>
      <c r="P521" t="s">
        <v>349</v>
      </c>
      <c r="Q521" t="s">
        <v>354</v>
      </c>
    </row>
    <row r="522" spans="1:17" x14ac:dyDescent="0.3">
      <c r="A522">
        <v>980907</v>
      </c>
      <c r="B522" t="s">
        <v>17</v>
      </c>
      <c r="C522" s="1">
        <v>42708</v>
      </c>
      <c r="D522" t="s">
        <v>157</v>
      </c>
      <c r="E522" t="s">
        <v>20</v>
      </c>
      <c r="F522">
        <v>0</v>
      </c>
      <c r="G522" t="s">
        <v>21</v>
      </c>
      <c r="H522" t="s">
        <v>406</v>
      </c>
      <c r="I522" t="s">
        <v>406</v>
      </c>
      <c r="J522" t="s">
        <v>23</v>
      </c>
      <c r="K522" t="s">
        <v>21</v>
      </c>
      <c r="L522" t="s">
        <v>24</v>
      </c>
      <c r="M522">
        <v>45</v>
      </c>
      <c r="N522" t="s">
        <v>25</v>
      </c>
      <c r="O522" t="s">
        <v>26</v>
      </c>
      <c r="P522" t="s">
        <v>165</v>
      </c>
      <c r="Q522" t="s">
        <v>552</v>
      </c>
    </row>
    <row r="523" spans="1:17" x14ac:dyDescent="0.3">
      <c r="A523">
        <v>980909</v>
      </c>
      <c r="B523" t="s">
        <v>53</v>
      </c>
      <c r="C523" t="s">
        <v>553</v>
      </c>
      <c r="D523" t="s">
        <v>190</v>
      </c>
      <c r="E523" t="s">
        <v>55</v>
      </c>
      <c r="F523">
        <v>0</v>
      </c>
      <c r="G523" t="s">
        <v>22</v>
      </c>
      <c r="H523" t="s">
        <v>50</v>
      </c>
      <c r="I523" t="s">
        <v>50</v>
      </c>
      <c r="J523" t="s">
        <v>23</v>
      </c>
      <c r="K523" t="s">
        <v>50</v>
      </c>
      <c r="L523" t="s">
        <v>43</v>
      </c>
      <c r="M523">
        <v>6</v>
      </c>
      <c r="N523" t="s">
        <v>25</v>
      </c>
      <c r="O523" t="s">
        <v>26</v>
      </c>
      <c r="P523" t="s">
        <v>554</v>
      </c>
      <c r="Q523" t="s">
        <v>183</v>
      </c>
    </row>
    <row r="524" spans="1:17" x14ac:dyDescent="0.3">
      <c r="A524">
        <v>980911</v>
      </c>
      <c r="B524" t="s">
        <v>555</v>
      </c>
      <c r="C524" t="s">
        <v>556</v>
      </c>
      <c r="D524" t="s">
        <v>409</v>
      </c>
      <c r="E524" t="s">
        <v>557</v>
      </c>
      <c r="F524">
        <v>0</v>
      </c>
      <c r="G524" t="s">
        <v>551</v>
      </c>
      <c r="H524" t="s">
        <v>549</v>
      </c>
      <c r="I524" t="s">
        <v>549</v>
      </c>
      <c r="J524" t="s">
        <v>35</v>
      </c>
      <c r="K524" t="s">
        <v>551</v>
      </c>
      <c r="L524" t="s">
        <v>43</v>
      </c>
      <c r="M524">
        <v>7</v>
      </c>
      <c r="N524" t="s">
        <v>25</v>
      </c>
      <c r="O524" t="s">
        <v>26</v>
      </c>
      <c r="P524" t="s">
        <v>354</v>
      </c>
      <c r="Q524" t="s">
        <v>418</v>
      </c>
    </row>
    <row r="525" spans="1:17" x14ac:dyDescent="0.3">
      <c r="A525">
        <v>980913</v>
      </c>
      <c r="B525" t="s">
        <v>38</v>
      </c>
      <c r="C525" t="s">
        <v>558</v>
      </c>
      <c r="D525" t="s">
        <v>111</v>
      </c>
      <c r="E525" t="s">
        <v>40</v>
      </c>
      <c r="F525">
        <v>0</v>
      </c>
      <c r="G525" t="s">
        <v>41</v>
      </c>
      <c r="H525" t="s">
        <v>33</v>
      </c>
      <c r="I525" t="s">
        <v>41</v>
      </c>
      <c r="J525" t="s">
        <v>23</v>
      </c>
      <c r="K525" t="s">
        <v>41</v>
      </c>
      <c r="L525" t="s">
        <v>43</v>
      </c>
      <c r="M525">
        <v>8</v>
      </c>
      <c r="N525" t="s">
        <v>25</v>
      </c>
      <c r="O525" t="s">
        <v>26</v>
      </c>
      <c r="P525" t="s">
        <v>183</v>
      </c>
      <c r="Q525" t="s">
        <v>387</v>
      </c>
    </row>
    <row r="526" spans="1:17" x14ac:dyDescent="0.3">
      <c r="A526">
        <v>980915</v>
      </c>
      <c r="B526" t="s">
        <v>64</v>
      </c>
      <c r="C526" t="s">
        <v>559</v>
      </c>
      <c r="D526" t="s">
        <v>189</v>
      </c>
      <c r="E526" t="s">
        <v>67</v>
      </c>
      <c r="F526">
        <v>0</v>
      </c>
      <c r="G526" t="s">
        <v>406</v>
      </c>
      <c r="H526" t="s">
        <v>22</v>
      </c>
      <c r="I526" t="s">
        <v>406</v>
      </c>
      <c r="J526" t="s">
        <v>35</v>
      </c>
      <c r="K526" t="s">
        <v>22</v>
      </c>
      <c r="L526" t="s">
        <v>43</v>
      </c>
      <c r="M526">
        <v>8</v>
      </c>
      <c r="N526" t="s">
        <v>25</v>
      </c>
      <c r="O526" t="s">
        <v>26</v>
      </c>
      <c r="P526" t="s">
        <v>349</v>
      </c>
      <c r="Q526" t="s">
        <v>418</v>
      </c>
    </row>
    <row r="527" spans="1:17" x14ac:dyDescent="0.3">
      <c r="A527">
        <v>980917</v>
      </c>
      <c r="B527" t="s">
        <v>46</v>
      </c>
      <c r="C527" t="s">
        <v>559</v>
      </c>
      <c r="D527" t="s">
        <v>409</v>
      </c>
      <c r="E527" t="s">
        <v>49</v>
      </c>
      <c r="F527">
        <v>0</v>
      </c>
      <c r="G527" t="s">
        <v>50</v>
      </c>
      <c r="H527" t="s">
        <v>551</v>
      </c>
      <c r="I527" t="s">
        <v>551</v>
      </c>
      <c r="J527" t="s">
        <v>23</v>
      </c>
      <c r="K527" t="s">
        <v>551</v>
      </c>
      <c r="L527" t="s">
        <v>43</v>
      </c>
      <c r="M527">
        <v>3</v>
      </c>
      <c r="N527" t="s">
        <v>25</v>
      </c>
      <c r="O527" t="s">
        <v>26</v>
      </c>
      <c r="P527" t="s">
        <v>165</v>
      </c>
      <c r="Q527" t="s">
        <v>552</v>
      </c>
    </row>
    <row r="528" spans="1:17" x14ac:dyDescent="0.3">
      <c r="A528">
        <v>980919</v>
      </c>
      <c r="B528" t="s">
        <v>29</v>
      </c>
      <c r="C528" t="s">
        <v>560</v>
      </c>
      <c r="D528" t="s">
        <v>407</v>
      </c>
      <c r="E528" t="s">
        <v>550</v>
      </c>
      <c r="F528">
        <v>0</v>
      </c>
      <c r="G528" t="s">
        <v>33</v>
      </c>
      <c r="H528" t="s">
        <v>549</v>
      </c>
      <c r="I528" t="s">
        <v>549</v>
      </c>
      <c r="J528" t="s">
        <v>35</v>
      </c>
      <c r="K528" t="s">
        <v>33</v>
      </c>
      <c r="L528" t="s">
        <v>43</v>
      </c>
      <c r="M528">
        <v>6</v>
      </c>
      <c r="N528" t="s">
        <v>25</v>
      </c>
      <c r="O528" t="s">
        <v>26</v>
      </c>
      <c r="P528" t="s">
        <v>183</v>
      </c>
      <c r="Q528" t="s">
        <v>387</v>
      </c>
    </row>
    <row r="529" spans="1:17" x14ac:dyDescent="0.3">
      <c r="A529">
        <v>980921</v>
      </c>
      <c r="B529" t="s">
        <v>17</v>
      </c>
      <c r="C529" t="s">
        <v>560</v>
      </c>
      <c r="D529" t="s">
        <v>561</v>
      </c>
      <c r="E529" t="s">
        <v>20</v>
      </c>
      <c r="F529">
        <v>0</v>
      </c>
      <c r="G529" t="s">
        <v>21</v>
      </c>
      <c r="H529" t="s">
        <v>41</v>
      </c>
      <c r="I529" t="s">
        <v>41</v>
      </c>
      <c r="J529" t="s">
        <v>23</v>
      </c>
      <c r="K529" t="s">
        <v>41</v>
      </c>
      <c r="L529" t="s">
        <v>43</v>
      </c>
      <c r="M529">
        <v>7</v>
      </c>
      <c r="N529" t="s">
        <v>25</v>
      </c>
      <c r="O529" t="s">
        <v>26</v>
      </c>
      <c r="P529" t="s">
        <v>354</v>
      </c>
      <c r="Q529" t="s">
        <v>562</v>
      </c>
    </row>
    <row r="530" spans="1:17" x14ac:dyDescent="0.3">
      <c r="A530">
        <v>980923</v>
      </c>
      <c r="B530" t="s">
        <v>64</v>
      </c>
      <c r="C530" t="s">
        <v>563</v>
      </c>
      <c r="D530" t="s">
        <v>251</v>
      </c>
      <c r="E530" t="s">
        <v>67</v>
      </c>
      <c r="F530">
        <v>0</v>
      </c>
      <c r="G530" t="s">
        <v>406</v>
      </c>
      <c r="H530" t="s">
        <v>50</v>
      </c>
      <c r="I530" t="s">
        <v>406</v>
      </c>
      <c r="J530" t="s">
        <v>23</v>
      </c>
      <c r="K530" t="s">
        <v>406</v>
      </c>
      <c r="L530" t="s">
        <v>43</v>
      </c>
      <c r="M530">
        <v>7</v>
      </c>
      <c r="N530" t="s">
        <v>25</v>
      </c>
      <c r="O530" t="s">
        <v>26</v>
      </c>
      <c r="P530" t="s">
        <v>165</v>
      </c>
      <c r="Q530" t="s">
        <v>552</v>
      </c>
    </row>
    <row r="531" spans="1:17" x14ac:dyDescent="0.3">
      <c r="A531">
        <v>980925</v>
      </c>
      <c r="B531" t="s">
        <v>29</v>
      </c>
      <c r="C531" t="s">
        <v>564</v>
      </c>
      <c r="D531" t="s">
        <v>241</v>
      </c>
      <c r="E531" t="s">
        <v>550</v>
      </c>
      <c r="F531">
        <v>0</v>
      </c>
      <c r="G531" t="s">
        <v>33</v>
      </c>
      <c r="H531" t="s">
        <v>22</v>
      </c>
      <c r="I531" t="s">
        <v>22</v>
      </c>
      <c r="J531" t="s">
        <v>23</v>
      </c>
      <c r="K531" t="s">
        <v>22</v>
      </c>
      <c r="L531" t="s">
        <v>43</v>
      </c>
      <c r="M531">
        <v>6</v>
      </c>
      <c r="N531" t="s">
        <v>25</v>
      </c>
      <c r="O531" t="s">
        <v>26</v>
      </c>
      <c r="P531" t="s">
        <v>183</v>
      </c>
      <c r="Q531" t="s">
        <v>387</v>
      </c>
    </row>
    <row r="532" spans="1:17" x14ac:dyDescent="0.3">
      <c r="A532">
        <v>980927</v>
      </c>
      <c r="B532" t="s">
        <v>46</v>
      </c>
      <c r="C532" t="s">
        <v>565</v>
      </c>
      <c r="D532" t="s">
        <v>190</v>
      </c>
      <c r="E532" t="s">
        <v>49</v>
      </c>
      <c r="F532">
        <v>0</v>
      </c>
      <c r="G532" t="s">
        <v>50</v>
      </c>
      <c r="H532" t="s">
        <v>21</v>
      </c>
      <c r="I532" t="s">
        <v>50</v>
      </c>
      <c r="J532" t="s">
        <v>23</v>
      </c>
      <c r="K532" t="s">
        <v>50</v>
      </c>
      <c r="L532" t="s">
        <v>43</v>
      </c>
      <c r="M532">
        <v>6</v>
      </c>
      <c r="N532" t="s">
        <v>25</v>
      </c>
      <c r="O532" t="s">
        <v>26</v>
      </c>
      <c r="P532" t="s">
        <v>349</v>
      </c>
      <c r="Q532" t="s">
        <v>418</v>
      </c>
    </row>
    <row r="533" spans="1:17" x14ac:dyDescent="0.3">
      <c r="A533">
        <v>980929</v>
      </c>
      <c r="B533" t="s">
        <v>555</v>
      </c>
      <c r="C533" t="s">
        <v>566</v>
      </c>
      <c r="D533" t="s">
        <v>483</v>
      </c>
      <c r="E533" t="s">
        <v>557</v>
      </c>
      <c r="F533">
        <v>0</v>
      </c>
      <c r="G533" t="s">
        <v>551</v>
      </c>
      <c r="H533" t="s">
        <v>406</v>
      </c>
      <c r="I533" t="s">
        <v>406</v>
      </c>
      <c r="J533" t="s">
        <v>23</v>
      </c>
      <c r="K533" t="s">
        <v>406</v>
      </c>
      <c r="L533" t="s">
        <v>43</v>
      </c>
      <c r="M533">
        <v>10</v>
      </c>
      <c r="N533" t="s">
        <v>25</v>
      </c>
      <c r="O533" t="s">
        <v>26</v>
      </c>
      <c r="P533" t="s">
        <v>567</v>
      </c>
      <c r="Q533" t="s">
        <v>165</v>
      </c>
    </row>
    <row r="534" spans="1:17" x14ac:dyDescent="0.3">
      <c r="A534">
        <v>980931</v>
      </c>
      <c r="B534" t="s">
        <v>355</v>
      </c>
      <c r="C534" t="s">
        <v>568</v>
      </c>
      <c r="D534" t="s">
        <v>157</v>
      </c>
      <c r="E534" t="s">
        <v>504</v>
      </c>
      <c r="F534">
        <v>0</v>
      </c>
      <c r="G534" t="s">
        <v>549</v>
      </c>
      <c r="H534" t="s">
        <v>21</v>
      </c>
      <c r="I534" t="s">
        <v>549</v>
      </c>
      <c r="J534" t="s">
        <v>23</v>
      </c>
      <c r="K534" t="s">
        <v>21</v>
      </c>
      <c r="L534" t="s">
        <v>24</v>
      </c>
      <c r="M534">
        <v>13</v>
      </c>
      <c r="N534" t="s">
        <v>25</v>
      </c>
      <c r="O534" t="s">
        <v>26</v>
      </c>
      <c r="P534" t="s">
        <v>506</v>
      </c>
      <c r="Q534" t="s">
        <v>552</v>
      </c>
    </row>
    <row r="535" spans="1:17" x14ac:dyDescent="0.3">
      <c r="A535">
        <v>980933</v>
      </c>
      <c r="B535" t="s">
        <v>38</v>
      </c>
      <c r="C535" t="s">
        <v>569</v>
      </c>
      <c r="D535" t="s">
        <v>436</v>
      </c>
      <c r="E535" t="s">
        <v>40</v>
      </c>
      <c r="F535">
        <v>0</v>
      </c>
      <c r="G535" t="s">
        <v>41</v>
      </c>
      <c r="H535" t="s">
        <v>50</v>
      </c>
      <c r="I535" t="s">
        <v>50</v>
      </c>
      <c r="J535" t="s">
        <v>23</v>
      </c>
      <c r="K535" t="s">
        <v>41</v>
      </c>
      <c r="L535" t="s">
        <v>24</v>
      </c>
      <c r="M535">
        <v>10</v>
      </c>
      <c r="N535" t="s">
        <v>25</v>
      </c>
      <c r="O535" t="s">
        <v>26</v>
      </c>
      <c r="P535" t="s">
        <v>183</v>
      </c>
      <c r="Q535" t="s">
        <v>387</v>
      </c>
    </row>
    <row r="536" spans="1:17" x14ac:dyDescent="0.3">
      <c r="A536">
        <v>980935</v>
      </c>
      <c r="B536" t="s">
        <v>64</v>
      </c>
      <c r="C536" t="s">
        <v>569</v>
      </c>
      <c r="D536" t="s">
        <v>570</v>
      </c>
      <c r="E536" t="s">
        <v>67</v>
      </c>
      <c r="F536">
        <v>0</v>
      </c>
      <c r="G536" t="s">
        <v>406</v>
      </c>
      <c r="H536" t="s">
        <v>33</v>
      </c>
      <c r="I536" t="s">
        <v>406</v>
      </c>
      <c r="J536" t="s">
        <v>23</v>
      </c>
      <c r="K536" t="s">
        <v>406</v>
      </c>
      <c r="L536" t="s">
        <v>43</v>
      </c>
      <c r="M536">
        <v>5</v>
      </c>
      <c r="N536" t="s">
        <v>25</v>
      </c>
      <c r="O536" t="s">
        <v>26</v>
      </c>
      <c r="P536" t="s">
        <v>349</v>
      </c>
      <c r="Q536" t="s">
        <v>418</v>
      </c>
    </row>
    <row r="537" spans="1:17" x14ac:dyDescent="0.3">
      <c r="A537">
        <v>980937</v>
      </c>
      <c r="B537" t="s">
        <v>555</v>
      </c>
      <c r="C537" t="s">
        <v>571</v>
      </c>
      <c r="D537" t="s">
        <v>314</v>
      </c>
      <c r="E537" t="s">
        <v>557</v>
      </c>
      <c r="F537">
        <v>0</v>
      </c>
      <c r="G537" t="s">
        <v>551</v>
      </c>
      <c r="H537" t="s">
        <v>21</v>
      </c>
      <c r="I537" t="s">
        <v>21</v>
      </c>
      <c r="J537" t="s">
        <v>35</v>
      </c>
      <c r="K537" t="s">
        <v>551</v>
      </c>
      <c r="L537" t="s">
        <v>43</v>
      </c>
      <c r="M537">
        <v>6</v>
      </c>
      <c r="N537" t="s">
        <v>25</v>
      </c>
      <c r="O537" t="s">
        <v>26</v>
      </c>
      <c r="P537" t="s">
        <v>567</v>
      </c>
      <c r="Q537" t="s">
        <v>359</v>
      </c>
    </row>
    <row r="538" spans="1:17" x14ac:dyDescent="0.3">
      <c r="A538">
        <v>980939</v>
      </c>
      <c r="B538" t="s">
        <v>355</v>
      </c>
      <c r="C538" t="s">
        <v>571</v>
      </c>
      <c r="D538" t="s">
        <v>572</v>
      </c>
      <c r="E538" t="s">
        <v>504</v>
      </c>
      <c r="F538">
        <v>0</v>
      </c>
      <c r="G538" t="s">
        <v>549</v>
      </c>
      <c r="H538" t="s">
        <v>22</v>
      </c>
      <c r="I538" t="s">
        <v>22</v>
      </c>
      <c r="J538" t="s">
        <v>23</v>
      </c>
      <c r="K538" t="s">
        <v>22</v>
      </c>
      <c r="L538" t="s">
        <v>43</v>
      </c>
      <c r="M538">
        <v>2</v>
      </c>
      <c r="N538" t="s">
        <v>25</v>
      </c>
      <c r="O538" t="s">
        <v>26</v>
      </c>
      <c r="P538" t="s">
        <v>506</v>
      </c>
      <c r="Q538" t="s">
        <v>562</v>
      </c>
    </row>
    <row r="539" spans="1:17" x14ac:dyDescent="0.3">
      <c r="A539">
        <v>980941</v>
      </c>
      <c r="B539" t="s">
        <v>29</v>
      </c>
      <c r="C539" t="s">
        <v>573</v>
      </c>
      <c r="D539" t="s">
        <v>443</v>
      </c>
      <c r="E539" t="s">
        <v>550</v>
      </c>
      <c r="F539">
        <v>0</v>
      </c>
      <c r="G539" t="s">
        <v>33</v>
      </c>
      <c r="H539" t="s">
        <v>50</v>
      </c>
      <c r="I539" t="s">
        <v>33</v>
      </c>
      <c r="J539" t="s">
        <v>23</v>
      </c>
      <c r="K539" t="s">
        <v>50</v>
      </c>
      <c r="L539" t="s">
        <v>24</v>
      </c>
      <c r="M539">
        <v>25</v>
      </c>
      <c r="N539" t="s">
        <v>25</v>
      </c>
      <c r="O539" t="s">
        <v>26</v>
      </c>
      <c r="P539" t="s">
        <v>554</v>
      </c>
      <c r="Q539" t="s">
        <v>305</v>
      </c>
    </row>
    <row r="540" spans="1:17" x14ac:dyDescent="0.3">
      <c r="A540">
        <v>980943</v>
      </c>
      <c r="B540" t="s">
        <v>64</v>
      </c>
      <c r="C540" t="s">
        <v>574</v>
      </c>
      <c r="D540" t="s">
        <v>575</v>
      </c>
      <c r="E540" t="s">
        <v>67</v>
      </c>
      <c r="F540">
        <v>0</v>
      </c>
      <c r="G540" t="s">
        <v>406</v>
      </c>
      <c r="H540" t="s">
        <v>549</v>
      </c>
      <c r="I540" t="s">
        <v>549</v>
      </c>
      <c r="J540" t="s">
        <v>23</v>
      </c>
      <c r="K540" t="s">
        <v>549</v>
      </c>
      <c r="L540" t="s">
        <v>24</v>
      </c>
      <c r="M540">
        <v>34</v>
      </c>
      <c r="N540" t="s">
        <v>25</v>
      </c>
      <c r="O540" t="s">
        <v>115</v>
      </c>
      <c r="P540" t="s">
        <v>576</v>
      </c>
      <c r="Q540" t="s">
        <v>418</v>
      </c>
    </row>
    <row r="541" spans="1:17" x14ac:dyDescent="0.3">
      <c r="A541">
        <v>980945</v>
      </c>
      <c r="B541" t="s">
        <v>38</v>
      </c>
      <c r="C541" t="s">
        <v>577</v>
      </c>
      <c r="D541" t="s">
        <v>578</v>
      </c>
      <c r="E541" t="s">
        <v>40</v>
      </c>
      <c r="F541">
        <v>0</v>
      </c>
      <c r="G541" t="s">
        <v>41</v>
      </c>
      <c r="H541" t="s">
        <v>551</v>
      </c>
      <c r="I541" t="s">
        <v>41</v>
      </c>
      <c r="J541" t="s">
        <v>23</v>
      </c>
      <c r="K541" t="s">
        <v>551</v>
      </c>
      <c r="L541" t="s">
        <v>24</v>
      </c>
      <c r="M541">
        <v>1</v>
      </c>
      <c r="N541" t="s">
        <v>25</v>
      </c>
      <c r="O541" t="s">
        <v>26</v>
      </c>
      <c r="P541" t="s">
        <v>155</v>
      </c>
      <c r="Q541" t="s">
        <v>183</v>
      </c>
    </row>
    <row r="542" spans="1:17" x14ac:dyDescent="0.3">
      <c r="A542">
        <v>980947</v>
      </c>
      <c r="B542" t="s">
        <v>46</v>
      </c>
      <c r="C542" t="s">
        <v>579</v>
      </c>
      <c r="D542" t="s">
        <v>190</v>
      </c>
      <c r="E542" t="s">
        <v>49</v>
      </c>
      <c r="F542">
        <v>0</v>
      </c>
      <c r="G542" t="s">
        <v>50</v>
      </c>
      <c r="H542" t="s">
        <v>22</v>
      </c>
      <c r="I542" t="s">
        <v>50</v>
      </c>
      <c r="J542" t="s">
        <v>23</v>
      </c>
      <c r="K542" t="s">
        <v>50</v>
      </c>
      <c r="L542" t="s">
        <v>43</v>
      </c>
      <c r="M542">
        <v>6</v>
      </c>
      <c r="N542" t="s">
        <v>25</v>
      </c>
      <c r="O542" t="s">
        <v>26</v>
      </c>
      <c r="P542" t="s">
        <v>554</v>
      </c>
      <c r="Q542" t="s">
        <v>305</v>
      </c>
    </row>
    <row r="543" spans="1:17" x14ac:dyDescent="0.3">
      <c r="A543">
        <v>980949</v>
      </c>
      <c r="B543" t="s">
        <v>355</v>
      </c>
      <c r="C543" t="s">
        <v>580</v>
      </c>
      <c r="D543" t="s">
        <v>195</v>
      </c>
      <c r="E543" t="s">
        <v>504</v>
      </c>
      <c r="F543">
        <v>0</v>
      </c>
      <c r="G543" t="s">
        <v>549</v>
      </c>
      <c r="H543" t="s">
        <v>551</v>
      </c>
      <c r="I543" t="s">
        <v>551</v>
      </c>
      <c r="J543" t="s">
        <v>23</v>
      </c>
      <c r="K543" t="s">
        <v>551</v>
      </c>
      <c r="L543" t="s">
        <v>43</v>
      </c>
      <c r="M543">
        <v>3</v>
      </c>
      <c r="N543" t="s">
        <v>25</v>
      </c>
      <c r="O543" t="s">
        <v>26</v>
      </c>
      <c r="P543" t="s">
        <v>506</v>
      </c>
      <c r="Q543" t="s">
        <v>359</v>
      </c>
    </row>
    <row r="544" spans="1:17" x14ac:dyDescent="0.3">
      <c r="A544">
        <v>980951</v>
      </c>
      <c r="B544" t="s">
        <v>38</v>
      </c>
      <c r="C544" t="s">
        <v>581</v>
      </c>
      <c r="D544" t="s">
        <v>582</v>
      </c>
      <c r="E544" t="s">
        <v>40</v>
      </c>
      <c r="F544">
        <v>0</v>
      </c>
      <c r="G544" t="s">
        <v>41</v>
      </c>
      <c r="H544" t="s">
        <v>22</v>
      </c>
      <c r="I544" t="s">
        <v>22</v>
      </c>
      <c r="J544" t="s">
        <v>23</v>
      </c>
      <c r="K544" t="s">
        <v>41</v>
      </c>
      <c r="L544" t="s">
        <v>24</v>
      </c>
      <c r="M544">
        <v>27</v>
      </c>
      <c r="N544" t="s">
        <v>25</v>
      </c>
      <c r="O544" t="s">
        <v>26</v>
      </c>
      <c r="P544" t="s">
        <v>583</v>
      </c>
      <c r="Q544" t="s">
        <v>155</v>
      </c>
    </row>
    <row r="545" spans="1:17" x14ac:dyDescent="0.3">
      <c r="A545">
        <v>980953</v>
      </c>
      <c r="B545" t="s">
        <v>64</v>
      </c>
      <c r="C545" t="s">
        <v>581</v>
      </c>
      <c r="D545" t="s">
        <v>251</v>
      </c>
      <c r="E545" t="s">
        <v>67</v>
      </c>
      <c r="F545">
        <v>0</v>
      </c>
      <c r="G545" t="s">
        <v>406</v>
      </c>
      <c r="H545" t="s">
        <v>21</v>
      </c>
      <c r="I545" t="s">
        <v>21</v>
      </c>
      <c r="J545" t="s">
        <v>23</v>
      </c>
      <c r="K545" t="s">
        <v>406</v>
      </c>
      <c r="L545" t="s">
        <v>24</v>
      </c>
      <c r="M545">
        <v>15</v>
      </c>
      <c r="N545" t="s">
        <v>25</v>
      </c>
      <c r="O545" t="s">
        <v>26</v>
      </c>
      <c r="P545" t="s">
        <v>349</v>
      </c>
      <c r="Q545" t="s">
        <v>165</v>
      </c>
    </row>
    <row r="546" spans="1:17" x14ac:dyDescent="0.3">
      <c r="A546">
        <v>980955</v>
      </c>
      <c r="B546" t="s">
        <v>555</v>
      </c>
      <c r="C546" s="1">
        <v>42374</v>
      </c>
      <c r="D546" t="s">
        <v>493</v>
      </c>
      <c r="E546" t="s">
        <v>557</v>
      </c>
      <c r="F546">
        <v>0</v>
      </c>
      <c r="G546" t="s">
        <v>551</v>
      </c>
      <c r="H546" t="s">
        <v>33</v>
      </c>
      <c r="I546" t="s">
        <v>551</v>
      </c>
      <c r="J546" t="s">
        <v>23</v>
      </c>
      <c r="K546" t="s">
        <v>33</v>
      </c>
      <c r="L546" t="s">
        <v>24</v>
      </c>
      <c r="M546">
        <v>23</v>
      </c>
      <c r="N546" t="s">
        <v>25</v>
      </c>
      <c r="O546" t="s">
        <v>26</v>
      </c>
      <c r="P546" t="s">
        <v>359</v>
      </c>
      <c r="Q546" t="s">
        <v>552</v>
      </c>
    </row>
    <row r="547" spans="1:17" x14ac:dyDescent="0.3">
      <c r="A547">
        <v>980957</v>
      </c>
      <c r="B547" t="s">
        <v>355</v>
      </c>
      <c r="C547" s="1">
        <v>42374</v>
      </c>
      <c r="D547" t="s">
        <v>190</v>
      </c>
      <c r="E547" t="s">
        <v>504</v>
      </c>
      <c r="F547">
        <v>0</v>
      </c>
      <c r="G547" t="s">
        <v>549</v>
      </c>
      <c r="H547" t="s">
        <v>50</v>
      </c>
      <c r="I547" t="s">
        <v>50</v>
      </c>
      <c r="J547" t="s">
        <v>23</v>
      </c>
      <c r="K547" t="s">
        <v>50</v>
      </c>
      <c r="L547" t="s">
        <v>43</v>
      </c>
      <c r="M547">
        <v>8</v>
      </c>
      <c r="N547" t="s">
        <v>25</v>
      </c>
      <c r="O547" t="s">
        <v>26</v>
      </c>
      <c r="P547" t="s">
        <v>576</v>
      </c>
      <c r="Q547" t="s">
        <v>305</v>
      </c>
    </row>
    <row r="548" spans="1:17" x14ac:dyDescent="0.3">
      <c r="A548">
        <v>980959</v>
      </c>
      <c r="B548" t="s">
        <v>17</v>
      </c>
      <c r="C548" s="1">
        <v>42405</v>
      </c>
      <c r="D548" t="s">
        <v>513</v>
      </c>
      <c r="E548" t="s">
        <v>20</v>
      </c>
      <c r="F548">
        <v>0</v>
      </c>
      <c r="G548" t="s">
        <v>21</v>
      </c>
      <c r="H548" t="s">
        <v>22</v>
      </c>
      <c r="I548" t="s">
        <v>22</v>
      </c>
      <c r="J548" t="s">
        <v>23</v>
      </c>
      <c r="K548" t="s">
        <v>22</v>
      </c>
      <c r="L548" t="s">
        <v>43</v>
      </c>
      <c r="M548">
        <v>5</v>
      </c>
      <c r="N548" t="s">
        <v>25</v>
      </c>
      <c r="O548" t="s">
        <v>26</v>
      </c>
      <c r="P548" t="s">
        <v>155</v>
      </c>
      <c r="Q548" t="s">
        <v>183</v>
      </c>
    </row>
    <row r="549" spans="1:17" x14ac:dyDescent="0.3">
      <c r="A549">
        <v>980961</v>
      </c>
      <c r="B549" t="s">
        <v>555</v>
      </c>
      <c r="C549" s="1">
        <v>42434</v>
      </c>
      <c r="D549" t="s">
        <v>584</v>
      </c>
      <c r="E549" t="s">
        <v>557</v>
      </c>
      <c r="F549">
        <v>0</v>
      </c>
      <c r="G549" t="s">
        <v>551</v>
      </c>
      <c r="H549" t="s">
        <v>41</v>
      </c>
      <c r="I549" t="s">
        <v>41</v>
      </c>
      <c r="J549" t="s">
        <v>23</v>
      </c>
      <c r="K549" t="s">
        <v>41</v>
      </c>
      <c r="L549" t="s">
        <v>43</v>
      </c>
      <c r="M549">
        <v>8</v>
      </c>
      <c r="N549" t="s">
        <v>25</v>
      </c>
      <c r="O549" t="s">
        <v>26</v>
      </c>
      <c r="P549" t="s">
        <v>506</v>
      </c>
      <c r="Q549" t="s">
        <v>359</v>
      </c>
    </row>
    <row r="550" spans="1:17" x14ac:dyDescent="0.3">
      <c r="A550">
        <v>980963</v>
      </c>
      <c r="B550" t="s">
        <v>53</v>
      </c>
      <c r="C550" s="1">
        <v>42465</v>
      </c>
      <c r="D550" t="s">
        <v>513</v>
      </c>
      <c r="E550" t="s">
        <v>55</v>
      </c>
      <c r="F550">
        <v>0</v>
      </c>
      <c r="G550" t="s">
        <v>22</v>
      </c>
      <c r="H550" t="s">
        <v>33</v>
      </c>
      <c r="I550" t="s">
        <v>33</v>
      </c>
      <c r="J550" t="s">
        <v>23</v>
      </c>
      <c r="K550" t="s">
        <v>22</v>
      </c>
      <c r="L550" t="s">
        <v>24</v>
      </c>
      <c r="M550">
        <v>7</v>
      </c>
      <c r="N550" t="s">
        <v>25</v>
      </c>
      <c r="O550" t="s">
        <v>26</v>
      </c>
      <c r="P550" t="s">
        <v>349</v>
      </c>
      <c r="Q550" t="s">
        <v>165</v>
      </c>
    </row>
    <row r="551" spans="1:17" x14ac:dyDescent="0.3">
      <c r="A551">
        <v>980965</v>
      </c>
      <c r="B551" t="s">
        <v>38</v>
      </c>
      <c r="C551" s="1">
        <v>42495</v>
      </c>
      <c r="D551" t="s">
        <v>350</v>
      </c>
      <c r="E551" t="s">
        <v>40</v>
      </c>
      <c r="F551">
        <v>0</v>
      </c>
      <c r="G551" t="s">
        <v>41</v>
      </c>
      <c r="H551" t="s">
        <v>549</v>
      </c>
      <c r="I551" t="s">
        <v>549</v>
      </c>
      <c r="J551" t="s">
        <v>23</v>
      </c>
      <c r="K551" t="s">
        <v>549</v>
      </c>
      <c r="L551" t="s">
        <v>43</v>
      </c>
      <c r="M551">
        <v>7</v>
      </c>
      <c r="N551" t="s">
        <v>25</v>
      </c>
      <c r="O551" t="s">
        <v>26</v>
      </c>
      <c r="P551" t="s">
        <v>387</v>
      </c>
      <c r="Q551" t="s">
        <v>305</v>
      </c>
    </row>
    <row r="552" spans="1:17" x14ac:dyDescent="0.3">
      <c r="A552">
        <v>980967</v>
      </c>
      <c r="B552" t="s">
        <v>64</v>
      </c>
      <c r="C552" s="1">
        <v>42526</v>
      </c>
      <c r="D552" t="s">
        <v>483</v>
      </c>
      <c r="E552" t="s">
        <v>67</v>
      </c>
      <c r="F552">
        <v>0</v>
      </c>
      <c r="G552" t="s">
        <v>406</v>
      </c>
      <c r="H552" t="s">
        <v>551</v>
      </c>
      <c r="I552" t="s">
        <v>406</v>
      </c>
      <c r="J552" t="s">
        <v>23</v>
      </c>
      <c r="K552" t="s">
        <v>406</v>
      </c>
      <c r="L552" t="s">
        <v>43</v>
      </c>
      <c r="M552">
        <v>5</v>
      </c>
      <c r="N552" t="s">
        <v>25</v>
      </c>
      <c r="O552" t="s">
        <v>26</v>
      </c>
      <c r="P552" t="s">
        <v>155</v>
      </c>
      <c r="Q552" t="s">
        <v>183</v>
      </c>
    </row>
    <row r="553" spans="1:17" x14ac:dyDescent="0.3">
      <c r="A553">
        <v>980969</v>
      </c>
      <c r="B553" t="s">
        <v>17</v>
      </c>
      <c r="C553" s="1">
        <v>42556</v>
      </c>
      <c r="D553" t="s">
        <v>314</v>
      </c>
      <c r="E553" t="s">
        <v>20</v>
      </c>
      <c r="F553">
        <v>0</v>
      </c>
      <c r="G553" t="s">
        <v>21</v>
      </c>
      <c r="H553" t="s">
        <v>549</v>
      </c>
      <c r="I553" t="s">
        <v>21</v>
      </c>
      <c r="J553" t="s">
        <v>23</v>
      </c>
      <c r="K553" t="s">
        <v>21</v>
      </c>
      <c r="L553" t="s">
        <v>43</v>
      </c>
      <c r="M553">
        <v>7</v>
      </c>
      <c r="N553" t="s">
        <v>25</v>
      </c>
      <c r="O553" t="s">
        <v>26</v>
      </c>
      <c r="P553" t="s">
        <v>506</v>
      </c>
      <c r="Q553" t="s">
        <v>359</v>
      </c>
    </row>
    <row r="554" spans="1:17" x14ac:dyDescent="0.3">
      <c r="A554">
        <v>980971</v>
      </c>
      <c r="B554" t="s">
        <v>29</v>
      </c>
      <c r="C554" s="1">
        <v>42556</v>
      </c>
      <c r="D554" t="s">
        <v>585</v>
      </c>
      <c r="E554" t="s">
        <v>550</v>
      </c>
      <c r="F554">
        <v>0</v>
      </c>
      <c r="G554" t="s">
        <v>33</v>
      </c>
      <c r="H554" t="s">
        <v>41</v>
      </c>
      <c r="I554" t="s">
        <v>41</v>
      </c>
      <c r="J554" t="s">
        <v>23</v>
      </c>
      <c r="K554" t="s">
        <v>33</v>
      </c>
      <c r="L554" t="s">
        <v>24</v>
      </c>
      <c r="M554">
        <v>9</v>
      </c>
      <c r="N554" t="s">
        <v>25</v>
      </c>
      <c r="O554" t="s">
        <v>26</v>
      </c>
      <c r="P554" t="s">
        <v>165</v>
      </c>
      <c r="Q554" t="s">
        <v>418</v>
      </c>
    </row>
    <row r="555" spans="1:17" x14ac:dyDescent="0.3">
      <c r="A555">
        <v>980973</v>
      </c>
      <c r="B555" t="s">
        <v>351</v>
      </c>
      <c r="C555" s="1">
        <v>42587</v>
      </c>
      <c r="D555" t="s">
        <v>101</v>
      </c>
      <c r="E555" t="s">
        <v>353</v>
      </c>
      <c r="F555">
        <v>0</v>
      </c>
      <c r="G555" t="s">
        <v>50</v>
      </c>
      <c r="H555" t="s">
        <v>406</v>
      </c>
      <c r="I555" t="s">
        <v>50</v>
      </c>
      <c r="J555" t="s">
        <v>23</v>
      </c>
      <c r="K555" t="s">
        <v>406</v>
      </c>
      <c r="L555" t="s">
        <v>24</v>
      </c>
      <c r="M555">
        <v>85</v>
      </c>
      <c r="N555" t="s">
        <v>25</v>
      </c>
      <c r="O555" t="s">
        <v>26</v>
      </c>
      <c r="P555" t="s">
        <v>183</v>
      </c>
      <c r="Q555" t="s">
        <v>387</v>
      </c>
    </row>
    <row r="556" spans="1:17" x14ac:dyDescent="0.3">
      <c r="A556">
        <v>980975</v>
      </c>
      <c r="B556" t="s">
        <v>53</v>
      </c>
      <c r="C556" s="1">
        <v>42587</v>
      </c>
      <c r="D556" t="s">
        <v>129</v>
      </c>
      <c r="E556" t="s">
        <v>55</v>
      </c>
      <c r="F556">
        <v>0</v>
      </c>
      <c r="G556" t="s">
        <v>22</v>
      </c>
      <c r="H556" t="s">
        <v>551</v>
      </c>
      <c r="I556" t="s">
        <v>551</v>
      </c>
      <c r="J556" t="s">
        <v>23</v>
      </c>
      <c r="K556" t="s">
        <v>551</v>
      </c>
      <c r="L556" t="s">
        <v>43</v>
      </c>
      <c r="M556">
        <v>5</v>
      </c>
      <c r="N556" t="s">
        <v>25</v>
      </c>
      <c r="O556" t="s">
        <v>26</v>
      </c>
      <c r="P556" t="s">
        <v>155</v>
      </c>
      <c r="Q556" t="s">
        <v>305</v>
      </c>
    </row>
    <row r="557" spans="1:17" x14ac:dyDescent="0.3">
      <c r="A557">
        <v>980977</v>
      </c>
      <c r="B557" t="s">
        <v>29</v>
      </c>
      <c r="C557" s="1">
        <v>42618</v>
      </c>
      <c r="D557" t="s">
        <v>61</v>
      </c>
      <c r="E557" t="s">
        <v>550</v>
      </c>
      <c r="F557">
        <v>0</v>
      </c>
      <c r="G557" t="s">
        <v>33</v>
      </c>
      <c r="H557" t="s">
        <v>21</v>
      </c>
      <c r="I557" t="s">
        <v>33</v>
      </c>
      <c r="J557" t="s">
        <v>23</v>
      </c>
      <c r="K557" t="s">
        <v>21</v>
      </c>
      <c r="L557" t="s">
        <v>24</v>
      </c>
      <c r="M557">
        <v>1</v>
      </c>
      <c r="N557" t="s">
        <v>25</v>
      </c>
      <c r="O557" t="s">
        <v>26</v>
      </c>
      <c r="P557" t="s">
        <v>349</v>
      </c>
      <c r="Q557" t="s">
        <v>165</v>
      </c>
    </row>
    <row r="558" spans="1:17" x14ac:dyDescent="0.3">
      <c r="A558">
        <v>980979</v>
      </c>
      <c r="B558" t="s">
        <v>351</v>
      </c>
      <c r="C558" s="1">
        <v>42648</v>
      </c>
      <c r="D558" t="s">
        <v>586</v>
      </c>
      <c r="E558" t="s">
        <v>353</v>
      </c>
      <c r="F558">
        <v>0</v>
      </c>
      <c r="G558" t="s">
        <v>549</v>
      </c>
      <c r="H558" t="s">
        <v>406</v>
      </c>
      <c r="I558" t="s">
        <v>406</v>
      </c>
      <c r="J558" t="s">
        <v>35</v>
      </c>
      <c r="K558" t="s">
        <v>406</v>
      </c>
      <c r="L558" t="s">
        <v>24</v>
      </c>
      <c r="M558">
        <v>4</v>
      </c>
      <c r="N558" t="s">
        <v>25</v>
      </c>
      <c r="O558" t="s">
        <v>26</v>
      </c>
      <c r="P558" t="s">
        <v>506</v>
      </c>
      <c r="Q558" t="s">
        <v>552</v>
      </c>
    </row>
    <row r="559" spans="1:17" x14ac:dyDescent="0.3">
      <c r="A559">
        <v>980981</v>
      </c>
      <c r="B559" t="s">
        <v>17</v>
      </c>
      <c r="C559" s="1">
        <v>42679</v>
      </c>
      <c r="D559" t="s">
        <v>587</v>
      </c>
      <c r="E559" t="s">
        <v>20</v>
      </c>
      <c r="F559">
        <v>0</v>
      </c>
      <c r="G559" t="s">
        <v>21</v>
      </c>
      <c r="H559" t="s">
        <v>50</v>
      </c>
      <c r="I559" t="s">
        <v>50</v>
      </c>
      <c r="J559" t="s">
        <v>23</v>
      </c>
      <c r="K559" t="s">
        <v>50</v>
      </c>
      <c r="L559" t="s">
        <v>43</v>
      </c>
      <c r="M559">
        <v>6</v>
      </c>
      <c r="N559" t="s">
        <v>25</v>
      </c>
      <c r="O559" t="s">
        <v>26</v>
      </c>
      <c r="P559" t="s">
        <v>576</v>
      </c>
      <c r="Q559" t="s">
        <v>387</v>
      </c>
    </row>
    <row r="560" spans="1:17" x14ac:dyDescent="0.3">
      <c r="A560">
        <v>980983</v>
      </c>
      <c r="B560" t="s">
        <v>64</v>
      </c>
      <c r="C560" s="1">
        <v>42709</v>
      </c>
      <c r="D560" t="s">
        <v>578</v>
      </c>
      <c r="E560" t="s">
        <v>67</v>
      </c>
      <c r="F560">
        <v>0</v>
      </c>
      <c r="G560" t="s">
        <v>406</v>
      </c>
      <c r="H560" t="s">
        <v>41</v>
      </c>
      <c r="I560" t="s">
        <v>41</v>
      </c>
      <c r="J560" t="s">
        <v>23</v>
      </c>
      <c r="K560" t="s">
        <v>41</v>
      </c>
      <c r="L560" t="s">
        <v>43</v>
      </c>
      <c r="M560">
        <v>7</v>
      </c>
      <c r="N560" t="s">
        <v>25</v>
      </c>
      <c r="O560" t="s">
        <v>26</v>
      </c>
      <c r="P560" t="s">
        <v>567</v>
      </c>
      <c r="Q560" t="s">
        <v>155</v>
      </c>
    </row>
    <row r="561" spans="1:17" x14ac:dyDescent="0.3">
      <c r="A561">
        <v>980985</v>
      </c>
      <c r="B561" t="s">
        <v>351</v>
      </c>
      <c r="C561" t="s">
        <v>588</v>
      </c>
      <c r="D561" t="s">
        <v>585</v>
      </c>
      <c r="E561" t="s">
        <v>353</v>
      </c>
      <c r="F561">
        <v>0</v>
      </c>
      <c r="G561" t="s">
        <v>50</v>
      </c>
      <c r="H561" t="s">
        <v>33</v>
      </c>
      <c r="I561" t="s">
        <v>50</v>
      </c>
      <c r="J561" t="s">
        <v>35</v>
      </c>
      <c r="K561" t="s">
        <v>33</v>
      </c>
      <c r="L561" t="s">
        <v>43</v>
      </c>
      <c r="M561">
        <v>7</v>
      </c>
      <c r="N561" t="s">
        <v>25</v>
      </c>
      <c r="O561" t="s">
        <v>26</v>
      </c>
      <c r="P561" t="s">
        <v>165</v>
      </c>
      <c r="Q561" t="s">
        <v>418</v>
      </c>
    </row>
    <row r="562" spans="1:17" x14ac:dyDescent="0.3">
      <c r="A562">
        <v>980987</v>
      </c>
      <c r="B562" t="s">
        <v>17</v>
      </c>
      <c r="C562" t="s">
        <v>589</v>
      </c>
      <c r="D562" t="s">
        <v>157</v>
      </c>
      <c r="E562" t="s">
        <v>20</v>
      </c>
      <c r="F562">
        <v>0</v>
      </c>
      <c r="G562" t="s">
        <v>21</v>
      </c>
      <c r="H562" t="s">
        <v>551</v>
      </c>
      <c r="I562" t="s">
        <v>551</v>
      </c>
      <c r="J562" t="s">
        <v>23</v>
      </c>
      <c r="K562" t="s">
        <v>21</v>
      </c>
      <c r="L562" t="s">
        <v>24</v>
      </c>
      <c r="M562">
        <v>144</v>
      </c>
      <c r="N562" t="s">
        <v>25</v>
      </c>
      <c r="O562" t="s">
        <v>26</v>
      </c>
      <c r="P562" t="s">
        <v>576</v>
      </c>
      <c r="Q562" t="s">
        <v>552</v>
      </c>
    </row>
    <row r="563" spans="1:17" x14ac:dyDescent="0.3">
      <c r="A563">
        <v>980989</v>
      </c>
      <c r="B563" t="s">
        <v>53</v>
      </c>
      <c r="C563" t="s">
        <v>589</v>
      </c>
      <c r="D563" t="s">
        <v>75</v>
      </c>
      <c r="E563" t="s">
        <v>55</v>
      </c>
      <c r="F563">
        <v>0</v>
      </c>
      <c r="G563" t="s">
        <v>22</v>
      </c>
      <c r="H563" t="s">
        <v>549</v>
      </c>
      <c r="I563" t="s">
        <v>549</v>
      </c>
      <c r="J563" t="s">
        <v>35</v>
      </c>
      <c r="K563" t="s">
        <v>22</v>
      </c>
      <c r="L563" t="s">
        <v>43</v>
      </c>
      <c r="M563">
        <v>8</v>
      </c>
      <c r="N563" t="s">
        <v>25</v>
      </c>
      <c r="O563" t="s">
        <v>115</v>
      </c>
      <c r="P563" t="s">
        <v>562</v>
      </c>
      <c r="Q563" t="s">
        <v>359</v>
      </c>
    </row>
    <row r="564" spans="1:17" x14ac:dyDescent="0.3">
      <c r="A564">
        <v>980991</v>
      </c>
      <c r="B564" t="s">
        <v>29</v>
      </c>
      <c r="C564" t="s">
        <v>590</v>
      </c>
      <c r="D564" t="s">
        <v>591</v>
      </c>
      <c r="E564" t="s">
        <v>550</v>
      </c>
      <c r="F564">
        <v>0</v>
      </c>
      <c r="G564" t="s">
        <v>33</v>
      </c>
      <c r="H564" t="s">
        <v>406</v>
      </c>
      <c r="I564" t="s">
        <v>33</v>
      </c>
      <c r="J564" t="s">
        <v>35</v>
      </c>
      <c r="K564" t="s">
        <v>406</v>
      </c>
      <c r="L564" t="s">
        <v>43</v>
      </c>
      <c r="M564">
        <v>7</v>
      </c>
      <c r="N564" t="s">
        <v>25</v>
      </c>
      <c r="O564" t="s">
        <v>26</v>
      </c>
      <c r="P564" t="s">
        <v>583</v>
      </c>
      <c r="Q564" t="s">
        <v>155</v>
      </c>
    </row>
    <row r="565" spans="1:17" x14ac:dyDescent="0.3">
      <c r="A565">
        <v>980993</v>
      </c>
      <c r="B565" t="s">
        <v>351</v>
      </c>
      <c r="C565" t="s">
        <v>590</v>
      </c>
      <c r="D565" t="s">
        <v>587</v>
      </c>
      <c r="E565" t="s">
        <v>353</v>
      </c>
      <c r="F565">
        <v>0</v>
      </c>
      <c r="G565" t="s">
        <v>50</v>
      </c>
      <c r="H565" t="s">
        <v>41</v>
      </c>
      <c r="I565" t="s">
        <v>41</v>
      </c>
      <c r="J565" t="s">
        <v>23</v>
      </c>
      <c r="K565" t="s">
        <v>50</v>
      </c>
      <c r="L565" t="s">
        <v>24</v>
      </c>
      <c r="M565">
        <v>80</v>
      </c>
      <c r="N565" t="s">
        <v>25</v>
      </c>
      <c r="O565" t="s">
        <v>26</v>
      </c>
      <c r="P565" t="s">
        <v>554</v>
      </c>
      <c r="Q565" t="s">
        <v>418</v>
      </c>
    </row>
    <row r="566" spans="1:17" x14ac:dyDescent="0.3">
      <c r="A566">
        <v>980995</v>
      </c>
      <c r="B566" t="s">
        <v>53</v>
      </c>
      <c r="C566" t="s">
        <v>592</v>
      </c>
      <c r="D566" t="s">
        <v>314</v>
      </c>
      <c r="E566" t="s">
        <v>55</v>
      </c>
      <c r="F566">
        <v>0</v>
      </c>
      <c r="G566" t="s">
        <v>22</v>
      </c>
      <c r="H566" t="s">
        <v>21</v>
      </c>
      <c r="I566" t="s">
        <v>21</v>
      </c>
      <c r="J566" t="s">
        <v>23</v>
      </c>
      <c r="K566" t="s">
        <v>21</v>
      </c>
      <c r="L566" t="s">
        <v>43</v>
      </c>
      <c r="M566">
        <v>9</v>
      </c>
      <c r="N566" t="s">
        <v>25</v>
      </c>
      <c r="O566" t="s">
        <v>26</v>
      </c>
      <c r="P566" t="s">
        <v>506</v>
      </c>
      <c r="Q566" t="s">
        <v>562</v>
      </c>
    </row>
    <row r="567" spans="1:17" x14ac:dyDescent="0.3">
      <c r="A567">
        <v>980997</v>
      </c>
      <c r="B567" t="s">
        <v>351</v>
      </c>
      <c r="C567" t="s">
        <v>593</v>
      </c>
      <c r="D567" t="s">
        <v>575</v>
      </c>
      <c r="E567" t="s">
        <v>353</v>
      </c>
      <c r="F567">
        <v>0</v>
      </c>
      <c r="G567" t="s">
        <v>549</v>
      </c>
      <c r="H567" t="s">
        <v>41</v>
      </c>
      <c r="I567" t="s">
        <v>549</v>
      </c>
      <c r="J567" t="s">
        <v>23</v>
      </c>
      <c r="K567" t="s">
        <v>549</v>
      </c>
      <c r="L567" t="s">
        <v>24</v>
      </c>
      <c r="M567">
        <v>19</v>
      </c>
      <c r="N567" t="s">
        <v>25</v>
      </c>
      <c r="O567" t="s">
        <v>115</v>
      </c>
      <c r="P567" t="s">
        <v>554</v>
      </c>
      <c r="Q567" t="s">
        <v>387</v>
      </c>
    </row>
    <row r="568" spans="1:17" x14ac:dyDescent="0.3">
      <c r="A568">
        <v>980999</v>
      </c>
      <c r="B568" t="s">
        <v>17</v>
      </c>
      <c r="C568" t="s">
        <v>594</v>
      </c>
      <c r="D568" t="s">
        <v>314</v>
      </c>
      <c r="E568" t="s">
        <v>20</v>
      </c>
      <c r="F568">
        <v>0</v>
      </c>
      <c r="G568" t="s">
        <v>21</v>
      </c>
      <c r="H568" t="s">
        <v>33</v>
      </c>
      <c r="I568" t="s">
        <v>33</v>
      </c>
      <c r="J568" t="s">
        <v>23</v>
      </c>
      <c r="K568" t="s">
        <v>21</v>
      </c>
      <c r="L568" t="s">
        <v>24</v>
      </c>
      <c r="M568">
        <v>82</v>
      </c>
      <c r="N568" t="s">
        <v>25</v>
      </c>
      <c r="O568" t="s">
        <v>115</v>
      </c>
      <c r="P568" t="s">
        <v>583</v>
      </c>
      <c r="Q568" t="s">
        <v>155</v>
      </c>
    </row>
    <row r="569" spans="1:17" x14ac:dyDescent="0.3">
      <c r="A569">
        <v>981001</v>
      </c>
      <c r="B569" t="s">
        <v>595</v>
      </c>
      <c r="C569" t="s">
        <v>596</v>
      </c>
      <c r="D569" t="s">
        <v>195</v>
      </c>
      <c r="E569" t="s">
        <v>597</v>
      </c>
      <c r="F569">
        <v>0</v>
      </c>
      <c r="G569" t="s">
        <v>551</v>
      </c>
      <c r="H569" t="s">
        <v>22</v>
      </c>
      <c r="I569" t="s">
        <v>551</v>
      </c>
      <c r="J569" t="s">
        <v>23</v>
      </c>
      <c r="K569" t="s">
        <v>551</v>
      </c>
      <c r="L569" t="s">
        <v>43</v>
      </c>
      <c r="M569">
        <v>6</v>
      </c>
      <c r="N569" t="s">
        <v>25</v>
      </c>
      <c r="O569" t="s">
        <v>26</v>
      </c>
      <c r="P569" t="s">
        <v>349</v>
      </c>
      <c r="Q569" t="s">
        <v>418</v>
      </c>
    </row>
    <row r="570" spans="1:17" x14ac:dyDescent="0.3">
      <c r="A570">
        <v>981003</v>
      </c>
      <c r="B570" t="s">
        <v>433</v>
      </c>
      <c r="C570" t="s">
        <v>598</v>
      </c>
      <c r="D570" t="s">
        <v>485</v>
      </c>
      <c r="E570" t="s">
        <v>434</v>
      </c>
      <c r="F570">
        <v>0</v>
      </c>
      <c r="G570" t="s">
        <v>41</v>
      </c>
      <c r="H570" t="s">
        <v>406</v>
      </c>
      <c r="I570" t="s">
        <v>41</v>
      </c>
      <c r="J570" t="s">
        <v>23</v>
      </c>
      <c r="K570" t="s">
        <v>41</v>
      </c>
      <c r="L570" t="s">
        <v>43</v>
      </c>
      <c r="M570">
        <v>6</v>
      </c>
      <c r="N570" t="s">
        <v>25</v>
      </c>
      <c r="O570" t="s">
        <v>26</v>
      </c>
      <c r="P570" t="s">
        <v>562</v>
      </c>
      <c r="Q570" t="s">
        <v>359</v>
      </c>
    </row>
    <row r="571" spans="1:17" x14ac:dyDescent="0.3">
      <c r="A571">
        <v>981005</v>
      </c>
      <c r="B571" t="s">
        <v>351</v>
      </c>
      <c r="C571" t="s">
        <v>599</v>
      </c>
      <c r="D571" t="s">
        <v>87</v>
      </c>
      <c r="E571" t="s">
        <v>353</v>
      </c>
      <c r="F571">
        <v>0</v>
      </c>
      <c r="G571" t="s">
        <v>549</v>
      </c>
      <c r="H571" t="s">
        <v>33</v>
      </c>
      <c r="I571" t="s">
        <v>33</v>
      </c>
      <c r="J571" t="s">
        <v>35</v>
      </c>
      <c r="K571" t="s">
        <v>549</v>
      </c>
      <c r="L571" t="s">
        <v>43</v>
      </c>
      <c r="M571">
        <v>4</v>
      </c>
      <c r="N571" t="s">
        <v>25</v>
      </c>
      <c r="O571" t="s">
        <v>26</v>
      </c>
      <c r="P571" t="s">
        <v>165</v>
      </c>
      <c r="Q571" t="s">
        <v>554</v>
      </c>
    </row>
    <row r="572" spans="1:17" x14ac:dyDescent="0.3">
      <c r="A572">
        <v>981007</v>
      </c>
      <c r="B572" t="s">
        <v>595</v>
      </c>
      <c r="C572" t="s">
        <v>599</v>
      </c>
      <c r="D572" t="s">
        <v>133</v>
      </c>
      <c r="E572" t="s">
        <v>597</v>
      </c>
      <c r="F572">
        <v>0</v>
      </c>
      <c r="G572" t="s">
        <v>551</v>
      </c>
      <c r="H572" t="s">
        <v>50</v>
      </c>
      <c r="I572" t="s">
        <v>551</v>
      </c>
      <c r="J572" t="s">
        <v>23</v>
      </c>
      <c r="K572" t="s">
        <v>551</v>
      </c>
      <c r="L572" t="s">
        <v>43</v>
      </c>
      <c r="M572">
        <v>6</v>
      </c>
      <c r="N572" t="s">
        <v>25</v>
      </c>
      <c r="O572" t="s">
        <v>26</v>
      </c>
      <c r="P572" t="s">
        <v>349</v>
      </c>
      <c r="Q572" t="s">
        <v>418</v>
      </c>
    </row>
    <row r="573" spans="1:17" x14ac:dyDescent="0.3">
      <c r="A573">
        <v>981009</v>
      </c>
      <c r="B573" t="s">
        <v>53</v>
      </c>
      <c r="C573" t="s">
        <v>600</v>
      </c>
      <c r="D573" t="s">
        <v>75</v>
      </c>
      <c r="E573" t="s">
        <v>55</v>
      </c>
      <c r="F573">
        <v>0</v>
      </c>
      <c r="G573" t="s">
        <v>22</v>
      </c>
      <c r="H573" t="s">
        <v>406</v>
      </c>
      <c r="I573" t="s">
        <v>406</v>
      </c>
      <c r="J573" t="s">
        <v>23</v>
      </c>
      <c r="K573" t="s">
        <v>22</v>
      </c>
      <c r="L573" t="s">
        <v>24</v>
      </c>
      <c r="M573">
        <v>22</v>
      </c>
      <c r="N573" t="s">
        <v>25</v>
      </c>
      <c r="O573" t="s">
        <v>26</v>
      </c>
      <c r="P573" t="s">
        <v>583</v>
      </c>
      <c r="Q573" t="s">
        <v>155</v>
      </c>
    </row>
    <row r="574" spans="1:17" x14ac:dyDescent="0.3">
      <c r="A574">
        <v>981011</v>
      </c>
      <c r="B574" t="s">
        <v>433</v>
      </c>
      <c r="C574" t="s">
        <v>600</v>
      </c>
      <c r="D574" t="s">
        <v>314</v>
      </c>
      <c r="E574" t="s">
        <v>434</v>
      </c>
      <c r="F574">
        <v>0</v>
      </c>
      <c r="G574" t="s">
        <v>41</v>
      </c>
      <c r="H574" t="s">
        <v>21</v>
      </c>
      <c r="I574" t="s">
        <v>21</v>
      </c>
      <c r="J574" t="s">
        <v>23</v>
      </c>
      <c r="K574" t="s">
        <v>21</v>
      </c>
      <c r="L574" t="s">
        <v>43</v>
      </c>
      <c r="M574">
        <v>6</v>
      </c>
      <c r="N574" t="s">
        <v>25</v>
      </c>
      <c r="O574" t="s">
        <v>26</v>
      </c>
      <c r="P574" t="s">
        <v>562</v>
      </c>
      <c r="Q574" t="s">
        <v>359</v>
      </c>
    </row>
    <row r="575" spans="1:17" x14ac:dyDescent="0.3">
      <c r="A575">
        <v>981013</v>
      </c>
      <c r="B575" t="s">
        <v>17</v>
      </c>
      <c r="C575" t="s">
        <v>601</v>
      </c>
      <c r="D575" t="s">
        <v>157</v>
      </c>
      <c r="E575" t="s">
        <v>20</v>
      </c>
      <c r="F575">
        <v>0</v>
      </c>
      <c r="G575" t="s">
        <v>551</v>
      </c>
      <c r="H575" t="s">
        <v>21</v>
      </c>
      <c r="I575" t="s">
        <v>21</v>
      </c>
      <c r="J575" t="s">
        <v>23</v>
      </c>
      <c r="K575" t="s">
        <v>21</v>
      </c>
      <c r="L575" t="s">
        <v>43</v>
      </c>
      <c r="M575">
        <v>4</v>
      </c>
      <c r="N575" t="s">
        <v>25</v>
      </c>
      <c r="O575" t="s">
        <v>26</v>
      </c>
      <c r="P575" t="s">
        <v>349</v>
      </c>
      <c r="Q575" t="s">
        <v>165</v>
      </c>
    </row>
    <row r="576" spans="1:17" x14ac:dyDescent="0.3">
      <c r="A576">
        <v>981015</v>
      </c>
      <c r="B576" t="s">
        <v>38</v>
      </c>
      <c r="C576" t="s">
        <v>602</v>
      </c>
      <c r="D576" t="s">
        <v>537</v>
      </c>
      <c r="E576" t="s">
        <v>40</v>
      </c>
      <c r="F576">
        <v>0</v>
      </c>
      <c r="G576" t="s">
        <v>406</v>
      </c>
      <c r="H576" t="s">
        <v>22</v>
      </c>
      <c r="I576" t="s">
        <v>22</v>
      </c>
      <c r="J576" t="s">
        <v>23</v>
      </c>
      <c r="K576" t="s">
        <v>406</v>
      </c>
      <c r="L576" t="s">
        <v>24</v>
      </c>
      <c r="M576">
        <v>22</v>
      </c>
      <c r="N576" t="s">
        <v>25</v>
      </c>
      <c r="O576" t="s">
        <v>26</v>
      </c>
      <c r="P576" t="s">
        <v>155</v>
      </c>
      <c r="Q576" t="s">
        <v>387</v>
      </c>
    </row>
    <row r="577" spans="1:17" x14ac:dyDescent="0.3">
      <c r="A577">
        <v>981017</v>
      </c>
      <c r="B577" t="s">
        <v>38</v>
      </c>
      <c r="C577" t="s">
        <v>603</v>
      </c>
      <c r="D577" t="s">
        <v>251</v>
      </c>
      <c r="E577" t="s">
        <v>40</v>
      </c>
      <c r="F577">
        <v>0</v>
      </c>
      <c r="G577" t="s">
        <v>551</v>
      </c>
      <c r="H577" t="s">
        <v>406</v>
      </c>
      <c r="I577" t="s">
        <v>406</v>
      </c>
      <c r="J577" t="s">
        <v>23</v>
      </c>
      <c r="K577" t="s">
        <v>406</v>
      </c>
      <c r="L577" t="s">
        <v>43</v>
      </c>
      <c r="M577">
        <v>4</v>
      </c>
      <c r="N577" t="s">
        <v>25</v>
      </c>
      <c r="O577" t="s">
        <v>26</v>
      </c>
      <c r="P577" t="s">
        <v>155</v>
      </c>
      <c r="Q577" t="s">
        <v>418</v>
      </c>
    </row>
    <row r="578" spans="1:17" x14ac:dyDescent="0.3">
      <c r="A578">
        <v>981019</v>
      </c>
      <c r="B578" t="s">
        <v>17</v>
      </c>
      <c r="C578" t="s">
        <v>604</v>
      </c>
      <c r="D578" t="s">
        <v>605</v>
      </c>
      <c r="E578" t="s">
        <v>20</v>
      </c>
      <c r="F578">
        <v>0</v>
      </c>
      <c r="G578" t="s">
        <v>21</v>
      </c>
      <c r="H578" t="s">
        <v>406</v>
      </c>
      <c r="I578" t="s">
        <v>406</v>
      </c>
      <c r="J578" t="s">
        <v>35</v>
      </c>
      <c r="K578" t="s">
        <v>406</v>
      </c>
      <c r="L578" t="s">
        <v>24</v>
      </c>
      <c r="M578">
        <v>8</v>
      </c>
      <c r="N578" t="s">
        <v>25</v>
      </c>
      <c r="O578" t="s">
        <v>26</v>
      </c>
      <c r="P578" t="s">
        <v>165</v>
      </c>
      <c r="Q578" t="s">
        <v>359</v>
      </c>
    </row>
    <row r="579" spans="1:17" x14ac:dyDescent="0.3">
      <c r="A579">
        <v>1082591</v>
      </c>
      <c r="B579" t="s">
        <v>64</v>
      </c>
      <c r="C579" s="1">
        <v>42859</v>
      </c>
      <c r="D579" t="s">
        <v>182</v>
      </c>
      <c r="E579" t="s">
        <v>67</v>
      </c>
      <c r="F579">
        <v>0</v>
      </c>
      <c r="G579" t="s">
        <v>406</v>
      </c>
      <c r="H579" t="s">
        <v>21</v>
      </c>
      <c r="I579" t="s">
        <v>21</v>
      </c>
      <c r="J579" t="s">
        <v>23</v>
      </c>
      <c r="K579" t="s">
        <v>406</v>
      </c>
      <c r="L579" t="s">
        <v>24</v>
      </c>
      <c r="M579">
        <v>35</v>
      </c>
      <c r="N579" t="s">
        <v>25</v>
      </c>
      <c r="O579" t="s">
        <v>26</v>
      </c>
      <c r="P579" t="s">
        <v>576</v>
      </c>
      <c r="Q579" t="s">
        <v>441</v>
      </c>
    </row>
    <row r="580" spans="1:17" x14ac:dyDescent="0.3">
      <c r="A580">
        <v>1082592</v>
      </c>
      <c r="B580" t="s">
        <v>355</v>
      </c>
      <c r="C580" s="1">
        <v>42890</v>
      </c>
      <c r="D580" t="s">
        <v>348</v>
      </c>
      <c r="E580" t="s">
        <v>504</v>
      </c>
      <c r="F580">
        <v>0</v>
      </c>
      <c r="G580" t="s">
        <v>606</v>
      </c>
      <c r="H580" t="s">
        <v>50</v>
      </c>
      <c r="I580" t="s">
        <v>606</v>
      </c>
      <c r="J580" t="s">
        <v>23</v>
      </c>
      <c r="K580" t="s">
        <v>606</v>
      </c>
      <c r="L580" t="s">
        <v>43</v>
      </c>
      <c r="M580">
        <v>7</v>
      </c>
      <c r="N580" t="s">
        <v>25</v>
      </c>
      <c r="O580" t="s">
        <v>26</v>
      </c>
      <c r="P580" t="s">
        <v>562</v>
      </c>
      <c r="Q580" t="s">
        <v>183</v>
      </c>
    </row>
    <row r="581" spans="1:17" x14ac:dyDescent="0.3">
      <c r="A581">
        <v>1082593</v>
      </c>
      <c r="B581" t="s">
        <v>555</v>
      </c>
      <c r="C581" s="1">
        <v>42920</v>
      </c>
      <c r="D581" t="s">
        <v>473</v>
      </c>
      <c r="E581" t="s">
        <v>557</v>
      </c>
      <c r="F581">
        <v>0</v>
      </c>
      <c r="G581" t="s">
        <v>551</v>
      </c>
      <c r="H581" t="s">
        <v>22</v>
      </c>
      <c r="I581" t="s">
        <v>22</v>
      </c>
      <c r="J581" t="s">
        <v>23</v>
      </c>
      <c r="K581" t="s">
        <v>22</v>
      </c>
      <c r="L581" t="s">
        <v>43</v>
      </c>
      <c r="M581">
        <v>10</v>
      </c>
      <c r="N581" t="s">
        <v>25</v>
      </c>
      <c r="O581" t="s">
        <v>26</v>
      </c>
      <c r="P581" t="s">
        <v>554</v>
      </c>
      <c r="Q581" t="s">
        <v>418</v>
      </c>
    </row>
    <row r="582" spans="1:17" x14ac:dyDescent="0.3">
      <c r="A582">
        <v>1082594</v>
      </c>
      <c r="B582" t="s">
        <v>327</v>
      </c>
      <c r="C582" s="1">
        <v>42951</v>
      </c>
      <c r="D582" t="s">
        <v>465</v>
      </c>
      <c r="E582" t="s">
        <v>329</v>
      </c>
      <c r="F582">
        <v>0</v>
      </c>
      <c r="G582" t="s">
        <v>33</v>
      </c>
      <c r="H582" t="s">
        <v>606</v>
      </c>
      <c r="I582" t="s">
        <v>33</v>
      </c>
      <c r="J582" t="s">
        <v>23</v>
      </c>
      <c r="K582" t="s">
        <v>33</v>
      </c>
      <c r="L582" t="s">
        <v>43</v>
      </c>
      <c r="M582">
        <v>6</v>
      </c>
      <c r="N582" t="s">
        <v>25</v>
      </c>
      <c r="O582" t="s">
        <v>26</v>
      </c>
      <c r="P582" t="s">
        <v>349</v>
      </c>
      <c r="Q582" t="s">
        <v>387</v>
      </c>
    </row>
    <row r="583" spans="1:17" x14ac:dyDescent="0.3">
      <c r="A583">
        <v>1082595</v>
      </c>
      <c r="B583" t="s">
        <v>607</v>
      </c>
      <c r="C583" s="1">
        <v>42951</v>
      </c>
      <c r="D583" t="s">
        <v>247</v>
      </c>
      <c r="E583" t="s">
        <v>608</v>
      </c>
      <c r="F583">
        <v>0</v>
      </c>
      <c r="G583" t="s">
        <v>21</v>
      </c>
      <c r="H583" t="s">
        <v>41</v>
      </c>
      <c r="I583" t="s">
        <v>21</v>
      </c>
      <c r="J583" t="s">
        <v>35</v>
      </c>
      <c r="K583" t="s">
        <v>21</v>
      </c>
      <c r="L583" t="s">
        <v>24</v>
      </c>
      <c r="M583">
        <v>15</v>
      </c>
      <c r="N583" t="s">
        <v>25</v>
      </c>
      <c r="O583" t="s">
        <v>26</v>
      </c>
      <c r="P583" t="s">
        <v>183</v>
      </c>
      <c r="Q583" t="s">
        <v>552</v>
      </c>
    </row>
    <row r="584" spans="1:17" x14ac:dyDescent="0.3">
      <c r="A584">
        <v>1082596</v>
      </c>
      <c r="B584" t="s">
        <v>64</v>
      </c>
      <c r="C584" s="1">
        <v>42982</v>
      </c>
      <c r="D584" t="s">
        <v>609</v>
      </c>
      <c r="E584" t="s">
        <v>67</v>
      </c>
      <c r="F584">
        <v>0</v>
      </c>
      <c r="G584" t="s">
        <v>406</v>
      </c>
      <c r="H584" t="s">
        <v>551</v>
      </c>
      <c r="I584" t="s">
        <v>406</v>
      </c>
      <c r="J584" t="s">
        <v>23</v>
      </c>
      <c r="K584" t="s">
        <v>406</v>
      </c>
      <c r="L584" t="s">
        <v>43</v>
      </c>
      <c r="M584">
        <v>9</v>
      </c>
      <c r="N584" t="s">
        <v>25</v>
      </c>
      <c r="O584" t="s">
        <v>26</v>
      </c>
      <c r="P584" t="s">
        <v>610</v>
      </c>
      <c r="Q584" t="s">
        <v>441</v>
      </c>
    </row>
    <row r="585" spans="1:17" x14ac:dyDescent="0.3">
      <c r="A585">
        <v>1082597</v>
      </c>
      <c r="B585" t="s">
        <v>46</v>
      </c>
      <c r="C585" s="1">
        <v>42982</v>
      </c>
      <c r="D585" t="s">
        <v>611</v>
      </c>
      <c r="E585" t="s">
        <v>49</v>
      </c>
      <c r="F585">
        <v>0</v>
      </c>
      <c r="G585" t="s">
        <v>50</v>
      </c>
      <c r="H585" t="s">
        <v>22</v>
      </c>
      <c r="I585" t="s">
        <v>50</v>
      </c>
      <c r="J585" t="s">
        <v>23</v>
      </c>
      <c r="K585" t="s">
        <v>50</v>
      </c>
      <c r="L585" t="s">
        <v>43</v>
      </c>
      <c r="M585">
        <v>4</v>
      </c>
      <c r="N585" t="s">
        <v>25</v>
      </c>
      <c r="O585" t="s">
        <v>26</v>
      </c>
      <c r="P585" t="s">
        <v>554</v>
      </c>
      <c r="Q585" t="s">
        <v>418</v>
      </c>
    </row>
    <row r="586" spans="1:17" x14ac:dyDescent="0.3">
      <c r="A586">
        <v>1082598</v>
      </c>
      <c r="B586" t="s">
        <v>327</v>
      </c>
      <c r="C586" s="1">
        <v>43012</v>
      </c>
      <c r="D586" t="s">
        <v>493</v>
      </c>
      <c r="E586" t="s">
        <v>329</v>
      </c>
      <c r="F586">
        <v>0</v>
      </c>
      <c r="G586" t="s">
        <v>33</v>
      </c>
      <c r="H586" t="s">
        <v>21</v>
      </c>
      <c r="I586" t="s">
        <v>21</v>
      </c>
      <c r="J586" t="s">
        <v>35</v>
      </c>
      <c r="K586" t="s">
        <v>33</v>
      </c>
      <c r="L586" t="s">
        <v>43</v>
      </c>
      <c r="M586">
        <v>8</v>
      </c>
      <c r="N586" t="s">
        <v>25</v>
      </c>
      <c r="O586" t="s">
        <v>26</v>
      </c>
      <c r="P586" t="s">
        <v>349</v>
      </c>
      <c r="Q586" t="s">
        <v>387</v>
      </c>
    </row>
    <row r="587" spans="1:17" x14ac:dyDescent="0.3">
      <c r="A587">
        <v>1082599</v>
      </c>
      <c r="B587" t="s">
        <v>355</v>
      </c>
      <c r="C587" s="1">
        <v>43043</v>
      </c>
      <c r="D587" t="s">
        <v>436</v>
      </c>
      <c r="E587" t="s">
        <v>504</v>
      </c>
      <c r="F587">
        <v>0</v>
      </c>
      <c r="G587" t="s">
        <v>606</v>
      </c>
      <c r="H587" t="s">
        <v>41</v>
      </c>
      <c r="I587" t="s">
        <v>606</v>
      </c>
      <c r="J587" t="s">
        <v>23</v>
      </c>
      <c r="K587" t="s">
        <v>41</v>
      </c>
      <c r="L587" t="s">
        <v>24</v>
      </c>
      <c r="M587">
        <v>97</v>
      </c>
      <c r="N587" t="s">
        <v>25</v>
      </c>
      <c r="O587" t="s">
        <v>26</v>
      </c>
      <c r="P587" t="s">
        <v>576</v>
      </c>
      <c r="Q587" t="s">
        <v>183</v>
      </c>
    </row>
    <row r="588" spans="1:17" x14ac:dyDescent="0.3">
      <c r="A588">
        <v>1082600</v>
      </c>
      <c r="B588" t="s">
        <v>46</v>
      </c>
      <c r="C588" s="1">
        <v>43073</v>
      </c>
      <c r="D588" t="s">
        <v>612</v>
      </c>
      <c r="E588" t="s">
        <v>49</v>
      </c>
      <c r="F588">
        <v>0</v>
      </c>
      <c r="G588" t="s">
        <v>50</v>
      </c>
      <c r="H588" t="s">
        <v>406</v>
      </c>
      <c r="I588" t="s">
        <v>50</v>
      </c>
      <c r="J588" t="s">
        <v>23</v>
      </c>
      <c r="K588" t="s">
        <v>50</v>
      </c>
      <c r="L588" t="s">
        <v>43</v>
      </c>
      <c r="M588">
        <v>4</v>
      </c>
      <c r="N588" t="s">
        <v>25</v>
      </c>
      <c r="O588" t="s">
        <v>26</v>
      </c>
      <c r="P588" t="s">
        <v>554</v>
      </c>
      <c r="Q588" t="s">
        <v>418</v>
      </c>
    </row>
    <row r="589" spans="1:17" x14ac:dyDescent="0.3">
      <c r="A589">
        <v>1082601</v>
      </c>
      <c r="B589" t="s">
        <v>53</v>
      </c>
      <c r="C589" t="s">
        <v>613</v>
      </c>
      <c r="D589" t="s">
        <v>368</v>
      </c>
      <c r="E589" t="s">
        <v>55</v>
      </c>
      <c r="F589">
        <v>0</v>
      </c>
      <c r="G589" t="s">
        <v>22</v>
      </c>
      <c r="H589" t="s">
        <v>33</v>
      </c>
      <c r="I589" t="s">
        <v>22</v>
      </c>
      <c r="J589" t="s">
        <v>23</v>
      </c>
      <c r="K589" t="s">
        <v>22</v>
      </c>
      <c r="L589" t="s">
        <v>43</v>
      </c>
      <c r="M589">
        <v>8</v>
      </c>
      <c r="N589" t="s">
        <v>25</v>
      </c>
      <c r="O589" t="s">
        <v>26</v>
      </c>
      <c r="P589" t="s">
        <v>610</v>
      </c>
      <c r="Q589" t="s">
        <v>441</v>
      </c>
    </row>
    <row r="590" spans="1:17" x14ac:dyDescent="0.3">
      <c r="A590">
        <v>1082602</v>
      </c>
      <c r="B590" t="s">
        <v>17</v>
      </c>
      <c r="C590" t="s">
        <v>614</v>
      </c>
      <c r="D590" t="s">
        <v>267</v>
      </c>
      <c r="E590" t="s">
        <v>20</v>
      </c>
      <c r="F590">
        <v>0</v>
      </c>
      <c r="G590" t="s">
        <v>21</v>
      </c>
      <c r="H590" t="s">
        <v>50</v>
      </c>
      <c r="I590" t="s">
        <v>50</v>
      </c>
      <c r="J590" t="s">
        <v>23</v>
      </c>
      <c r="K590" t="s">
        <v>50</v>
      </c>
      <c r="L590" t="s">
        <v>43</v>
      </c>
      <c r="M590">
        <v>4</v>
      </c>
      <c r="N590" t="s">
        <v>25</v>
      </c>
      <c r="O590" t="s">
        <v>26</v>
      </c>
      <c r="P590" t="s">
        <v>583</v>
      </c>
      <c r="Q590" t="s">
        <v>349</v>
      </c>
    </row>
    <row r="591" spans="1:17" x14ac:dyDescent="0.3">
      <c r="A591">
        <v>1082603</v>
      </c>
      <c r="B591" t="s">
        <v>555</v>
      </c>
      <c r="C591" t="s">
        <v>614</v>
      </c>
      <c r="D591" t="s">
        <v>615</v>
      </c>
      <c r="E591" t="s">
        <v>557</v>
      </c>
      <c r="F591">
        <v>0</v>
      </c>
      <c r="G591" t="s">
        <v>551</v>
      </c>
      <c r="H591" t="s">
        <v>606</v>
      </c>
      <c r="I591" t="s">
        <v>551</v>
      </c>
      <c r="J591" t="s">
        <v>23</v>
      </c>
      <c r="K591" t="s">
        <v>551</v>
      </c>
      <c r="L591" t="s">
        <v>43</v>
      </c>
      <c r="M591">
        <v>7</v>
      </c>
      <c r="N591" t="s">
        <v>25</v>
      </c>
      <c r="O591" t="s">
        <v>26</v>
      </c>
      <c r="P591" t="s">
        <v>562</v>
      </c>
      <c r="Q591" t="s">
        <v>183</v>
      </c>
    </row>
    <row r="592" spans="1:17" x14ac:dyDescent="0.3">
      <c r="A592">
        <v>1082604</v>
      </c>
      <c r="B592" t="s">
        <v>53</v>
      </c>
      <c r="C592" t="s">
        <v>616</v>
      </c>
      <c r="D592" t="s">
        <v>241</v>
      </c>
      <c r="E592" t="s">
        <v>55</v>
      </c>
      <c r="F592">
        <v>0</v>
      </c>
      <c r="G592" t="s">
        <v>22</v>
      </c>
      <c r="H592" t="s">
        <v>406</v>
      </c>
      <c r="I592" t="s">
        <v>406</v>
      </c>
      <c r="J592" t="s">
        <v>23</v>
      </c>
      <c r="K592" t="s">
        <v>22</v>
      </c>
      <c r="L592" t="s">
        <v>24</v>
      </c>
      <c r="M592">
        <v>17</v>
      </c>
      <c r="N592" t="s">
        <v>25</v>
      </c>
      <c r="O592" t="s">
        <v>26</v>
      </c>
      <c r="P592" t="s">
        <v>576</v>
      </c>
      <c r="Q592" t="s">
        <v>441</v>
      </c>
    </row>
    <row r="593" spans="1:17" x14ac:dyDescent="0.3">
      <c r="A593">
        <v>1082605</v>
      </c>
      <c r="B593" t="s">
        <v>38</v>
      </c>
      <c r="C593" t="s">
        <v>616</v>
      </c>
      <c r="D593" t="s">
        <v>484</v>
      </c>
      <c r="E593" t="s">
        <v>40</v>
      </c>
      <c r="F593">
        <v>0</v>
      </c>
      <c r="G593" t="s">
        <v>41</v>
      </c>
      <c r="H593" t="s">
        <v>33</v>
      </c>
      <c r="I593" t="s">
        <v>41</v>
      </c>
      <c r="J593" t="s">
        <v>35</v>
      </c>
      <c r="K593" t="s">
        <v>41</v>
      </c>
      <c r="L593" t="s">
        <v>24</v>
      </c>
      <c r="M593">
        <v>51</v>
      </c>
      <c r="N593" t="s">
        <v>25</v>
      </c>
      <c r="O593" t="s">
        <v>26</v>
      </c>
      <c r="P593" t="s">
        <v>617</v>
      </c>
      <c r="Q593" t="s">
        <v>554</v>
      </c>
    </row>
    <row r="594" spans="1:17" x14ac:dyDescent="0.3">
      <c r="A594">
        <v>1082606</v>
      </c>
      <c r="B594" t="s">
        <v>46</v>
      </c>
      <c r="C594" t="s">
        <v>618</v>
      </c>
      <c r="D594" t="s">
        <v>611</v>
      </c>
      <c r="E594" t="s">
        <v>49</v>
      </c>
      <c r="F594">
        <v>0</v>
      </c>
      <c r="G594" t="s">
        <v>50</v>
      </c>
      <c r="H594" t="s">
        <v>551</v>
      </c>
      <c r="I594" t="s">
        <v>50</v>
      </c>
      <c r="J594" t="s">
        <v>23</v>
      </c>
      <c r="K594" t="s">
        <v>50</v>
      </c>
      <c r="L594" t="s">
        <v>43</v>
      </c>
      <c r="M594">
        <v>6</v>
      </c>
      <c r="N594" t="s">
        <v>25</v>
      </c>
      <c r="O594" t="s">
        <v>26</v>
      </c>
      <c r="P594" t="s">
        <v>562</v>
      </c>
      <c r="Q594" t="s">
        <v>183</v>
      </c>
    </row>
    <row r="595" spans="1:17" x14ac:dyDescent="0.3">
      <c r="A595">
        <v>1082607</v>
      </c>
      <c r="B595" t="s">
        <v>17</v>
      </c>
      <c r="C595" t="s">
        <v>618</v>
      </c>
      <c r="D595" t="s">
        <v>619</v>
      </c>
      <c r="E595" t="s">
        <v>20</v>
      </c>
      <c r="F595">
        <v>0</v>
      </c>
      <c r="G595" t="s">
        <v>21</v>
      </c>
      <c r="H595" t="s">
        <v>606</v>
      </c>
      <c r="I595" t="s">
        <v>21</v>
      </c>
      <c r="J595" t="s">
        <v>23</v>
      </c>
      <c r="K595" t="s">
        <v>606</v>
      </c>
      <c r="L595" t="s">
        <v>24</v>
      </c>
      <c r="M595">
        <v>27</v>
      </c>
      <c r="N595" t="s">
        <v>25</v>
      </c>
      <c r="O595" t="s">
        <v>26</v>
      </c>
      <c r="P595" t="s">
        <v>583</v>
      </c>
      <c r="Q595" t="s">
        <v>387</v>
      </c>
    </row>
    <row r="596" spans="1:17" x14ac:dyDescent="0.3">
      <c r="A596">
        <v>1082608</v>
      </c>
      <c r="B596" t="s">
        <v>38</v>
      </c>
      <c r="C596" t="s">
        <v>620</v>
      </c>
      <c r="D596" t="s">
        <v>534</v>
      </c>
      <c r="E596" t="s">
        <v>40</v>
      </c>
      <c r="F596">
        <v>0</v>
      </c>
      <c r="G596" t="s">
        <v>41</v>
      </c>
      <c r="H596" t="s">
        <v>22</v>
      </c>
      <c r="I596" t="s">
        <v>41</v>
      </c>
      <c r="J596" t="s">
        <v>35</v>
      </c>
      <c r="K596" t="s">
        <v>22</v>
      </c>
      <c r="L596" t="s">
        <v>43</v>
      </c>
      <c r="M596">
        <v>4</v>
      </c>
      <c r="N596" t="s">
        <v>25</v>
      </c>
      <c r="O596" t="s">
        <v>26</v>
      </c>
      <c r="P596" t="s">
        <v>554</v>
      </c>
      <c r="Q596" t="s">
        <v>418</v>
      </c>
    </row>
    <row r="597" spans="1:17" x14ac:dyDescent="0.3">
      <c r="A597">
        <v>1082609</v>
      </c>
      <c r="B597" t="s">
        <v>64</v>
      </c>
      <c r="C597" t="s">
        <v>620</v>
      </c>
      <c r="D597" t="s">
        <v>483</v>
      </c>
      <c r="E597" t="s">
        <v>67</v>
      </c>
      <c r="F597">
        <v>0</v>
      </c>
      <c r="G597" t="s">
        <v>406</v>
      </c>
      <c r="H597" t="s">
        <v>33</v>
      </c>
      <c r="I597" t="s">
        <v>33</v>
      </c>
      <c r="J597" t="s">
        <v>23</v>
      </c>
      <c r="K597" t="s">
        <v>406</v>
      </c>
      <c r="L597" t="s">
        <v>24</v>
      </c>
      <c r="M597">
        <v>5</v>
      </c>
      <c r="N597" t="s">
        <v>25</v>
      </c>
      <c r="O597" t="s">
        <v>26</v>
      </c>
      <c r="P597" t="s">
        <v>576</v>
      </c>
      <c r="Q597" t="s">
        <v>610</v>
      </c>
    </row>
    <row r="598" spans="1:17" x14ac:dyDescent="0.3">
      <c r="A598">
        <v>1082610</v>
      </c>
      <c r="B598" t="s">
        <v>555</v>
      </c>
      <c r="C598" t="s">
        <v>621</v>
      </c>
      <c r="D598" t="s">
        <v>152</v>
      </c>
      <c r="E598" t="s">
        <v>557</v>
      </c>
      <c r="F598">
        <v>0</v>
      </c>
      <c r="G598" t="s">
        <v>551</v>
      </c>
      <c r="H598" t="s">
        <v>21</v>
      </c>
      <c r="I598" t="s">
        <v>551</v>
      </c>
      <c r="J598" t="s">
        <v>23</v>
      </c>
      <c r="K598" t="s">
        <v>21</v>
      </c>
      <c r="L598" t="s">
        <v>24</v>
      </c>
      <c r="M598">
        <v>21</v>
      </c>
      <c r="N598" t="s">
        <v>25</v>
      </c>
      <c r="O598" t="s">
        <v>26</v>
      </c>
      <c r="P598" t="s">
        <v>183</v>
      </c>
      <c r="Q598" t="s">
        <v>552</v>
      </c>
    </row>
    <row r="599" spans="1:17" x14ac:dyDescent="0.3">
      <c r="A599">
        <v>1082611</v>
      </c>
      <c r="B599" t="s">
        <v>64</v>
      </c>
      <c r="C599" t="s">
        <v>622</v>
      </c>
      <c r="D599" t="s">
        <v>623</v>
      </c>
      <c r="E599" t="s">
        <v>67</v>
      </c>
      <c r="F599">
        <v>0</v>
      </c>
      <c r="G599" t="s">
        <v>406</v>
      </c>
      <c r="H599" t="s">
        <v>41</v>
      </c>
      <c r="I599" t="s">
        <v>406</v>
      </c>
      <c r="J599" t="s">
        <v>35</v>
      </c>
      <c r="K599" t="s">
        <v>406</v>
      </c>
      <c r="L599" t="s">
        <v>24</v>
      </c>
      <c r="M599">
        <v>15</v>
      </c>
      <c r="N599" t="s">
        <v>25</v>
      </c>
      <c r="O599" t="s">
        <v>26</v>
      </c>
      <c r="P599" t="s">
        <v>506</v>
      </c>
      <c r="Q599" t="s">
        <v>441</v>
      </c>
    </row>
    <row r="600" spans="1:17" x14ac:dyDescent="0.3">
      <c r="A600">
        <v>1082612</v>
      </c>
      <c r="B600" t="s">
        <v>327</v>
      </c>
      <c r="C600" t="s">
        <v>624</v>
      </c>
      <c r="D600" t="s">
        <v>625</v>
      </c>
      <c r="E600" t="s">
        <v>329</v>
      </c>
      <c r="F600">
        <v>0</v>
      </c>
      <c r="G600" t="s">
        <v>33</v>
      </c>
      <c r="H600" t="s">
        <v>50</v>
      </c>
      <c r="I600" t="s">
        <v>50</v>
      </c>
      <c r="J600" t="s">
        <v>23</v>
      </c>
      <c r="K600" t="s">
        <v>50</v>
      </c>
      <c r="L600" t="s">
        <v>43</v>
      </c>
      <c r="M600">
        <v>8</v>
      </c>
      <c r="N600" t="s">
        <v>25</v>
      </c>
      <c r="O600" t="s">
        <v>26</v>
      </c>
      <c r="P600" t="s">
        <v>155</v>
      </c>
      <c r="Q600" t="s">
        <v>387</v>
      </c>
    </row>
    <row r="601" spans="1:17" x14ac:dyDescent="0.3">
      <c r="A601">
        <v>1082613</v>
      </c>
      <c r="B601" t="s">
        <v>53</v>
      </c>
      <c r="C601" t="s">
        <v>626</v>
      </c>
      <c r="D601" t="s">
        <v>133</v>
      </c>
      <c r="E601" t="s">
        <v>55</v>
      </c>
      <c r="F601">
        <v>0</v>
      </c>
      <c r="G601" t="s">
        <v>22</v>
      </c>
      <c r="H601" t="s">
        <v>551</v>
      </c>
      <c r="I601" t="s">
        <v>551</v>
      </c>
      <c r="J601" t="s">
        <v>23</v>
      </c>
      <c r="K601" t="s">
        <v>551</v>
      </c>
      <c r="L601" t="s">
        <v>43</v>
      </c>
      <c r="M601">
        <v>4</v>
      </c>
      <c r="N601" t="s">
        <v>25</v>
      </c>
      <c r="O601" t="s">
        <v>26</v>
      </c>
      <c r="P601" t="s">
        <v>506</v>
      </c>
      <c r="Q601" t="s">
        <v>554</v>
      </c>
    </row>
    <row r="602" spans="1:17" x14ac:dyDescent="0.3">
      <c r="A602">
        <v>1082614</v>
      </c>
      <c r="B602" t="s">
        <v>46</v>
      </c>
      <c r="C602" t="s">
        <v>627</v>
      </c>
      <c r="D602" t="s">
        <v>544</v>
      </c>
      <c r="E602" t="s">
        <v>49</v>
      </c>
      <c r="F602">
        <v>0</v>
      </c>
      <c r="G602" t="s">
        <v>50</v>
      </c>
      <c r="H602" t="s">
        <v>41</v>
      </c>
      <c r="I602" t="s">
        <v>41</v>
      </c>
      <c r="J602" t="s">
        <v>23</v>
      </c>
      <c r="K602" t="s">
        <v>50</v>
      </c>
      <c r="L602" t="s">
        <v>24</v>
      </c>
      <c r="M602">
        <v>14</v>
      </c>
      <c r="N602" t="s">
        <v>25</v>
      </c>
      <c r="O602" t="s">
        <v>26</v>
      </c>
      <c r="P602" t="s">
        <v>562</v>
      </c>
      <c r="Q602" t="s">
        <v>183</v>
      </c>
    </row>
    <row r="603" spans="1:17" x14ac:dyDescent="0.3">
      <c r="A603">
        <v>1082615</v>
      </c>
      <c r="B603" t="s">
        <v>355</v>
      </c>
      <c r="C603" t="s">
        <v>627</v>
      </c>
      <c r="D603" t="s">
        <v>87</v>
      </c>
      <c r="E603" t="s">
        <v>504</v>
      </c>
      <c r="F603">
        <v>0</v>
      </c>
      <c r="G603" t="s">
        <v>606</v>
      </c>
      <c r="H603" t="s">
        <v>406</v>
      </c>
      <c r="I603" t="s">
        <v>606</v>
      </c>
      <c r="J603" t="s">
        <v>23</v>
      </c>
      <c r="K603" t="s">
        <v>606</v>
      </c>
      <c r="L603" t="s">
        <v>43</v>
      </c>
      <c r="M603">
        <v>6</v>
      </c>
      <c r="N603" t="s">
        <v>25</v>
      </c>
      <c r="O603" t="s">
        <v>26</v>
      </c>
      <c r="P603" t="s">
        <v>576</v>
      </c>
      <c r="Q603" t="s">
        <v>610</v>
      </c>
    </row>
    <row r="604" spans="1:17" x14ac:dyDescent="0.3">
      <c r="A604">
        <v>1082616</v>
      </c>
      <c r="B604" t="s">
        <v>555</v>
      </c>
      <c r="C604" t="s">
        <v>628</v>
      </c>
      <c r="D604" t="s">
        <v>591</v>
      </c>
      <c r="E604" t="s">
        <v>557</v>
      </c>
      <c r="F604">
        <v>0</v>
      </c>
      <c r="G604" t="s">
        <v>551</v>
      </c>
      <c r="H604" t="s">
        <v>33</v>
      </c>
      <c r="I604" t="s">
        <v>551</v>
      </c>
      <c r="J604" t="s">
        <v>23</v>
      </c>
      <c r="K604" t="s">
        <v>33</v>
      </c>
      <c r="L604" t="s">
        <v>24</v>
      </c>
      <c r="M604">
        <v>26</v>
      </c>
      <c r="N604" t="s">
        <v>25</v>
      </c>
      <c r="O604" t="s">
        <v>26</v>
      </c>
      <c r="P604" t="s">
        <v>349</v>
      </c>
      <c r="Q604" t="s">
        <v>155</v>
      </c>
    </row>
    <row r="605" spans="1:17" x14ac:dyDescent="0.3">
      <c r="A605">
        <v>1082617</v>
      </c>
      <c r="B605" t="s">
        <v>53</v>
      </c>
      <c r="C605" t="s">
        <v>628</v>
      </c>
      <c r="D605" t="s">
        <v>534</v>
      </c>
      <c r="E605" t="s">
        <v>55</v>
      </c>
      <c r="F605">
        <v>0</v>
      </c>
      <c r="G605" t="s">
        <v>22</v>
      </c>
      <c r="H605" t="s">
        <v>21</v>
      </c>
      <c r="I605" t="s">
        <v>21</v>
      </c>
      <c r="J605" t="s">
        <v>23</v>
      </c>
      <c r="K605" t="s">
        <v>22</v>
      </c>
      <c r="L605" t="s">
        <v>24</v>
      </c>
      <c r="M605">
        <v>82</v>
      </c>
      <c r="N605" t="s">
        <v>25</v>
      </c>
      <c r="O605" t="s">
        <v>26</v>
      </c>
      <c r="P605" t="s">
        <v>506</v>
      </c>
      <c r="Q605" t="s">
        <v>418</v>
      </c>
    </row>
    <row r="606" spans="1:17" x14ac:dyDescent="0.3">
      <c r="A606">
        <v>1082618</v>
      </c>
      <c r="B606" t="s">
        <v>46</v>
      </c>
      <c r="C606" t="s">
        <v>629</v>
      </c>
      <c r="D606" t="s">
        <v>619</v>
      </c>
      <c r="E606" t="s">
        <v>49</v>
      </c>
      <c r="F606">
        <v>0</v>
      </c>
      <c r="G606" t="s">
        <v>50</v>
      </c>
      <c r="H606" t="s">
        <v>606</v>
      </c>
      <c r="I606" t="s">
        <v>50</v>
      </c>
      <c r="J606" t="s">
        <v>23</v>
      </c>
      <c r="K606" t="s">
        <v>606</v>
      </c>
      <c r="L606" t="s">
        <v>24</v>
      </c>
      <c r="M606">
        <v>3</v>
      </c>
      <c r="N606" t="s">
        <v>25</v>
      </c>
      <c r="O606" t="s">
        <v>26</v>
      </c>
      <c r="P606" t="s">
        <v>562</v>
      </c>
      <c r="Q606" t="s">
        <v>183</v>
      </c>
    </row>
    <row r="607" spans="1:17" x14ac:dyDescent="0.3">
      <c r="A607">
        <v>1082620</v>
      </c>
      <c r="B607" t="s">
        <v>355</v>
      </c>
      <c r="C607" t="s">
        <v>630</v>
      </c>
      <c r="D607" t="s">
        <v>241</v>
      </c>
      <c r="E607" t="s">
        <v>504</v>
      </c>
      <c r="F607">
        <v>0</v>
      </c>
      <c r="G607" t="s">
        <v>606</v>
      </c>
      <c r="H607" t="s">
        <v>22</v>
      </c>
      <c r="I607" t="s">
        <v>22</v>
      </c>
      <c r="J607" t="s">
        <v>23</v>
      </c>
      <c r="K607" t="s">
        <v>22</v>
      </c>
      <c r="L607" t="s">
        <v>43</v>
      </c>
      <c r="M607">
        <v>7</v>
      </c>
      <c r="N607" t="s">
        <v>25</v>
      </c>
      <c r="O607" t="s">
        <v>26</v>
      </c>
      <c r="P607" t="s">
        <v>576</v>
      </c>
      <c r="Q607" t="s">
        <v>441</v>
      </c>
    </row>
    <row r="608" spans="1:17" x14ac:dyDescent="0.3">
      <c r="A608">
        <v>1082621</v>
      </c>
      <c r="B608" t="s">
        <v>17</v>
      </c>
      <c r="C608" t="s">
        <v>631</v>
      </c>
      <c r="D608" t="s">
        <v>615</v>
      </c>
      <c r="E608" t="s">
        <v>20</v>
      </c>
      <c r="F608">
        <v>0</v>
      </c>
      <c r="G608" t="s">
        <v>21</v>
      </c>
      <c r="H608" t="s">
        <v>551</v>
      </c>
      <c r="I608" t="s">
        <v>551</v>
      </c>
      <c r="J608" t="s">
        <v>23</v>
      </c>
      <c r="K608" t="s">
        <v>551</v>
      </c>
      <c r="L608" t="s">
        <v>43</v>
      </c>
      <c r="M608">
        <v>7</v>
      </c>
      <c r="N608" t="s">
        <v>25</v>
      </c>
      <c r="O608" t="s">
        <v>26</v>
      </c>
      <c r="P608" t="s">
        <v>349</v>
      </c>
      <c r="Q608" t="s">
        <v>387</v>
      </c>
    </row>
    <row r="609" spans="1:17" x14ac:dyDescent="0.3">
      <c r="A609">
        <v>1082622</v>
      </c>
      <c r="B609" t="s">
        <v>53</v>
      </c>
      <c r="C609" t="s">
        <v>632</v>
      </c>
      <c r="D609" t="s">
        <v>189</v>
      </c>
      <c r="E609" t="s">
        <v>55</v>
      </c>
      <c r="F609">
        <v>0</v>
      </c>
      <c r="G609" t="s">
        <v>22</v>
      </c>
      <c r="H609" t="s">
        <v>41</v>
      </c>
      <c r="I609" t="s">
        <v>22</v>
      </c>
      <c r="J609" t="s">
        <v>23</v>
      </c>
      <c r="K609" t="s">
        <v>22</v>
      </c>
      <c r="L609" t="s">
        <v>43</v>
      </c>
      <c r="M609">
        <v>7</v>
      </c>
      <c r="N609" t="s">
        <v>25</v>
      </c>
      <c r="O609" t="s">
        <v>26</v>
      </c>
      <c r="P609" t="s">
        <v>441</v>
      </c>
      <c r="Q609" t="s">
        <v>183</v>
      </c>
    </row>
    <row r="610" spans="1:17" x14ac:dyDescent="0.3">
      <c r="A610">
        <v>1082623</v>
      </c>
      <c r="B610" t="s">
        <v>29</v>
      </c>
      <c r="C610" t="s">
        <v>632</v>
      </c>
      <c r="D610" t="s">
        <v>609</v>
      </c>
      <c r="E610" t="s">
        <v>550</v>
      </c>
      <c r="F610">
        <v>0</v>
      </c>
      <c r="G610" t="s">
        <v>33</v>
      </c>
      <c r="H610" t="s">
        <v>406</v>
      </c>
      <c r="I610" t="s">
        <v>33</v>
      </c>
      <c r="J610" t="s">
        <v>23</v>
      </c>
      <c r="K610" t="s">
        <v>406</v>
      </c>
      <c r="L610" t="s">
        <v>24</v>
      </c>
      <c r="M610">
        <v>26</v>
      </c>
      <c r="N610" t="s">
        <v>25</v>
      </c>
      <c r="O610" t="s">
        <v>26</v>
      </c>
      <c r="P610" t="s">
        <v>554</v>
      </c>
      <c r="Q610" t="s">
        <v>418</v>
      </c>
    </row>
    <row r="611" spans="1:17" x14ac:dyDescent="0.3">
      <c r="A611">
        <v>1082624</v>
      </c>
      <c r="B611" t="s">
        <v>355</v>
      </c>
      <c r="C611" t="s">
        <v>633</v>
      </c>
      <c r="D611" t="s">
        <v>634</v>
      </c>
      <c r="E611" t="s">
        <v>504</v>
      </c>
      <c r="F611">
        <v>0</v>
      </c>
      <c r="G611" t="s">
        <v>606</v>
      </c>
      <c r="H611" t="s">
        <v>21</v>
      </c>
      <c r="I611" t="s">
        <v>21</v>
      </c>
      <c r="J611" t="s">
        <v>23</v>
      </c>
      <c r="K611" t="s">
        <v>606</v>
      </c>
      <c r="L611" t="s">
        <v>24</v>
      </c>
      <c r="M611">
        <v>61</v>
      </c>
      <c r="N611" t="s">
        <v>25</v>
      </c>
      <c r="O611" t="s">
        <v>26</v>
      </c>
      <c r="P611" t="s">
        <v>583</v>
      </c>
      <c r="Q611" t="s">
        <v>155</v>
      </c>
    </row>
    <row r="612" spans="1:17" x14ac:dyDescent="0.3">
      <c r="A612">
        <v>1082625</v>
      </c>
      <c r="B612" t="s">
        <v>555</v>
      </c>
      <c r="C612" t="s">
        <v>633</v>
      </c>
      <c r="D612" t="s">
        <v>587</v>
      </c>
      <c r="E612" t="s">
        <v>557</v>
      </c>
      <c r="F612">
        <v>0</v>
      </c>
      <c r="G612" t="s">
        <v>551</v>
      </c>
      <c r="H612" t="s">
        <v>50</v>
      </c>
      <c r="I612" t="s">
        <v>551</v>
      </c>
      <c r="J612" t="s">
        <v>35</v>
      </c>
      <c r="K612" t="s">
        <v>50</v>
      </c>
      <c r="L612" t="s">
        <v>158</v>
      </c>
      <c r="M612" t="s">
        <v>26</v>
      </c>
      <c r="N612" t="s">
        <v>159</v>
      </c>
      <c r="O612" t="s">
        <v>26</v>
      </c>
      <c r="P612" t="s">
        <v>349</v>
      </c>
      <c r="Q612" t="s">
        <v>506</v>
      </c>
    </row>
    <row r="613" spans="1:17" x14ac:dyDescent="0.3">
      <c r="A613">
        <v>1082626</v>
      </c>
      <c r="B613" t="s">
        <v>29</v>
      </c>
      <c r="C613" t="s">
        <v>635</v>
      </c>
      <c r="D613" t="s">
        <v>478</v>
      </c>
      <c r="E613" t="s">
        <v>550</v>
      </c>
      <c r="F613">
        <v>0</v>
      </c>
      <c r="G613" t="s">
        <v>33</v>
      </c>
      <c r="H613" t="s">
        <v>41</v>
      </c>
      <c r="I613" t="s">
        <v>33</v>
      </c>
      <c r="J613" t="s">
        <v>23</v>
      </c>
      <c r="K613" t="s">
        <v>33</v>
      </c>
      <c r="L613" t="s">
        <v>43</v>
      </c>
      <c r="M613">
        <v>10</v>
      </c>
      <c r="N613" t="s">
        <v>25</v>
      </c>
      <c r="O613" t="s">
        <v>26</v>
      </c>
      <c r="P613" t="s">
        <v>617</v>
      </c>
      <c r="Q613" t="s">
        <v>418</v>
      </c>
    </row>
    <row r="614" spans="1:17" x14ac:dyDescent="0.3">
      <c r="A614">
        <v>1082627</v>
      </c>
      <c r="B614" t="s">
        <v>64</v>
      </c>
      <c r="C614" t="s">
        <v>635</v>
      </c>
      <c r="D614" t="s">
        <v>251</v>
      </c>
      <c r="E614" t="s">
        <v>67</v>
      </c>
      <c r="F614">
        <v>0</v>
      </c>
      <c r="G614" t="s">
        <v>406</v>
      </c>
      <c r="H614" t="s">
        <v>22</v>
      </c>
      <c r="I614" t="s">
        <v>22</v>
      </c>
      <c r="J614" t="s">
        <v>23</v>
      </c>
      <c r="K614" t="s">
        <v>406</v>
      </c>
      <c r="L614" t="s">
        <v>24</v>
      </c>
      <c r="M614">
        <v>48</v>
      </c>
      <c r="N614" t="s">
        <v>25</v>
      </c>
      <c r="O614" t="s">
        <v>26</v>
      </c>
      <c r="P614" t="s">
        <v>576</v>
      </c>
      <c r="Q614" t="s">
        <v>183</v>
      </c>
    </row>
    <row r="615" spans="1:17" x14ac:dyDescent="0.3">
      <c r="A615">
        <v>1082628</v>
      </c>
      <c r="B615" t="s">
        <v>46</v>
      </c>
      <c r="C615" s="1">
        <v>42740</v>
      </c>
      <c r="D615" t="s">
        <v>190</v>
      </c>
      <c r="E615" t="s">
        <v>49</v>
      </c>
      <c r="F615">
        <v>0</v>
      </c>
      <c r="G615" t="s">
        <v>50</v>
      </c>
      <c r="H615" t="s">
        <v>21</v>
      </c>
      <c r="I615" t="s">
        <v>21</v>
      </c>
      <c r="J615" t="s">
        <v>35</v>
      </c>
      <c r="K615" t="s">
        <v>50</v>
      </c>
      <c r="L615" t="s">
        <v>43</v>
      </c>
      <c r="M615">
        <v>5</v>
      </c>
      <c r="N615" t="s">
        <v>25</v>
      </c>
      <c r="O615" t="s">
        <v>26</v>
      </c>
      <c r="P615" t="s">
        <v>349</v>
      </c>
      <c r="Q615" t="s">
        <v>506</v>
      </c>
    </row>
    <row r="616" spans="1:17" x14ac:dyDescent="0.3">
      <c r="A616">
        <v>1082629</v>
      </c>
      <c r="B616" t="s">
        <v>355</v>
      </c>
      <c r="C616" s="1">
        <v>42740</v>
      </c>
      <c r="D616" t="s">
        <v>619</v>
      </c>
      <c r="E616" t="s">
        <v>504</v>
      </c>
      <c r="F616">
        <v>0</v>
      </c>
      <c r="G616" t="s">
        <v>606</v>
      </c>
      <c r="H616" t="s">
        <v>551</v>
      </c>
      <c r="I616" t="s">
        <v>606</v>
      </c>
      <c r="J616" t="s">
        <v>23</v>
      </c>
      <c r="K616" t="s">
        <v>606</v>
      </c>
      <c r="L616" t="s">
        <v>43</v>
      </c>
      <c r="M616">
        <v>5</v>
      </c>
      <c r="N616" t="s">
        <v>25</v>
      </c>
      <c r="O616" t="s">
        <v>26</v>
      </c>
      <c r="P616" t="s">
        <v>155</v>
      </c>
      <c r="Q616" t="s">
        <v>387</v>
      </c>
    </row>
    <row r="617" spans="1:17" x14ac:dyDescent="0.3">
      <c r="A617">
        <v>1082630</v>
      </c>
      <c r="B617" t="s">
        <v>38</v>
      </c>
      <c r="C617" s="1">
        <v>42771</v>
      </c>
      <c r="D617" t="s">
        <v>636</v>
      </c>
      <c r="E617" t="s">
        <v>40</v>
      </c>
      <c r="F617">
        <v>0</v>
      </c>
      <c r="G617" t="s">
        <v>41</v>
      </c>
      <c r="H617" t="s">
        <v>406</v>
      </c>
      <c r="I617" t="s">
        <v>41</v>
      </c>
      <c r="J617" t="s">
        <v>23</v>
      </c>
      <c r="K617" t="s">
        <v>41</v>
      </c>
      <c r="L617" t="s">
        <v>43</v>
      </c>
      <c r="M617">
        <v>6</v>
      </c>
      <c r="N617" t="s">
        <v>25</v>
      </c>
      <c r="O617" t="s">
        <v>26</v>
      </c>
      <c r="P617" t="s">
        <v>617</v>
      </c>
      <c r="Q617" t="s">
        <v>554</v>
      </c>
    </row>
    <row r="618" spans="1:17" x14ac:dyDescent="0.3">
      <c r="A618">
        <v>1082631</v>
      </c>
      <c r="B618" t="s">
        <v>53</v>
      </c>
      <c r="C618" s="1">
        <v>42799</v>
      </c>
      <c r="D618" t="s">
        <v>637</v>
      </c>
      <c r="E618" t="s">
        <v>55</v>
      </c>
      <c r="F618">
        <v>0</v>
      </c>
      <c r="G618" t="s">
        <v>22</v>
      </c>
      <c r="H618" t="s">
        <v>606</v>
      </c>
      <c r="I618" t="s">
        <v>606</v>
      </c>
      <c r="J618" t="s">
        <v>23</v>
      </c>
      <c r="K618" t="s">
        <v>606</v>
      </c>
      <c r="L618" t="s">
        <v>43</v>
      </c>
      <c r="M618">
        <v>4</v>
      </c>
      <c r="N618" t="s">
        <v>25</v>
      </c>
      <c r="O618" t="s">
        <v>26</v>
      </c>
      <c r="P618" t="s">
        <v>583</v>
      </c>
      <c r="Q618" t="s">
        <v>562</v>
      </c>
    </row>
    <row r="619" spans="1:17" x14ac:dyDescent="0.3">
      <c r="A619">
        <v>1082632</v>
      </c>
      <c r="B619" t="s">
        <v>38</v>
      </c>
      <c r="C619" s="1">
        <v>42830</v>
      </c>
      <c r="D619" t="s">
        <v>584</v>
      </c>
      <c r="E619" t="s">
        <v>40</v>
      </c>
      <c r="F619">
        <v>0</v>
      </c>
      <c r="G619" t="s">
        <v>41</v>
      </c>
      <c r="H619" t="s">
        <v>551</v>
      </c>
      <c r="I619" t="s">
        <v>41</v>
      </c>
      <c r="J619" t="s">
        <v>23</v>
      </c>
      <c r="K619" t="s">
        <v>41</v>
      </c>
      <c r="L619" t="s">
        <v>43</v>
      </c>
      <c r="M619">
        <v>7</v>
      </c>
      <c r="N619" t="s">
        <v>25</v>
      </c>
      <c r="O619" t="s">
        <v>26</v>
      </c>
      <c r="P619" t="s">
        <v>155</v>
      </c>
      <c r="Q619" t="s">
        <v>554</v>
      </c>
    </row>
    <row r="620" spans="1:17" x14ac:dyDescent="0.3">
      <c r="A620">
        <v>1082633</v>
      </c>
      <c r="B620" t="s">
        <v>17</v>
      </c>
      <c r="C620" s="1">
        <v>42860</v>
      </c>
      <c r="D620" t="s">
        <v>478</v>
      </c>
      <c r="E620" t="s">
        <v>20</v>
      </c>
      <c r="F620">
        <v>0</v>
      </c>
      <c r="G620" t="s">
        <v>21</v>
      </c>
      <c r="H620" t="s">
        <v>33</v>
      </c>
      <c r="I620" t="s">
        <v>21</v>
      </c>
      <c r="J620" t="s">
        <v>23</v>
      </c>
      <c r="K620" t="s">
        <v>33</v>
      </c>
      <c r="L620" t="s">
        <v>24</v>
      </c>
      <c r="M620">
        <v>19</v>
      </c>
      <c r="N620" t="s">
        <v>25</v>
      </c>
      <c r="O620" t="s">
        <v>26</v>
      </c>
      <c r="P620" t="s">
        <v>506</v>
      </c>
      <c r="Q620" t="s">
        <v>387</v>
      </c>
    </row>
    <row r="621" spans="1:17" x14ac:dyDescent="0.3">
      <c r="A621">
        <v>1082634</v>
      </c>
      <c r="B621" t="s">
        <v>64</v>
      </c>
      <c r="C621" s="1">
        <v>42891</v>
      </c>
      <c r="D621" t="s">
        <v>276</v>
      </c>
      <c r="E621" t="s">
        <v>67</v>
      </c>
      <c r="F621">
        <v>0</v>
      </c>
      <c r="G621" t="s">
        <v>406</v>
      </c>
      <c r="H621" t="s">
        <v>606</v>
      </c>
      <c r="I621" t="s">
        <v>406</v>
      </c>
      <c r="J621" t="s">
        <v>23</v>
      </c>
      <c r="K621" t="s">
        <v>606</v>
      </c>
      <c r="L621" t="s">
        <v>24</v>
      </c>
      <c r="M621">
        <v>12</v>
      </c>
      <c r="N621" t="s">
        <v>25</v>
      </c>
      <c r="O621" t="s">
        <v>26</v>
      </c>
      <c r="P621" t="s">
        <v>583</v>
      </c>
      <c r="Q621" t="s">
        <v>349</v>
      </c>
    </row>
    <row r="622" spans="1:17" x14ac:dyDescent="0.3">
      <c r="A622">
        <v>1082635</v>
      </c>
      <c r="B622" t="s">
        <v>38</v>
      </c>
      <c r="C622" s="1">
        <v>42891</v>
      </c>
      <c r="D622" t="s">
        <v>496</v>
      </c>
      <c r="E622" t="s">
        <v>40</v>
      </c>
      <c r="F622">
        <v>0</v>
      </c>
      <c r="G622" t="s">
        <v>41</v>
      </c>
      <c r="H622" t="s">
        <v>50</v>
      </c>
      <c r="I622" t="s">
        <v>41</v>
      </c>
      <c r="J622" t="s">
        <v>23</v>
      </c>
      <c r="K622" t="s">
        <v>50</v>
      </c>
      <c r="L622" t="s">
        <v>24</v>
      </c>
      <c r="M622">
        <v>146</v>
      </c>
      <c r="N622" t="s">
        <v>25</v>
      </c>
      <c r="O622" t="s">
        <v>26</v>
      </c>
      <c r="P622" t="s">
        <v>554</v>
      </c>
      <c r="Q622" t="s">
        <v>418</v>
      </c>
    </row>
    <row r="623" spans="1:17" x14ac:dyDescent="0.3">
      <c r="A623">
        <v>1082636</v>
      </c>
      <c r="B623" t="s">
        <v>17</v>
      </c>
      <c r="C623" s="1">
        <v>42921</v>
      </c>
      <c r="D623" t="s">
        <v>368</v>
      </c>
      <c r="E623" t="s">
        <v>20</v>
      </c>
      <c r="F623">
        <v>0</v>
      </c>
      <c r="G623" t="s">
        <v>21</v>
      </c>
      <c r="H623" t="s">
        <v>22</v>
      </c>
      <c r="I623" t="s">
        <v>22</v>
      </c>
      <c r="J623" t="s">
        <v>23</v>
      </c>
      <c r="K623" t="s">
        <v>22</v>
      </c>
      <c r="L623" t="s">
        <v>43</v>
      </c>
      <c r="M623">
        <v>6</v>
      </c>
      <c r="N623" t="s">
        <v>25</v>
      </c>
      <c r="O623" t="s">
        <v>26</v>
      </c>
      <c r="P623" t="s">
        <v>576</v>
      </c>
      <c r="Q623" t="s">
        <v>387</v>
      </c>
    </row>
    <row r="624" spans="1:17" x14ac:dyDescent="0.3">
      <c r="A624">
        <v>1082637</v>
      </c>
      <c r="B624" t="s">
        <v>29</v>
      </c>
      <c r="C624" s="1">
        <v>42921</v>
      </c>
      <c r="D624" t="s">
        <v>195</v>
      </c>
      <c r="E624" t="s">
        <v>550</v>
      </c>
      <c r="F624">
        <v>0</v>
      </c>
      <c r="G624" t="s">
        <v>33</v>
      </c>
      <c r="H624" t="s">
        <v>551</v>
      </c>
      <c r="I624" t="s">
        <v>551</v>
      </c>
      <c r="J624" t="s">
        <v>23</v>
      </c>
      <c r="K624" t="s">
        <v>551</v>
      </c>
      <c r="L624" t="s">
        <v>43</v>
      </c>
      <c r="M624">
        <v>6</v>
      </c>
      <c r="N624" t="s">
        <v>25</v>
      </c>
      <c r="O624" t="s">
        <v>26</v>
      </c>
      <c r="P624" t="s">
        <v>562</v>
      </c>
      <c r="Q624" t="s">
        <v>552</v>
      </c>
    </row>
    <row r="625" spans="1:17" x14ac:dyDescent="0.3">
      <c r="A625">
        <v>1082638</v>
      </c>
      <c r="B625" t="s">
        <v>64</v>
      </c>
      <c r="C625" s="1">
        <v>42952</v>
      </c>
      <c r="D625" t="s">
        <v>339</v>
      </c>
      <c r="E625" t="s">
        <v>67</v>
      </c>
      <c r="F625">
        <v>0</v>
      </c>
      <c r="G625" t="s">
        <v>406</v>
      </c>
      <c r="H625" t="s">
        <v>50</v>
      </c>
      <c r="I625" t="s">
        <v>50</v>
      </c>
      <c r="J625" t="s">
        <v>35</v>
      </c>
      <c r="K625" t="s">
        <v>406</v>
      </c>
      <c r="L625" t="s">
        <v>43</v>
      </c>
      <c r="M625">
        <v>7</v>
      </c>
      <c r="N625" t="s">
        <v>25</v>
      </c>
      <c r="O625" t="s">
        <v>26</v>
      </c>
      <c r="P625" t="s">
        <v>583</v>
      </c>
      <c r="Q625" t="s">
        <v>155</v>
      </c>
    </row>
    <row r="626" spans="1:17" x14ac:dyDescent="0.3">
      <c r="A626">
        <v>1082639</v>
      </c>
      <c r="B626" t="s">
        <v>29</v>
      </c>
      <c r="C626" s="1">
        <v>42983</v>
      </c>
      <c r="D626" t="s">
        <v>475</v>
      </c>
      <c r="E626" t="s">
        <v>550</v>
      </c>
      <c r="F626">
        <v>0</v>
      </c>
      <c r="G626" t="s">
        <v>33</v>
      </c>
      <c r="H626" t="s">
        <v>22</v>
      </c>
      <c r="I626" t="s">
        <v>22</v>
      </c>
      <c r="J626" t="s">
        <v>23</v>
      </c>
      <c r="K626" t="s">
        <v>33</v>
      </c>
      <c r="L626" t="s">
        <v>24</v>
      </c>
      <c r="M626">
        <v>14</v>
      </c>
      <c r="N626" t="s">
        <v>25</v>
      </c>
      <c r="O626" t="s">
        <v>26</v>
      </c>
      <c r="P626" t="s">
        <v>562</v>
      </c>
      <c r="Q626" t="s">
        <v>183</v>
      </c>
    </row>
    <row r="627" spans="1:17" x14ac:dyDescent="0.3">
      <c r="A627">
        <v>1082640</v>
      </c>
      <c r="B627" t="s">
        <v>595</v>
      </c>
      <c r="C627" s="1">
        <v>43013</v>
      </c>
      <c r="D627" t="s">
        <v>524</v>
      </c>
      <c r="E627" t="s">
        <v>597</v>
      </c>
      <c r="F627">
        <v>0</v>
      </c>
      <c r="G627" t="s">
        <v>551</v>
      </c>
      <c r="H627" t="s">
        <v>41</v>
      </c>
      <c r="I627" t="s">
        <v>41</v>
      </c>
      <c r="J627" t="s">
        <v>23</v>
      </c>
      <c r="K627" t="s">
        <v>41</v>
      </c>
      <c r="L627" t="s">
        <v>43</v>
      </c>
      <c r="M627">
        <v>2</v>
      </c>
      <c r="N627" t="s">
        <v>25</v>
      </c>
      <c r="O627" t="s">
        <v>26</v>
      </c>
      <c r="P627" t="s">
        <v>617</v>
      </c>
      <c r="Q627" t="s">
        <v>349</v>
      </c>
    </row>
    <row r="628" spans="1:17" x14ac:dyDescent="0.3">
      <c r="A628">
        <v>1082641</v>
      </c>
      <c r="B628" t="s">
        <v>46</v>
      </c>
      <c r="C628" s="1">
        <v>43044</v>
      </c>
      <c r="D628" t="s">
        <v>335</v>
      </c>
      <c r="E628" t="s">
        <v>49</v>
      </c>
      <c r="F628">
        <v>0</v>
      </c>
      <c r="G628" t="s">
        <v>50</v>
      </c>
      <c r="H628" t="s">
        <v>33</v>
      </c>
      <c r="I628" t="s">
        <v>50</v>
      </c>
      <c r="J628" t="s">
        <v>23</v>
      </c>
      <c r="K628" t="s">
        <v>33</v>
      </c>
      <c r="L628" t="s">
        <v>24</v>
      </c>
      <c r="M628">
        <v>7</v>
      </c>
      <c r="N628" t="s">
        <v>25</v>
      </c>
      <c r="O628" t="s">
        <v>26</v>
      </c>
      <c r="P628" t="s">
        <v>610</v>
      </c>
      <c r="Q628" t="s">
        <v>562</v>
      </c>
    </row>
    <row r="629" spans="1:17" x14ac:dyDescent="0.3">
      <c r="A629">
        <v>1082642</v>
      </c>
      <c r="B629" t="s">
        <v>38</v>
      </c>
      <c r="C629" s="1">
        <v>43074</v>
      </c>
      <c r="D629" t="s">
        <v>485</v>
      </c>
      <c r="E629" t="s">
        <v>40</v>
      </c>
      <c r="F629">
        <v>0</v>
      </c>
      <c r="G629" t="s">
        <v>41</v>
      </c>
      <c r="H629" t="s">
        <v>606</v>
      </c>
      <c r="I629" t="s">
        <v>41</v>
      </c>
      <c r="J629" t="s">
        <v>35</v>
      </c>
      <c r="K629" t="s">
        <v>41</v>
      </c>
      <c r="L629" t="s">
        <v>24</v>
      </c>
      <c r="M629">
        <v>7</v>
      </c>
      <c r="N629" t="s">
        <v>25</v>
      </c>
      <c r="O629" t="s">
        <v>26</v>
      </c>
      <c r="P629" t="s">
        <v>583</v>
      </c>
      <c r="Q629" t="s">
        <v>418</v>
      </c>
    </row>
    <row r="630" spans="1:17" x14ac:dyDescent="0.3">
      <c r="A630">
        <v>1082643</v>
      </c>
      <c r="B630" t="s">
        <v>595</v>
      </c>
      <c r="C630" t="s">
        <v>638</v>
      </c>
      <c r="D630" t="s">
        <v>639</v>
      </c>
      <c r="E630" t="s">
        <v>597</v>
      </c>
      <c r="F630">
        <v>0</v>
      </c>
      <c r="G630" t="s">
        <v>551</v>
      </c>
      <c r="H630" t="s">
        <v>406</v>
      </c>
      <c r="I630" t="s">
        <v>406</v>
      </c>
      <c r="J630" t="s">
        <v>23</v>
      </c>
      <c r="K630" t="s">
        <v>406</v>
      </c>
      <c r="L630" t="s">
        <v>43</v>
      </c>
      <c r="M630">
        <v>8</v>
      </c>
      <c r="N630" t="s">
        <v>25</v>
      </c>
      <c r="O630" t="s">
        <v>26</v>
      </c>
      <c r="P630" t="s">
        <v>349</v>
      </c>
      <c r="Q630" t="s">
        <v>554</v>
      </c>
    </row>
    <row r="631" spans="1:17" x14ac:dyDescent="0.3">
      <c r="A631">
        <v>1082644</v>
      </c>
      <c r="B631" t="s">
        <v>53</v>
      </c>
      <c r="C631" t="s">
        <v>638</v>
      </c>
      <c r="D631" t="s">
        <v>257</v>
      </c>
      <c r="E631" t="s">
        <v>55</v>
      </c>
      <c r="F631">
        <v>0</v>
      </c>
      <c r="G631" t="s">
        <v>22</v>
      </c>
      <c r="H631" t="s">
        <v>50</v>
      </c>
      <c r="I631" t="s">
        <v>22</v>
      </c>
      <c r="J631" t="s">
        <v>23</v>
      </c>
      <c r="K631" t="s">
        <v>50</v>
      </c>
      <c r="L631" t="s">
        <v>24</v>
      </c>
      <c r="M631">
        <v>9</v>
      </c>
      <c r="N631" t="s">
        <v>25</v>
      </c>
      <c r="O631" t="s">
        <v>26</v>
      </c>
      <c r="P631" t="s">
        <v>562</v>
      </c>
      <c r="Q631" t="s">
        <v>183</v>
      </c>
    </row>
    <row r="632" spans="1:17" x14ac:dyDescent="0.3">
      <c r="A632">
        <v>1082645</v>
      </c>
      <c r="B632" t="s">
        <v>355</v>
      </c>
      <c r="C632" t="s">
        <v>640</v>
      </c>
      <c r="D632" t="s">
        <v>276</v>
      </c>
      <c r="E632" t="s">
        <v>504</v>
      </c>
      <c r="F632">
        <v>0</v>
      </c>
      <c r="G632" t="s">
        <v>606</v>
      </c>
      <c r="H632" t="s">
        <v>33</v>
      </c>
      <c r="I632" t="s">
        <v>606</v>
      </c>
      <c r="J632" t="s">
        <v>23</v>
      </c>
      <c r="K632" t="s">
        <v>606</v>
      </c>
      <c r="L632" t="s">
        <v>43</v>
      </c>
      <c r="M632">
        <v>9</v>
      </c>
      <c r="N632" t="s">
        <v>25</v>
      </c>
      <c r="O632" t="s">
        <v>26</v>
      </c>
      <c r="P632" t="s">
        <v>576</v>
      </c>
      <c r="Q632" t="s">
        <v>610</v>
      </c>
    </row>
    <row r="633" spans="1:17" x14ac:dyDescent="0.3">
      <c r="A633">
        <v>1082646</v>
      </c>
      <c r="B633" t="s">
        <v>38</v>
      </c>
      <c r="C633" t="s">
        <v>640</v>
      </c>
      <c r="D633" t="s">
        <v>641</v>
      </c>
      <c r="E633" t="s">
        <v>40</v>
      </c>
      <c r="F633">
        <v>0</v>
      </c>
      <c r="G633" t="s">
        <v>41</v>
      </c>
      <c r="H633" t="s">
        <v>21</v>
      </c>
      <c r="I633" t="s">
        <v>21</v>
      </c>
      <c r="J633" t="s">
        <v>35</v>
      </c>
      <c r="K633" t="s">
        <v>21</v>
      </c>
      <c r="L633" t="s">
        <v>24</v>
      </c>
      <c r="M633">
        <v>10</v>
      </c>
      <c r="N633" t="s">
        <v>25</v>
      </c>
      <c r="O633" t="s">
        <v>26</v>
      </c>
      <c r="P633" t="s">
        <v>418</v>
      </c>
      <c r="Q633" t="s">
        <v>387</v>
      </c>
    </row>
    <row r="634" spans="1:17" x14ac:dyDescent="0.3">
      <c r="A634">
        <v>1082647</v>
      </c>
      <c r="B634" t="s">
        <v>46</v>
      </c>
      <c r="C634" t="s">
        <v>642</v>
      </c>
      <c r="D634" t="s">
        <v>643</v>
      </c>
      <c r="E634" t="s">
        <v>49</v>
      </c>
      <c r="F634">
        <v>0</v>
      </c>
      <c r="G634" t="s">
        <v>50</v>
      </c>
      <c r="H634" t="s">
        <v>606</v>
      </c>
      <c r="I634" t="s">
        <v>50</v>
      </c>
      <c r="J634" t="s">
        <v>23</v>
      </c>
      <c r="K634" t="s">
        <v>606</v>
      </c>
      <c r="L634" t="s">
        <v>24</v>
      </c>
      <c r="M634">
        <v>20</v>
      </c>
      <c r="N634" t="s">
        <v>25</v>
      </c>
      <c r="O634" t="s">
        <v>26</v>
      </c>
      <c r="P634" t="s">
        <v>183</v>
      </c>
      <c r="Q634" t="s">
        <v>387</v>
      </c>
    </row>
    <row r="635" spans="1:17" x14ac:dyDescent="0.3">
      <c r="A635">
        <v>1082648</v>
      </c>
      <c r="B635" t="s">
        <v>17</v>
      </c>
      <c r="C635" t="s">
        <v>644</v>
      </c>
      <c r="D635" t="s">
        <v>534</v>
      </c>
      <c r="E635" t="s">
        <v>20</v>
      </c>
      <c r="F635">
        <v>0</v>
      </c>
      <c r="G635" t="s">
        <v>406</v>
      </c>
      <c r="H635" t="s">
        <v>22</v>
      </c>
      <c r="I635" t="s">
        <v>22</v>
      </c>
      <c r="J635" t="s">
        <v>23</v>
      </c>
      <c r="K635" t="s">
        <v>22</v>
      </c>
      <c r="L635" t="s">
        <v>43</v>
      </c>
      <c r="M635">
        <v>7</v>
      </c>
      <c r="N635" t="s">
        <v>25</v>
      </c>
      <c r="O635" t="s">
        <v>115</v>
      </c>
      <c r="P635" t="s">
        <v>349</v>
      </c>
      <c r="Q635" t="s">
        <v>554</v>
      </c>
    </row>
    <row r="636" spans="1:17" x14ac:dyDescent="0.3">
      <c r="A636">
        <v>1082649</v>
      </c>
      <c r="B636" t="s">
        <v>17</v>
      </c>
      <c r="C636" t="s">
        <v>645</v>
      </c>
      <c r="D636" t="s">
        <v>646</v>
      </c>
      <c r="E636" t="s">
        <v>20</v>
      </c>
      <c r="F636">
        <v>0</v>
      </c>
      <c r="G636" t="s">
        <v>50</v>
      </c>
      <c r="H636" t="s">
        <v>22</v>
      </c>
      <c r="I636" t="s">
        <v>50</v>
      </c>
      <c r="J636" t="s">
        <v>23</v>
      </c>
      <c r="K636" t="s">
        <v>50</v>
      </c>
      <c r="L636" t="s">
        <v>43</v>
      </c>
      <c r="M636">
        <v>6</v>
      </c>
      <c r="N636" t="s">
        <v>25</v>
      </c>
      <c r="O636" t="s">
        <v>26</v>
      </c>
      <c r="P636" t="s">
        <v>441</v>
      </c>
      <c r="Q636" t="s">
        <v>554</v>
      </c>
    </row>
    <row r="637" spans="1:17" x14ac:dyDescent="0.3">
      <c r="A637">
        <v>1082650</v>
      </c>
      <c r="B637" t="s">
        <v>64</v>
      </c>
      <c r="C637" t="s">
        <v>647</v>
      </c>
      <c r="D637" t="s">
        <v>587</v>
      </c>
      <c r="E637" t="s">
        <v>67</v>
      </c>
      <c r="F637">
        <v>0</v>
      </c>
      <c r="G637" t="s">
        <v>50</v>
      </c>
      <c r="H637" t="s">
        <v>606</v>
      </c>
      <c r="I637" t="s">
        <v>50</v>
      </c>
      <c r="J637" t="s">
        <v>35</v>
      </c>
      <c r="K637" t="s">
        <v>50</v>
      </c>
      <c r="L637" t="s">
        <v>24</v>
      </c>
      <c r="M637">
        <v>1</v>
      </c>
      <c r="N637" t="s">
        <v>25</v>
      </c>
      <c r="O637" t="s">
        <v>26</v>
      </c>
      <c r="P637" t="s">
        <v>441</v>
      </c>
      <c r="Q637" t="s">
        <v>183</v>
      </c>
    </row>
    <row r="638" spans="1:17" x14ac:dyDescent="0.3">
      <c r="A638">
        <v>1136561</v>
      </c>
      <c r="B638" t="s">
        <v>46</v>
      </c>
      <c r="C638" s="1">
        <v>43285</v>
      </c>
      <c r="D638" t="s">
        <v>118</v>
      </c>
      <c r="E638" t="s">
        <v>49</v>
      </c>
      <c r="F638">
        <v>0</v>
      </c>
      <c r="G638" t="s">
        <v>50</v>
      </c>
      <c r="H638" t="s">
        <v>34</v>
      </c>
      <c r="I638" t="s">
        <v>34</v>
      </c>
      <c r="J638" t="s">
        <v>23</v>
      </c>
      <c r="K638" t="s">
        <v>34</v>
      </c>
      <c r="L638" t="s">
        <v>43</v>
      </c>
      <c r="M638">
        <v>1</v>
      </c>
      <c r="N638" t="s">
        <v>25</v>
      </c>
      <c r="O638" t="s">
        <v>26</v>
      </c>
      <c r="P638" t="s">
        <v>506</v>
      </c>
      <c r="Q638" t="s">
        <v>562</v>
      </c>
    </row>
    <row r="639" spans="1:17" x14ac:dyDescent="0.3">
      <c r="A639">
        <v>1136562</v>
      </c>
      <c r="B639" t="s">
        <v>29</v>
      </c>
      <c r="C639" s="1">
        <v>43316</v>
      </c>
      <c r="D639" t="s">
        <v>648</v>
      </c>
      <c r="E639" t="s">
        <v>550</v>
      </c>
      <c r="F639">
        <v>0</v>
      </c>
      <c r="G639" t="s">
        <v>33</v>
      </c>
      <c r="H639" t="s">
        <v>41</v>
      </c>
      <c r="I639" t="s">
        <v>33</v>
      </c>
      <c r="J639" t="s">
        <v>23</v>
      </c>
      <c r="K639" t="s">
        <v>33</v>
      </c>
      <c r="L639" t="s">
        <v>43</v>
      </c>
      <c r="M639">
        <v>6</v>
      </c>
      <c r="N639" t="s">
        <v>25</v>
      </c>
      <c r="O639" t="s">
        <v>26</v>
      </c>
      <c r="P639" t="s">
        <v>583</v>
      </c>
      <c r="Q639" t="s">
        <v>305</v>
      </c>
    </row>
    <row r="640" spans="1:17" x14ac:dyDescent="0.3">
      <c r="A640">
        <v>1136563</v>
      </c>
      <c r="B640" t="s">
        <v>53</v>
      </c>
      <c r="C640" s="1">
        <v>43316</v>
      </c>
      <c r="D640" t="s">
        <v>368</v>
      </c>
      <c r="E640" t="s">
        <v>55</v>
      </c>
      <c r="F640">
        <v>0</v>
      </c>
      <c r="G640" t="s">
        <v>22</v>
      </c>
      <c r="H640" t="s">
        <v>21</v>
      </c>
      <c r="I640" t="s">
        <v>22</v>
      </c>
      <c r="J640" t="s">
        <v>23</v>
      </c>
      <c r="K640" t="s">
        <v>22</v>
      </c>
      <c r="L640" t="s">
        <v>43</v>
      </c>
      <c r="M640">
        <v>4</v>
      </c>
      <c r="N640" t="s">
        <v>25</v>
      </c>
      <c r="O640" t="s">
        <v>26</v>
      </c>
      <c r="P640" t="s">
        <v>387</v>
      </c>
      <c r="Q640" t="s">
        <v>610</v>
      </c>
    </row>
    <row r="641" spans="1:17" x14ac:dyDescent="0.3">
      <c r="A641">
        <v>1136564</v>
      </c>
      <c r="B641" t="s">
        <v>64</v>
      </c>
      <c r="C641" s="1">
        <v>43347</v>
      </c>
      <c r="D641" t="s">
        <v>339</v>
      </c>
      <c r="E641" t="s">
        <v>67</v>
      </c>
      <c r="F641">
        <v>0</v>
      </c>
      <c r="G641" t="s">
        <v>406</v>
      </c>
      <c r="H641" t="s">
        <v>42</v>
      </c>
      <c r="I641" t="s">
        <v>406</v>
      </c>
      <c r="J641" t="s">
        <v>23</v>
      </c>
      <c r="K641" t="s">
        <v>406</v>
      </c>
      <c r="L641" t="s">
        <v>43</v>
      </c>
      <c r="M641">
        <v>9</v>
      </c>
      <c r="N641" t="s">
        <v>25</v>
      </c>
      <c r="O641" t="s">
        <v>26</v>
      </c>
      <c r="P641" t="s">
        <v>354</v>
      </c>
      <c r="Q641" t="s">
        <v>441</v>
      </c>
    </row>
    <row r="642" spans="1:17" x14ac:dyDescent="0.3">
      <c r="A642">
        <v>1136565</v>
      </c>
      <c r="B642" t="s">
        <v>70</v>
      </c>
      <c r="C642" s="1">
        <v>43377</v>
      </c>
      <c r="D642" t="s">
        <v>649</v>
      </c>
      <c r="E642" t="s">
        <v>73</v>
      </c>
      <c r="F642">
        <v>0</v>
      </c>
      <c r="G642" t="s">
        <v>34</v>
      </c>
      <c r="H642" t="s">
        <v>22</v>
      </c>
      <c r="I642" t="s">
        <v>34</v>
      </c>
      <c r="J642" t="s">
        <v>23</v>
      </c>
      <c r="K642" t="s">
        <v>34</v>
      </c>
      <c r="L642" t="s">
        <v>43</v>
      </c>
      <c r="M642">
        <v>5</v>
      </c>
      <c r="N642" t="s">
        <v>25</v>
      </c>
      <c r="O642" t="s">
        <v>26</v>
      </c>
      <c r="P642" t="s">
        <v>506</v>
      </c>
      <c r="Q642" t="s">
        <v>349</v>
      </c>
    </row>
    <row r="643" spans="1:17" x14ac:dyDescent="0.3">
      <c r="A643">
        <v>1136566</v>
      </c>
      <c r="B643" t="s">
        <v>59</v>
      </c>
      <c r="C643" s="1">
        <v>43408</v>
      </c>
      <c r="D643" t="s">
        <v>436</v>
      </c>
      <c r="E643" t="s">
        <v>62</v>
      </c>
      <c r="F643">
        <v>0</v>
      </c>
      <c r="G643" t="s">
        <v>42</v>
      </c>
      <c r="H643" t="s">
        <v>41</v>
      </c>
      <c r="I643" t="s">
        <v>41</v>
      </c>
      <c r="J643" t="s">
        <v>23</v>
      </c>
      <c r="K643" t="s">
        <v>42</v>
      </c>
      <c r="L643" t="s">
        <v>24</v>
      </c>
      <c r="M643">
        <v>10</v>
      </c>
      <c r="N643" t="s">
        <v>25</v>
      </c>
      <c r="O643" t="s">
        <v>115</v>
      </c>
      <c r="P643" t="s">
        <v>583</v>
      </c>
      <c r="Q643" t="s">
        <v>554</v>
      </c>
    </row>
    <row r="644" spans="1:17" x14ac:dyDescent="0.3">
      <c r="A644">
        <v>1136567</v>
      </c>
      <c r="B644" t="s">
        <v>64</v>
      </c>
      <c r="C644" s="1">
        <v>43438</v>
      </c>
      <c r="D644" t="s">
        <v>609</v>
      </c>
      <c r="E644" t="s">
        <v>67</v>
      </c>
      <c r="F644">
        <v>0</v>
      </c>
      <c r="G644" t="s">
        <v>406</v>
      </c>
      <c r="H644" t="s">
        <v>50</v>
      </c>
      <c r="I644" t="s">
        <v>406</v>
      </c>
      <c r="J644" t="s">
        <v>23</v>
      </c>
      <c r="K644" t="s">
        <v>406</v>
      </c>
      <c r="L644" t="s">
        <v>43</v>
      </c>
      <c r="M644">
        <v>1</v>
      </c>
      <c r="N644" t="s">
        <v>25</v>
      </c>
      <c r="O644" t="s">
        <v>26</v>
      </c>
      <c r="P644" t="s">
        <v>441</v>
      </c>
      <c r="Q644" t="s">
        <v>418</v>
      </c>
    </row>
    <row r="645" spans="1:17" x14ac:dyDescent="0.3">
      <c r="A645">
        <v>1136568</v>
      </c>
      <c r="B645" t="s">
        <v>607</v>
      </c>
      <c r="C645" t="s">
        <v>650</v>
      </c>
      <c r="D645" t="s">
        <v>395</v>
      </c>
      <c r="E645" t="s">
        <v>608</v>
      </c>
      <c r="F645">
        <v>0</v>
      </c>
      <c r="G645" t="s">
        <v>21</v>
      </c>
      <c r="H645" t="s">
        <v>33</v>
      </c>
      <c r="I645" t="s">
        <v>21</v>
      </c>
      <c r="J645" t="s">
        <v>23</v>
      </c>
      <c r="K645" t="s">
        <v>21</v>
      </c>
      <c r="L645" t="s">
        <v>43</v>
      </c>
      <c r="M645">
        <v>4</v>
      </c>
      <c r="N645" t="s">
        <v>25</v>
      </c>
      <c r="O645" t="s">
        <v>26</v>
      </c>
      <c r="P645" t="s">
        <v>610</v>
      </c>
      <c r="Q645" t="s">
        <v>183</v>
      </c>
    </row>
    <row r="646" spans="1:17" x14ac:dyDescent="0.3">
      <c r="A646">
        <v>1136569</v>
      </c>
      <c r="B646" t="s">
        <v>46</v>
      </c>
      <c r="C646" t="s">
        <v>651</v>
      </c>
      <c r="D646" t="s">
        <v>652</v>
      </c>
      <c r="E646" t="s">
        <v>49</v>
      </c>
      <c r="F646">
        <v>0</v>
      </c>
      <c r="G646" t="s">
        <v>50</v>
      </c>
      <c r="H646" t="s">
        <v>41</v>
      </c>
      <c r="I646" t="s">
        <v>41</v>
      </c>
      <c r="J646" t="s">
        <v>23</v>
      </c>
      <c r="K646" t="s">
        <v>41</v>
      </c>
      <c r="L646" t="s">
        <v>43</v>
      </c>
      <c r="M646">
        <v>7</v>
      </c>
      <c r="N646" t="s">
        <v>25</v>
      </c>
      <c r="O646" t="s">
        <v>26</v>
      </c>
      <c r="P646" t="s">
        <v>583</v>
      </c>
      <c r="Q646" t="s">
        <v>554</v>
      </c>
    </row>
    <row r="647" spans="1:17" x14ac:dyDescent="0.3">
      <c r="A647">
        <v>1136570</v>
      </c>
      <c r="B647" t="s">
        <v>53</v>
      </c>
      <c r="C647" t="s">
        <v>651</v>
      </c>
      <c r="D647" t="s">
        <v>653</v>
      </c>
      <c r="E647" t="s">
        <v>55</v>
      </c>
      <c r="F647">
        <v>0</v>
      </c>
      <c r="G647" t="s">
        <v>22</v>
      </c>
      <c r="H647" t="s">
        <v>406</v>
      </c>
      <c r="I647" t="s">
        <v>406</v>
      </c>
      <c r="J647" t="s">
        <v>23</v>
      </c>
      <c r="K647" t="s">
        <v>406</v>
      </c>
      <c r="L647" t="s">
        <v>43</v>
      </c>
      <c r="M647">
        <v>5</v>
      </c>
      <c r="N647" t="s">
        <v>25</v>
      </c>
      <c r="O647" t="s">
        <v>26</v>
      </c>
      <c r="P647" t="s">
        <v>349</v>
      </c>
      <c r="Q647" t="s">
        <v>562</v>
      </c>
    </row>
    <row r="648" spans="1:17" x14ac:dyDescent="0.3">
      <c r="A648">
        <v>1136571</v>
      </c>
      <c r="B648" t="s">
        <v>607</v>
      </c>
      <c r="C648" t="s">
        <v>654</v>
      </c>
      <c r="D648" t="s">
        <v>436</v>
      </c>
      <c r="E648" t="s">
        <v>608</v>
      </c>
      <c r="F648">
        <v>0</v>
      </c>
      <c r="G648" t="s">
        <v>21</v>
      </c>
      <c r="H648" t="s">
        <v>42</v>
      </c>
      <c r="I648" t="s">
        <v>21</v>
      </c>
      <c r="J648" t="s">
        <v>23</v>
      </c>
      <c r="K648" t="s">
        <v>42</v>
      </c>
      <c r="L648" t="s">
        <v>24</v>
      </c>
      <c r="M648">
        <v>19</v>
      </c>
      <c r="N648" t="s">
        <v>25</v>
      </c>
      <c r="O648" t="s">
        <v>26</v>
      </c>
      <c r="P648" t="s">
        <v>387</v>
      </c>
      <c r="Q648" t="s">
        <v>183</v>
      </c>
    </row>
    <row r="649" spans="1:17" x14ac:dyDescent="0.3">
      <c r="A649">
        <v>1136572</v>
      </c>
      <c r="B649" t="s">
        <v>29</v>
      </c>
      <c r="C649" t="s">
        <v>654</v>
      </c>
      <c r="D649" t="s">
        <v>152</v>
      </c>
      <c r="E649" t="s">
        <v>550</v>
      </c>
      <c r="F649">
        <v>0</v>
      </c>
      <c r="G649" t="s">
        <v>33</v>
      </c>
      <c r="H649" t="s">
        <v>34</v>
      </c>
      <c r="I649" t="s">
        <v>34</v>
      </c>
      <c r="J649" t="s">
        <v>23</v>
      </c>
      <c r="K649" t="s">
        <v>33</v>
      </c>
      <c r="L649" t="s">
        <v>24</v>
      </c>
      <c r="M649">
        <v>4</v>
      </c>
      <c r="N649" t="s">
        <v>25</v>
      </c>
      <c r="O649" t="s">
        <v>26</v>
      </c>
      <c r="P649" t="s">
        <v>354</v>
      </c>
      <c r="Q649" t="s">
        <v>418</v>
      </c>
    </row>
    <row r="650" spans="1:17" x14ac:dyDescent="0.3">
      <c r="A650">
        <v>1136573</v>
      </c>
      <c r="B650" t="s">
        <v>53</v>
      </c>
      <c r="C650" t="s">
        <v>655</v>
      </c>
      <c r="D650" t="s">
        <v>611</v>
      </c>
      <c r="E650" t="s">
        <v>55</v>
      </c>
      <c r="F650">
        <v>0</v>
      </c>
      <c r="G650" t="s">
        <v>22</v>
      </c>
      <c r="H650" t="s">
        <v>41</v>
      </c>
      <c r="I650" t="s">
        <v>41</v>
      </c>
      <c r="J650" t="s">
        <v>23</v>
      </c>
      <c r="K650" t="s">
        <v>22</v>
      </c>
      <c r="L650" t="s">
        <v>24</v>
      </c>
      <c r="M650">
        <v>71</v>
      </c>
      <c r="N650" t="s">
        <v>25</v>
      </c>
      <c r="O650" t="s">
        <v>26</v>
      </c>
      <c r="P650" t="s">
        <v>349</v>
      </c>
      <c r="Q650" t="s">
        <v>562</v>
      </c>
    </row>
    <row r="651" spans="1:17" x14ac:dyDescent="0.3">
      <c r="A651">
        <v>1136574</v>
      </c>
      <c r="B651" t="s">
        <v>46</v>
      </c>
      <c r="C651" t="s">
        <v>656</v>
      </c>
      <c r="D651" t="s">
        <v>190</v>
      </c>
      <c r="E651" t="s">
        <v>49</v>
      </c>
      <c r="F651">
        <v>0</v>
      </c>
      <c r="G651" t="s">
        <v>50</v>
      </c>
      <c r="H651" t="s">
        <v>21</v>
      </c>
      <c r="I651" t="s">
        <v>21</v>
      </c>
      <c r="J651" t="s">
        <v>23</v>
      </c>
      <c r="K651" t="s">
        <v>50</v>
      </c>
      <c r="L651" t="s">
        <v>24</v>
      </c>
      <c r="M651">
        <v>46</v>
      </c>
      <c r="N651" t="s">
        <v>25</v>
      </c>
      <c r="O651" t="s">
        <v>26</v>
      </c>
      <c r="P651" t="s">
        <v>305</v>
      </c>
      <c r="Q651" t="s">
        <v>554</v>
      </c>
    </row>
    <row r="652" spans="1:17" x14ac:dyDescent="0.3">
      <c r="A652">
        <v>1136575</v>
      </c>
      <c r="B652" t="s">
        <v>59</v>
      </c>
      <c r="C652" t="s">
        <v>657</v>
      </c>
      <c r="D652" t="s">
        <v>611</v>
      </c>
      <c r="E652" t="s">
        <v>62</v>
      </c>
      <c r="F652">
        <v>0</v>
      </c>
      <c r="G652" t="s">
        <v>42</v>
      </c>
      <c r="H652" t="s">
        <v>22</v>
      </c>
      <c r="I652" t="s">
        <v>22</v>
      </c>
      <c r="J652" t="s">
        <v>23</v>
      </c>
      <c r="K652" t="s">
        <v>22</v>
      </c>
      <c r="L652" t="s">
        <v>43</v>
      </c>
      <c r="M652">
        <v>7</v>
      </c>
      <c r="N652" t="s">
        <v>25</v>
      </c>
      <c r="O652" t="s">
        <v>26</v>
      </c>
      <c r="P652" t="s">
        <v>610</v>
      </c>
      <c r="Q652" t="s">
        <v>183</v>
      </c>
    </row>
    <row r="653" spans="1:17" x14ac:dyDescent="0.3">
      <c r="A653">
        <v>1136576</v>
      </c>
      <c r="B653" t="s">
        <v>29</v>
      </c>
      <c r="C653" t="s">
        <v>658</v>
      </c>
      <c r="D653" t="s">
        <v>152</v>
      </c>
      <c r="E653" t="s">
        <v>550</v>
      </c>
      <c r="F653">
        <v>0</v>
      </c>
      <c r="G653" t="s">
        <v>33</v>
      </c>
      <c r="H653" t="s">
        <v>406</v>
      </c>
      <c r="I653" t="s">
        <v>33</v>
      </c>
      <c r="J653" t="s">
        <v>35</v>
      </c>
      <c r="K653" t="s">
        <v>33</v>
      </c>
      <c r="L653" t="s">
        <v>24</v>
      </c>
      <c r="M653">
        <v>15</v>
      </c>
      <c r="N653" t="s">
        <v>25</v>
      </c>
      <c r="O653" t="s">
        <v>26</v>
      </c>
      <c r="P653" t="s">
        <v>441</v>
      </c>
      <c r="Q653" t="s">
        <v>349</v>
      </c>
    </row>
    <row r="654" spans="1:17" x14ac:dyDescent="0.3">
      <c r="A654">
        <v>1136577</v>
      </c>
      <c r="B654" t="s">
        <v>355</v>
      </c>
      <c r="C654" t="s">
        <v>659</v>
      </c>
      <c r="D654" t="s">
        <v>61</v>
      </c>
      <c r="E654" t="s">
        <v>504</v>
      </c>
      <c r="F654">
        <v>0</v>
      </c>
      <c r="G654" t="s">
        <v>34</v>
      </c>
      <c r="H654" t="s">
        <v>42</v>
      </c>
      <c r="I654" t="s">
        <v>42</v>
      </c>
      <c r="J654" t="s">
        <v>23</v>
      </c>
      <c r="K654" t="s">
        <v>34</v>
      </c>
      <c r="L654" t="s">
        <v>24</v>
      </c>
      <c r="M654">
        <v>64</v>
      </c>
      <c r="N654" t="s">
        <v>25</v>
      </c>
      <c r="O654" t="s">
        <v>26</v>
      </c>
      <c r="P654" t="s">
        <v>583</v>
      </c>
      <c r="Q654" t="s">
        <v>554</v>
      </c>
    </row>
    <row r="655" spans="1:17" x14ac:dyDescent="0.3">
      <c r="A655">
        <v>1136578</v>
      </c>
      <c r="B655" t="s">
        <v>53</v>
      </c>
      <c r="C655" t="s">
        <v>660</v>
      </c>
      <c r="D655" t="s">
        <v>648</v>
      </c>
      <c r="E655" t="s">
        <v>55</v>
      </c>
      <c r="F655">
        <v>0</v>
      </c>
      <c r="G655" t="s">
        <v>22</v>
      </c>
      <c r="H655" t="s">
        <v>33</v>
      </c>
      <c r="I655" t="s">
        <v>33</v>
      </c>
      <c r="J655" t="s">
        <v>23</v>
      </c>
      <c r="K655" t="s">
        <v>33</v>
      </c>
      <c r="L655" t="s">
        <v>43</v>
      </c>
      <c r="M655">
        <v>9</v>
      </c>
      <c r="N655" t="s">
        <v>25</v>
      </c>
      <c r="O655" t="s">
        <v>115</v>
      </c>
      <c r="P655" t="s">
        <v>387</v>
      </c>
      <c r="Q655" t="s">
        <v>610</v>
      </c>
    </row>
    <row r="656" spans="1:17" x14ac:dyDescent="0.3">
      <c r="A656">
        <v>1136579</v>
      </c>
      <c r="B656" t="s">
        <v>607</v>
      </c>
      <c r="C656" t="s">
        <v>660</v>
      </c>
      <c r="D656" t="s">
        <v>157</v>
      </c>
      <c r="E656" t="s">
        <v>608</v>
      </c>
      <c r="F656">
        <v>0</v>
      </c>
      <c r="G656" t="s">
        <v>21</v>
      </c>
      <c r="H656" t="s">
        <v>41</v>
      </c>
      <c r="I656" t="s">
        <v>21</v>
      </c>
      <c r="J656" t="s">
        <v>23</v>
      </c>
      <c r="K656" t="s">
        <v>21</v>
      </c>
      <c r="L656" t="s">
        <v>43</v>
      </c>
      <c r="M656">
        <v>6</v>
      </c>
      <c r="N656" t="s">
        <v>25</v>
      </c>
      <c r="O656" t="s">
        <v>26</v>
      </c>
      <c r="P656" t="s">
        <v>506</v>
      </c>
      <c r="Q656" t="s">
        <v>418</v>
      </c>
    </row>
    <row r="657" spans="1:17" x14ac:dyDescent="0.3">
      <c r="A657">
        <v>1136580</v>
      </c>
      <c r="B657" t="s">
        <v>64</v>
      </c>
      <c r="C657" t="s">
        <v>661</v>
      </c>
      <c r="D657" t="s">
        <v>257</v>
      </c>
      <c r="E657" t="s">
        <v>67</v>
      </c>
      <c r="F657">
        <v>0</v>
      </c>
      <c r="G657" t="s">
        <v>406</v>
      </c>
      <c r="H657" t="s">
        <v>34</v>
      </c>
      <c r="I657" t="s">
        <v>406</v>
      </c>
      <c r="J657" t="s">
        <v>23</v>
      </c>
      <c r="K657" t="s">
        <v>34</v>
      </c>
      <c r="L657" t="s">
        <v>24</v>
      </c>
      <c r="M657">
        <v>4</v>
      </c>
      <c r="N657" t="s">
        <v>25</v>
      </c>
      <c r="O657" t="s">
        <v>26</v>
      </c>
      <c r="P657" t="s">
        <v>354</v>
      </c>
      <c r="Q657" t="s">
        <v>349</v>
      </c>
    </row>
    <row r="658" spans="1:17" x14ac:dyDescent="0.3">
      <c r="A658">
        <v>1136581</v>
      </c>
      <c r="B658" t="s">
        <v>59</v>
      </c>
      <c r="C658" t="s">
        <v>661</v>
      </c>
      <c r="D658" t="s">
        <v>662</v>
      </c>
      <c r="E658" t="s">
        <v>62</v>
      </c>
      <c r="F658">
        <v>0</v>
      </c>
      <c r="G658" t="s">
        <v>42</v>
      </c>
      <c r="H658" t="s">
        <v>50</v>
      </c>
      <c r="I658" t="s">
        <v>50</v>
      </c>
      <c r="J658" t="s">
        <v>35</v>
      </c>
      <c r="K658" t="s">
        <v>42</v>
      </c>
      <c r="L658" t="s">
        <v>43</v>
      </c>
      <c r="M658">
        <v>3</v>
      </c>
      <c r="N658" t="s">
        <v>25</v>
      </c>
      <c r="O658" t="s">
        <v>26</v>
      </c>
      <c r="P658" t="s">
        <v>583</v>
      </c>
      <c r="Q658" t="s">
        <v>305</v>
      </c>
    </row>
    <row r="659" spans="1:17" x14ac:dyDescent="0.3">
      <c r="A659">
        <v>1136582</v>
      </c>
      <c r="B659" t="s">
        <v>38</v>
      </c>
      <c r="C659" t="s">
        <v>663</v>
      </c>
      <c r="D659" t="s">
        <v>664</v>
      </c>
      <c r="E659" t="s">
        <v>40</v>
      </c>
      <c r="F659">
        <v>0</v>
      </c>
      <c r="G659" t="s">
        <v>41</v>
      </c>
      <c r="H659" t="s">
        <v>33</v>
      </c>
      <c r="I659" t="s">
        <v>41</v>
      </c>
      <c r="J659" t="s">
        <v>23</v>
      </c>
      <c r="K659" t="s">
        <v>33</v>
      </c>
      <c r="L659" t="s">
        <v>24</v>
      </c>
      <c r="M659">
        <v>4</v>
      </c>
      <c r="N659" t="s">
        <v>25</v>
      </c>
      <c r="O659" t="s">
        <v>26</v>
      </c>
      <c r="P659" t="s">
        <v>562</v>
      </c>
      <c r="Q659" t="s">
        <v>418</v>
      </c>
    </row>
    <row r="660" spans="1:17" x14ac:dyDescent="0.3">
      <c r="A660">
        <v>1136583</v>
      </c>
      <c r="B660" t="s">
        <v>46</v>
      </c>
      <c r="C660" t="s">
        <v>665</v>
      </c>
      <c r="D660" t="s">
        <v>609</v>
      </c>
      <c r="E660" t="s">
        <v>49</v>
      </c>
      <c r="F660">
        <v>0</v>
      </c>
      <c r="G660" t="s">
        <v>50</v>
      </c>
      <c r="H660" t="s">
        <v>406</v>
      </c>
      <c r="I660" t="s">
        <v>50</v>
      </c>
      <c r="J660" t="s">
        <v>23</v>
      </c>
      <c r="K660" t="s">
        <v>406</v>
      </c>
      <c r="L660" t="s">
        <v>24</v>
      </c>
      <c r="M660">
        <v>31</v>
      </c>
      <c r="N660" t="s">
        <v>25</v>
      </c>
      <c r="O660" t="s">
        <v>26</v>
      </c>
      <c r="P660" t="s">
        <v>387</v>
      </c>
      <c r="Q660" t="s">
        <v>183</v>
      </c>
    </row>
    <row r="661" spans="1:17" x14ac:dyDescent="0.3">
      <c r="A661">
        <v>1136584</v>
      </c>
      <c r="B661" t="s">
        <v>607</v>
      </c>
      <c r="C661" t="s">
        <v>666</v>
      </c>
      <c r="D661" t="s">
        <v>87</v>
      </c>
      <c r="E661" t="s">
        <v>608</v>
      </c>
      <c r="F661">
        <v>0</v>
      </c>
      <c r="G661" t="s">
        <v>21</v>
      </c>
      <c r="H661" t="s">
        <v>34</v>
      </c>
      <c r="I661" t="s">
        <v>34</v>
      </c>
      <c r="J661" t="s">
        <v>23</v>
      </c>
      <c r="K661" t="s">
        <v>34</v>
      </c>
      <c r="L661" t="s">
        <v>43</v>
      </c>
      <c r="M661">
        <v>5</v>
      </c>
      <c r="N661" t="s">
        <v>25</v>
      </c>
      <c r="O661" t="s">
        <v>26</v>
      </c>
      <c r="P661" t="s">
        <v>441</v>
      </c>
      <c r="Q661" t="s">
        <v>552</v>
      </c>
    </row>
    <row r="662" spans="1:17" x14ac:dyDescent="0.3">
      <c r="A662">
        <v>1136585</v>
      </c>
      <c r="B662" t="s">
        <v>64</v>
      </c>
      <c r="C662" t="s">
        <v>667</v>
      </c>
      <c r="D662" t="s">
        <v>664</v>
      </c>
      <c r="E662" t="s">
        <v>67</v>
      </c>
      <c r="F662">
        <v>0</v>
      </c>
      <c r="G662" t="s">
        <v>406</v>
      </c>
      <c r="H662" t="s">
        <v>33</v>
      </c>
      <c r="I662" t="s">
        <v>33</v>
      </c>
      <c r="J662" t="s">
        <v>23</v>
      </c>
      <c r="K662" t="s">
        <v>406</v>
      </c>
      <c r="L662" t="s">
        <v>24</v>
      </c>
      <c r="M662">
        <v>13</v>
      </c>
      <c r="N662" t="s">
        <v>25</v>
      </c>
      <c r="O662" t="s">
        <v>26</v>
      </c>
      <c r="P662" t="s">
        <v>617</v>
      </c>
      <c r="Q662" t="s">
        <v>418</v>
      </c>
    </row>
    <row r="663" spans="1:17" x14ac:dyDescent="0.3">
      <c r="A663">
        <v>1136586</v>
      </c>
      <c r="B663" t="s">
        <v>38</v>
      </c>
      <c r="C663" t="s">
        <v>668</v>
      </c>
      <c r="D663" t="s">
        <v>524</v>
      </c>
      <c r="E663" t="s">
        <v>40</v>
      </c>
      <c r="F663">
        <v>0</v>
      </c>
      <c r="G663" t="s">
        <v>41</v>
      </c>
      <c r="H663" t="s">
        <v>22</v>
      </c>
      <c r="I663" t="s">
        <v>22</v>
      </c>
      <c r="J663" t="s">
        <v>23</v>
      </c>
      <c r="K663" t="s">
        <v>41</v>
      </c>
      <c r="L663" t="s">
        <v>24</v>
      </c>
      <c r="M663">
        <v>55</v>
      </c>
      <c r="N663" t="s">
        <v>25</v>
      </c>
      <c r="O663" t="s">
        <v>26</v>
      </c>
      <c r="P663" t="s">
        <v>387</v>
      </c>
      <c r="Q663" t="s">
        <v>183</v>
      </c>
    </row>
    <row r="664" spans="1:17" x14ac:dyDescent="0.3">
      <c r="A664">
        <v>1136587</v>
      </c>
      <c r="B664" t="s">
        <v>355</v>
      </c>
      <c r="C664" t="s">
        <v>669</v>
      </c>
      <c r="D664" t="s">
        <v>190</v>
      </c>
      <c r="E664" t="s">
        <v>504</v>
      </c>
      <c r="F664">
        <v>0</v>
      </c>
      <c r="G664" t="s">
        <v>34</v>
      </c>
      <c r="H664" t="s">
        <v>50</v>
      </c>
      <c r="I664" t="s">
        <v>50</v>
      </c>
      <c r="J664" t="s">
        <v>23</v>
      </c>
      <c r="K664" t="s">
        <v>50</v>
      </c>
      <c r="L664" t="s">
        <v>43</v>
      </c>
      <c r="M664">
        <v>8</v>
      </c>
      <c r="N664" t="s">
        <v>25</v>
      </c>
      <c r="O664" t="s">
        <v>26</v>
      </c>
      <c r="P664" t="s">
        <v>506</v>
      </c>
      <c r="Q664" t="s">
        <v>554</v>
      </c>
    </row>
    <row r="665" spans="1:17" x14ac:dyDescent="0.3">
      <c r="A665">
        <v>1136588</v>
      </c>
      <c r="B665" t="s">
        <v>59</v>
      </c>
      <c r="C665" t="s">
        <v>670</v>
      </c>
      <c r="D665" t="s">
        <v>623</v>
      </c>
      <c r="E665" t="s">
        <v>62</v>
      </c>
      <c r="F665">
        <v>0</v>
      </c>
      <c r="G665" t="s">
        <v>42</v>
      </c>
      <c r="H665" t="s">
        <v>406</v>
      </c>
      <c r="I665" t="s">
        <v>406</v>
      </c>
      <c r="J665" t="s">
        <v>35</v>
      </c>
      <c r="K665" t="s">
        <v>406</v>
      </c>
      <c r="L665" t="s">
        <v>24</v>
      </c>
      <c r="M665">
        <v>11</v>
      </c>
      <c r="N665" t="s">
        <v>25</v>
      </c>
      <c r="O665" t="s">
        <v>26</v>
      </c>
      <c r="P665" t="s">
        <v>359</v>
      </c>
      <c r="Q665" t="s">
        <v>562</v>
      </c>
    </row>
    <row r="666" spans="1:17" x14ac:dyDescent="0.3">
      <c r="A666">
        <v>1136589</v>
      </c>
      <c r="B666" t="s">
        <v>607</v>
      </c>
      <c r="C666" t="s">
        <v>670</v>
      </c>
      <c r="D666" t="s">
        <v>473</v>
      </c>
      <c r="E666" t="s">
        <v>608</v>
      </c>
      <c r="F666">
        <v>0</v>
      </c>
      <c r="G666" t="s">
        <v>21</v>
      </c>
      <c r="H666" t="s">
        <v>22</v>
      </c>
      <c r="I666" t="s">
        <v>22</v>
      </c>
      <c r="J666" t="s">
        <v>23</v>
      </c>
      <c r="K666" t="s">
        <v>22</v>
      </c>
      <c r="L666" t="s">
        <v>43</v>
      </c>
      <c r="M666">
        <v>6</v>
      </c>
      <c r="N666" t="s">
        <v>25</v>
      </c>
      <c r="O666" t="s">
        <v>26</v>
      </c>
      <c r="P666" t="s">
        <v>441</v>
      </c>
      <c r="Q666" t="s">
        <v>349</v>
      </c>
    </row>
    <row r="667" spans="1:17" x14ac:dyDescent="0.3">
      <c r="A667">
        <v>1136590</v>
      </c>
      <c r="B667" t="s">
        <v>355</v>
      </c>
      <c r="C667" t="s">
        <v>671</v>
      </c>
      <c r="D667" t="s">
        <v>61</v>
      </c>
      <c r="E667" t="s">
        <v>504</v>
      </c>
      <c r="F667">
        <v>0</v>
      </c>
      <c r="G667" t="s">
        <v>34</v>
      </c>
      <c r="H667" t="s">
        <v>41</v>
      </c>
      <c r="I667" t="s">
        <v>41</v>
      </c>
      <c r="J667" t="s">
        <v>23</v>
      </c>
      <c r="K667" t="s">
        <v>34</v>
      </c>
      <c r="L667" t="s">
        <v>24</v>
      </c>
      <c r="M667">
        <v>13</v>
      </c>
      <c r="N667" t="s">
        <v>25</v>
      </c>
      <c r="O667" t="s">
        <v>26</v>
      </c>
      <c r="P667" t="s">
        <v>576</v>
      </c>
      <c r="Q667" t="s">
        <v>387</v>
      </c>
    </row>
    <row r="668" spans="1:17" x14ac:dyDescent="0.3">
      <c r="A668">
        <v>1136591</v>
      </c>
      <c r="B668" t="s">
        <v>607</v>
      </c>
      <c r="C668" s="1">
        <v>43105</v>
      </c>
      <c r="D668" t="s">
        <v>672</v>
      </c>
      <c r="E668" t="s">
        <v>608</v>
      </c>
      <c r="F668">
        <v>0</v>
      </c>
      <c r="G668" t="s">
        <v>21</v>
      </c>
      <c r="H668" t="s">
        <v>50</v>
      </c>
      <c r="I668" t="s">
        <v>50</v>
      </c>
      <c r="J668" t="s">
        <v>23</v>
      </c>
      <c r="K668" t="s">
        <v>21</v>
      </c>
      <c r="L668" t="s">
        <v>24</v>
      </c>
      <c r="M668">
        <v>14</v>
      </c>
      <c r="N668" t="s">
        <v>25</v>
      </c>
      <c r="O668" t="s">
        <v>26</v>
      </c>
      <c r="P668" t="s">
        <v>155</v>
      </c>
      <c r="Q668" t="s">
        <v>554</v>
      </c>
    </row>
    <row r="669" spans="1:17" x14ac:dyDescent="0.3">
      <c r="A669">
        <v>1136592</v>
      </c>
      <c r="B669" t="s">
        <v>38</v>
      </c>
      <c r="C669" s="1">
        <v>43136</v>
      </c>
      <c r="D669" t="s">
        <v>584</v>
      </c>
      <c r="E669" t="s">
        <v>40</v>
      </c>
      <c r="F669">
        <v>0</v>
      </c>
      <c r="G669" t="s">
        <v>41</v>
      </c>
      <c r="H669" t="s">
        <v>42</v>
      </c>
      <c r="I669" t="s">
        <v>42</v>
      </c>
      <c r="J669" t="s">
        <v>23</v>
      </c>
      <c r="K669" t="s">
        <v>41</v>
      </c>
      <c r="L669" t="s">
        <v>24</v>
      </c>
      <c r="M669">
        <v>4</v>
      </c>
      <c r="N669" t="s">
        <v>25</v>
      </c>
      <c r="O669" t="s">
        <v>115</v>
      </c>
      <c r="P669" t="s">
        <v>552</v>
      </c>
      <c r="Q669" t="s">
        <v>418</v>
      </c>
    </row>
    <row r="670" spans="1:17" x14ac:dyDescent="0.3">
      <c r="A670">
        <v>1136593</v>
      </c>
      <c r="B670" t="s">
        <v>53</v>
      </c>
      <c r="C670" s="1">
        <v>43164</v>
      </c>
      <c r="D670" t="s">
        <v>368</v>
      </c>
      <c r="E670" t="s">
        <v>55</v>
      </c>
      <c r="F670">
        <v>0</v>
      </c>
      <c r="G670" t="s">
        <v>22</v>
      </c>
      <c r="H670" t="s">
        <v>34</v>
      </c>
      <c r="I670" t="s">
        <v>22</v>
      </c>
      <c r="J670" t="s">
        <v>23</v>
      </c>
      <c r="K670" t="s">
        <v>22</v>
      </c>
      <c r="L670" t="s">
        <v>43</v>
      </c>
      <c r="M670">
        <v>6</v>
      </c>
      <c r="N670" t="s">
        <v>25</v>
      </c>
      <c r="O670" t="s">
        <v>26</v>
      </c>
      <c r="P670" t="s">
        <v>165</v>
      </c>
      <c r="Q670" t="s">
        <v>610</v>
      </c>
    </row>
    <row r="671" spans="1:17" x14ac:dyDescent="0.3">
      <c r="A671">
        <v>1136594</v>
      </c>
      <c r="B671" t="s">
        <v>327</v>
      </c>
      <c r="C671" s="1">
        <v>43195</v>
      </c>
      <c r="D671" t="s">
        <v>572</v>
      </c>
      <c r="E671" t="s">
        <v>329</v>
      </c>
      <c r="F671">
        <v>0</v>
      </c>
      <c r="G671" t="s">
        <v>33</v>
      </c>
      <c r="H671" t="s">
        <v>50</v>
      </c>
      <c r="I671" t="s">
        <v>50</v>
      </c>
      <c r="J671" t="s">
        <v>23</v>
      </c>
      <c r="K671" t="s">
        <v>50</v>
      </c>
      <c r="L671" t="s">
        <v>43</v>
      </c>
      <c r="M671">
        <v>6</v>
      </c>
      <c r="N671" t="s">
        <v>25</v>
      </c>
      <c r="O671" t="s">
        <v>26</v>
      </c>
      <c r="P671" t="s">
        <v>576</v>
      </c>
      <c r="Q671" t="s">
        <v>183</v>
      </c>
    </row>
    <row r="672" spans="1:17" x14ac:dyDescent="0.3">
      <c r="A672">
        <v>1136595</v>
      </c>
      <c r="B672" t="s">
        <v>355</v>
      </c>
      <c r="C672" s="1">
        <v>43225</v>
      </c>
      <c r="D672" t="s">
        <v>352</v>
      </c>
      <c r="E672" t="s">
        <v>504</v>
      </c>
      <c r="F672">
        <v>0</v>
      </c>
      <c r="G672" t="s">
        <v>34</v>
      </c>
      <c r="H672" t="s">
        <v>21</v>
      </c>
      <c r="I672" t="s">
        <v>34</v>
      </c>
      <c r="J672" t="s">
        <v>23</v>
      </c>
      <c r="K672" t="s">
        <v>34</v>
      </c>
      <c r="L672" t="s">
        <v>43</v>
      </c>
      <c r="M672">
        <v>6</v>
      </c>
      <c r="N672" t="s">
        <v>25</v>
      </c>
      <c r="O672" t="s">
        <v>26</v>
      </c>
      <c r="P672" t="s">
        <v>554</v>
      </c>
      <c r="Q672" t="s">
        <v>617</v>
      </c>
    </row>
    <row r="673" spans="1:17" x14ac:dyDescent="0.3">
      <c r="A673">
        <v>1136596</v>
      </c>
      <c r="B673" t="s">
        <v>64</v>
      </c>
      <c r="C673" s="1">
        <v>43225</v>
      </c>
      <c r="D673" t="s">
        <v>609</v>
      </c>
      <c r="E673" t="s">
        <v>67</v>
      </c>
      <c r="F673">
        <v>0</v>
      </c>
      <c r="G673" t="s">
        <v>406</v>
      </c>
      <c r="H673" t="s">
        <v>41</v>
      </c>
      <c r="I673" t="s">
        <v>41</v>
      </c>
      <c r="J673" t="s">
        <v>35</v>
      </c>
      <c r="K673" t="s">
        <v>406</v>
      </c>
      <c r="L673" t="s">
        <v>43</v>
      </c>
      <c r="M673">
        <v>7</v>
      </c>
      <c r="N673" t="s">
        <v>25</v>
      </c>
      <c r="O673" t="s">
        <v>26</v>
      </c>
      <c r="P673" t="s">
        <v>359</v>
      </c>
      <c r="Q673" t="s">
        <v>418</v>
      </c>
    </row>
    <row r="674" spans="1:17" x14ac:dyDescent="0.3">
      <c r="A674">
        <v>1136597</v>
      </c>
      <c r="B674" t="s">
        <v>46</v>
      </c>
      <c r="C674" s="1">
        <v>43256</v>
      </c>
      <c r="D674" t="s">
        <v>536</v>
      </c>
      <c r="E674" t="s">
        <v>49</v>
      </c>
      <c r="F674">
        <v>0</v>
      </c>
      <c r="G674" t="s">
        <v>50</v>
      </c>
      <c r="H674" t="s">
        <v>22</v>
      </c>
      <c r="I674" t="s">
        <v>22</v>
      </c>
      <c r="J674" t="s">
        <v>23</v>
      </c>
      <c r="K674" t="s">
        <v>50</v>
      </c>
      <c r="L674" t="s">
        <v>24</v>
      </c>
      <c r="M674">
        <v>13</v>
      </c>
      <c r="N674" t="s">
        <v>25</v>
      </c>
      <c r="O674" t="s">
        <v>26</v>
      </c>
      <c r="P674" t="s">
        <v>165</v>
      </c>
      <c r="Q674" t="s">
        <v>610</v>
      </c>
    </row>
    <row r="675" spans="1:17" x14ac:dyDescent="0.3">
      <c r="A675">
        <v>1136598</v>
      </c>
      <c r="B675" t="s">
        <v>327</v>
      </c>
      <c r="C675" s="1">
        <v>43256</v>
      </c>
      <c r="D675" t="s">
        <v>673</v>
      </c>
      <c r="E675" t="s">
        <v>329</v>
      </c>
      <c r="F675">
        <v>0</v>
      </c>
      <c r="G675" t="s">
        <v>33</v>
      </c>
      <c r="H675" t="s">
        <v>42</v>
      </c>
      <c r="I675" t="s">
        <v>33</v>
      </c>
      <c r="J675" t="s">
        <v>23</v>
      </c>
      <c r="K675" t="s">
        <v>33</v>
      </c>
      <c r="L675" t="s">
        <v>43</v>
      </c>
      <c r="M675">
        <v>6</v>
      </c>
      <c r="N675" t="s">
        <v>25</v>
      </c>
      <c r="O675" t="s">
        <v>26</v>
      </c>
      <c r="P675" t="s">
        <v>387</v>
      </c>
      <c r="Q675" t="s">
        <v>183</v>
      </c>
    </row>
    <row r="676" spans="1:17" x14ac:dyDescent="0.3">
      <c r="A676">
        <v>1136599</v>
      </c>
      <c r="B676" t="s">
        <v>64</v>
      </c>
      <c r="C676" s="1">
        <v>43286</v>
      </c>
      <c r="D676" t="s">
        <v>623</v>
      </c>
      <c r="E676" t="s">
        <v>67</v>
      </c>
      <c r="F676">
        <v>0</v>
      </c>
      <c r="G676" t="s">
        <v>406</v>
      </c>
      <c r="H676" t="s">
        <v>21</v>
      </c>
      <c r="I676" t="s">
        <v>21</v>
      </c>
      <c r="J676" t="s">
        <v>23</v>
      </c>
      <c r="K676" t="s">
        <v>406</v>
      </c>
      <c r="L676" t="s">
        <v>24</v>
      </c>
      <c r="M676">
        <v>5</v>
      </c>
      <c r="N676" t="s">
        <v>25</v>
      </c>
      <c r="O676" t="s">
        <v>26</v>
      </c>
      <c r="P676" t="s">
        <v>359</v>
      </c>
      <c r="Q676" t="s">
        <v>552</v>
      </c>
    </row>
    <row r="677" spans="1:17" x14ac:dyDescent="0.3">
      <c r="A677">
        <v>1136600</v>
      </c>
      <c r="B677" t="s">
        <v>59</v>
      </c>
      <c r="C677" s="1">
        <v>43317</v>
      </c>
      <c r="D677" t="s">
        <v>625</v>
      </c>
      <c r="E677" t="s">
        <v>62</v>
      </c>
      <c r="F677">
        <v>0</v>
      </c>
      <c r="G677" t="s">
        <v>42</v>
      </c>
      <c r="H677" t="s">
        <v>33</v>
      </c>
      <c r="I677" t="s">
        <v>42</v>
      </c>
      <c r="J677" t="s">
        <v>35</v>
      </c>
      <c r="K677" t="s">
        <v>42</v>
      </c>
      <c r="L677" t="s">
        <v>24</v>
      </c>
      <c r="M677">
        <v>15</v>
      </c>
      <c r="N677" t="s">
        <v>25</v>
      </c>
      <c r="O677" t="s">
        <v>26</v>
      </c>
      <c r="P677" t="s">
        <v>155</v>
      </c>
      <c r="Q677" t="s">
        <v>554</v>
      </c>
    </row>
    <row r="678" spans="1:17" x14ac:dyDescent="0.3">
      <c r="A678">
        <v>1136601</v>
      </c>
      <c r="B678" t="s">
        <v>53</v>
      </c>
      <c r="C678" s="1">
        <v>43348</v>
      </c>
      <c r="D678" t="s">
        <v>674</v>
      </c>
      <c r="E678" t="s">
        <v>55</v>
      </c>
      <c r="F678">
        <v>0</v>
      </c>
      <c r="G678" t="s">
        <v>22</v>
      </c>
      <c r="H678" t="s">
        <v>50</v>
      </c>
      <c r="I678" t="s">
        <v>22</v>
      </c>
      <c r="J678" t="s">
        <v>23</v>
      </c>
      <c r="K678" t="s">
        <v>50</v>
      </c>
      <c r="L678" t="s">
        <v>24</v>
      </c>
      <c r="M678">
        <v>102</v>
      </c>
      <c r="N678" t="s">
        <v>25</v>
      </c>
      <c r="O678" t="s">
        <v>26</v>
      </c>
      <c r="P678" t="s">
        <v>583</v>
      </c>
      <c r="Q678" t="s">
        <v>349</v>
      </c>
    </row>
    <row r="679" spans="1:17" x14ac:dyDescent="0.3">
      <c r="A679">
        <v>1136602</v>
      </c>
      <c r="B679" t="s">
        <v>38</v>
      </c>
      <c r="C679" s="1">
        <v>43378</v>
      </c>
      <c r="D679" t="s">
        <v>339</v>
      </c>
      <c r="E679" t="s">
        <v>40</v>
      </c>
      <c r="F679">
        <v>0</v>
      </c>
      <c r="G679" t="s">
        <v>41</v>
      </c>
      <c r="H679" t="s">
        <v>406</v>
      </c>
      <c r="I679" t="s">
        <v>41</v>
      </c>
      <c r="J679" t="s">
        <v>35</v>
      </c>
      <c r="K679" t="s">
        <v>406</v>
      </c>
      <c r="L679" t="s">
        <v>43</v>
      </c>
      <c r="M679">
        <v>9</v>
      </c>
      <c r="N679" t="s">
        <v>25</v>
      </c>
      <c r="O679" t="s">
        <v>26</v>
      </c>
      <c r="P679" t="s">
        <v>576</v>
      </c>
      <c r="Q679" t="s">
        <v>387</v>
      </c>
    </row>
    <row r="680" spans="1:17" x14ac:dyDescent="0.3">
      <c r="A680">
        <v>1136603</v>
      </c>
      <c r="B680" t="s">
        <v>59</v>
      </c>
      <c r="C680" s="1">
        <v>43409</v>
      </c>
      <c r="D680" t="s">
        <v>625</v>
      </c>
      <c r="E680" t="s">
        <v>62</v>
      </c>
      <c r="F680">
        <v>0</v>
      </c>
      <c r="G680" t="s">
        <v>42</v>
      </c>
      <c r="H680" t="s">
        <v>34</v>
      </c>
      <c r="I680" t="s">
        <v>34</v>
      </c>
      <c r="J680" t="s">
        <v>35</v>
      </c>
      <c r="K680" t="s">
        <v>42</v>
      </c>
      <c r="L680" t="s">
        <v>43</v>
      </c>
      <c r="M680">
        <v>4</v>
      </c>
      <c r="N680" t="s">
        <v>25</v>
      </c>
      <c r="O680" t="s">
        <v>26</v>
      </c>
      <c r="P680" t="s">
        <v>155</v>
      </c>
      <c r="Q680" t="s">
        <v>617</v>
      </c>
    </row>
    <row r="681" spans="1:17" x14ac:dyDescent="0.3">
      <c r="A681">
        <v>1136604</v>
      </c>
      <c r="B681" t="s">
        <v>327</v>
      </c>
      <c r="C681" s="1">
        <v>43439</v>
      </c>
      <c r="D681" t="s">
        <v>368</v>
      </c>
      <c r="E681" t="s">
        <v>329</v>
      </c>
      <c r="F681">
        <v>0</v>
      </c>
      <c r="G681" t="s">
        <v>33</v>
      </c>
      <c r="H681" t="s">
        <v>22</v>
      </c>
      <c r="I681" t="s">
        <v>33</v>
      </c>
      <c r="J681" t="s">
        <v>23</v>
      </c>
      <c r="K681" t="s">
        <v>22</v>
      </c>
      <c r="L681" t="s">
        <v>24</v>
      </c>
      <c r="M681">
        <v>31</v>
      </c>
      <c r="N681" t="s">
        <v>25</v>
      </c>
      <c r="O681" t="s">
        <v>26</v>
      </c>
      <c r="P681" t="s">
        <v>552</v>
      </c>
      <c r="Q681" t="s">
        <v>418</v>
      </c>
    </row>
    <row r="682" spans="1:17" x14ac:dyDescent="0.3">
      <c r="A682">
        <v>1136605</v>
      </c>
      <c r="B682" t="s">
        <v>38</v>
      </c>
      <c r="C682" s="1">
        <v>43439</v>
      </c>
      <c r="D682" t="s">
        <v>157</v>
      </c>
      <c r="E682" t="s">
        <v>40</v>
      </c>
      <c r="F682">
        <v>0</v>
      </c>
      <c r="G682" t="s">
        <v>41</v>
      </c>
      <c r="H682" t="s">
        <v>21</v>
      </c>
      <c r="I682" t="s">
        <v>21</v>
      </c>
      <c r="J682" t="s">
        <v>23</v>
      </c>
      <c r="K682" t="s">
        <v>21</v>
      </c>
      <c r="L682" t="s">
        <v>43</v>
      </c>
      <c r="M682">
        <v>5</v>
      </c>
      <c r="N682" t="s">
        <v>25</v>
      </c>
      <c r="O682" t="s">
        <v>26</v>
      </c>
      <c r="P682" t="s">
        <v>583</v>
      </c>
      <c r="Q682" t="s">
        <v>165</v>
      </c>
    </row>
    <row r="683" spans="1:17" x14ac:dyDescent="0.3">
      <c r="A683">
        <v>1136606</v>
      </c>
      <c r="B683" t="s">
        <v>355</v>
      </c>
      <c r="C683" t="s">
        <v>675</v>
      </c>
      <c r="D683" t="s">
        <v>257</v>
      </c>
      <c r="E683" t="s">
        <v>504</v>
      </c>
      <c r="F683">
        <v>0</v>
      </c>
      <c r="G683" t="s">
        <v>34</v>
      </c>
      <c r="H683" t="s">
        <v>406</v>
      </c>
      <c r="I683" t="s">
        <v>34</v>
      </c>
      <c r="J683" t="s">
        <v>23</v>
      </c>
      <c r="K683" t="s">
        <v>34</v>
      </c>
      <c r="L683" t="s">
        <v>43</v>
      </c>
      <c r="M683">
        <v>8</v>
      </c>
      <c r="N683" t="s">
        <v>25</v>
      </c>
      <c r="O683" t="s">
        <v>26</v>
      </c>
      <c r="P683" t="s">
        <v>155</v>
      </c>
      <c r="Q683" t="s">
        <v>617</v>
      </c>
    </row>
    <row r="684" spans="1:17" x14ac:dyDescent="0.3">
      <c r="A684">
        <v>1136607</v>
      </c>
      <c r="B684" t="s">
        <v>46</v>
      </c>
      <c r="C684" t="s">
        <v>675</v>
      </c>
      <c r="D684" t="s">
        <v>625</v>
      </c>
      <c r="E684" t="s">
        <v>49</v>
      </c>
      <c r="F684">
        <v>0</v>
      </c>
      <c r="G684" t="s">
        <v>50</v>
      </c>
      <c r="H684" t="s">
        <v>42</v>
      </c>
      <c r="I684" t="s">
        <v>42</v>
      </c>
      <c r="J684" t="s">
        <v>23</v>
      </c>
      <c r="K684" t="s">
        <v>42</v>
      </c>
      <c r="L684" t="s">
        <v>43</v>
      </c>
      <c r="M684">
        <v>7</v>
      </c>
      <c r="N684" t="s">
        <v>25</v>
      </c>
      <c r="O684" t="s">
        <v>26</v>
      </c>
      <c r="P684" t="s">
        <v>554</v>
      </c>
      <c r="Q684" t="s">
        <v>183</v>
      </c>
    </row>
    <row r="685" spans="1:17" x14ac:dyDescent="0.3">
      <c r="A685">
        <v>1136608</v>
      </c>
      <c r="B685" t="s">
        <v>327</v>
      </c>
      <c r="C685" t="s">
        <v>676</v>
      </c>
      <c r="D685" t="s">
        <v>395</v>
      </c>
      <c r="E685" t="s">
        <v>329</v>
      </c>
      <c r="F685">
        <v>0</v>
      </c>
      <c r="G685" t="s">
        <v>33</v>
      </c>
      <c r="H685" t="s">
        <v>21</v>
      </c>
      <c r="I685" t="s">
        <v>21</v>
      </c>
      <c r="J685" t="s">
        <v>23</v>
      </c>
      <c r="K685" t="s">
        <v>21</v>
      </c>
      <c r="L685" t="s">
        <v>43</v>
      </c>
      <c r="M685">
        <v>10</v>
      </c>
      <c r="N685" t="s">
        <v>25</v>
      </c>
      <c r="O685" t="s">
        <v>26</v>
      </c>
      <c r="P685" t="s">
        <v>359</v>
      </c>
      <c r="Q685" t="s">
        <v>552</v>
      </c>
    </row>
    <row r="686" spans="1:17" x14ac:dyDescent="0.3">
      <c r="A686">
        <v>1136609</v>
      </c>
      <c r="B686" t="s">
        <v>53</v>
      </c>
      <c r="C686" t="s">
        <v>677</v>
      </c>
      <c r="D686" t="s">
        <v>678</v>
      </c>
      <c r="E686" t="s">
        <v>55</v>
      </c>
      <c r="F686">
        <v>0</v>
      </c>
      <c r="G686" t="s">
        <v>22</v>
      </c>
      <c r="H686" t="s">
        <v>42</v>
      </c>
      <c r="I686" t="s">
        <v>22</v>
      </c>
      <c r="J686" t="s">
        <v>23</v>
      </c>
      <c r="K686" t="s">
        <v>22</v>
      </c>
      <c r="L686" t="s">
        <v>43</v>
      </c>
      <c r="M686">
        <v>6</v>
      </c>
      <c r="N686" t="s">
        <v>25</v>
      </c>
      <c r="O686" t="s">
        <v>26</v>
      </c>
      <c r="P686" t="s">
        <v>165</v>
      </c>
      <c r="Q686" t="s">
        <v>349</v>
      </c>
    </row>
    <row r="687" spans="1:17" x14ac:dyDescent="0.3">
      <c r="A687">
        <v>1136610</v>
      </c>
      <c r="B687" t="s">
        <v>46</v>
      </c>
      <c r="C687" t="s">
        <v>679</v>
      </c>
      <c r="D687" t="s">
        <v>612</v>
      </c>
      <c r="E687" t="s">
        <v>49</v>
      </c>
      <c r="F687">
        <v>0</v>
      </c>
      <c r="G687" t="s">
        <v>50</v>
      </c>
      <c r="H687" t="s">
        <v>33</v>
      </c>
      <c r="I687" t="s">
        <v>33</v>
      </c>
      <c r="J687" t="s">
        <v>23</v>
      </c>
      <c r="K687" t="s">
        <v>50</v>
      </c>
      <c r="L687" t="s">
        <v>24</v>
      </c>
      <c r="M687">
        <v>3</v>
      </c>
      <c r="N687" t="s">
        <v>25</v>
      </c>
      <c r="O687" t="s">
        <v>26</v>
      </c>
      <c r="P687" t="s">
        <v>155</v>
      </c>
      <c r="Q687" t="s">
        <v>554</v>
      </c>
    </row>
    <row r="688" spans="1:17" x14ac:dyDescent="0.3">
      <c r="A688">
        <v>1136611</v>
      </c>
      <c r="B688" t="s">
        <v>607</v>
      </c>
      <c r="C688" t="s">
        <v>680</v>
      </c>
      <c r="D688" t="s">
        <v>157</v>
      </c>
      <c r="E688" t="s">
        <v>608</v>
      </c>
      <c r="F688">
        <v>0</v>
      </c>
      <c r="G688" t="s">
        <v>21</v>
      </c>
      <c r="H688" t="s">
        <v>406</v>
      </c>
      <c r="I688" t="s">
        <v>406</v>
      </c>
      <c r="J688" t="s">
        <v>23</v>
      </c>
      <c r="K688" t="s">
        <v>21</v>
      </c>
      <c r="L688" t="s">
        <v>24</v>
      </c>
      <c r="M688">
        <v>14</v>
      </c>
      <c r="N688" t="s">
        <v>25</v>
      </c>
      <c r="O688" t="s">
        <v>26</v>
      </c>
      <c r="P688" t="s">
        <v>576</v>
      </c>
      <c r="Q688" t="s">
        <v>183</v>
      </c>
    </row>
    <row r="689" spans="1:17" x14ac:dyDescent="0.3">
      <c r="A689">
        <v>1136612</v>
      </c>
      <c r="B689" t="s">
        <v>38</v>
      </c>
      <c r="C689" t="s">
        <v>681</v>
      </c>
      <c r="D689" t="s">
        <v>641</v>
      </c>
      <c r="E689" t="s">
        <v>40</v>
      </c>
      <c r="F689">
        <v>0</v>
      </c>
      <c r="G689" t="s">
        <v>41</v>
      </c>
      <c r="H689" t="s">
        <v>34</v>
      </c>
      <c r="I689" t="s">
        <v>34</v>
      </c>
      <c r="J689" t="s">
        <v>23</v>
      </c>
      <c r="K689" t="s">
        <v>41</v>
      </c>
      <c r="L689" t="s">
        <v>24</v>
      </c>
      <c r="M689">
        <v>34</v>
      </c>
      <c r="N689" t="s">
        <v>25</v>
      </c>
      <c r="O689" t="s">
        <v>26</v>
      </c>
      <c r="P689" t="s">
        <v>354</v>
      </c>
      <c r="Q689" t="s">
        <v>165</v>
      </c>
    </row>
    <row r="690" spans="1:17" x14ac:dyDescent="0.3">
      <c r="A690">
        <v>1136613</v>
      </c>
      <c r="B690" t="s">
        <v>59</v>
      </c>
      <c r="C690" t="s">
        <v>682</v>
      </c>
      <c r="D690" t="s">
        <v>683</v>
      </c>
      <c r="E690" t="s">
        <v>62</v>
      </c>
      <c r="F690">
        <v>0</v>
      </c>
      <c r="G690" t="s">
        <v>42</v>
      </c>
      <c r="H690" t="s">
        <v>21</v>
      </c>
      <c r="I690" t="s">
        <v>42</v>
      </c>
      <c r="J690" t="s">
        <v>35</v>
      </c>
      <c r="K690" t="s">
        <v>42</v>
      </c>
      <c r="L690" t="s">
        <v>24</v>
      </c>
      <c r="M690">
        <v>30</v>
      </c>
      <c r="N690" t="s">
        <v>25</v>
      </c>
      <c r="O690" t="s">
        <v>26</v>
      </c>
      <c r="P690" t="s">
        <v>359</v>
      </c>
      <c r="Q690" t="s">
        <v>552</v>
      </c>
    </row>
    <row r="691" spans="1:17" x14ac:dyDescent="0.3">
      <c r="A691">
        <v>1136614</v>
      </c>
      <c r="B691" t="s">
        <v>64</v>
      </c>
      <c r="C691" t="s">
        <v>682</v>
      </c>
      <c r="D691" t="s">
        <v>473</v>
      </c>
      <c r="E691" t="s">
        <v>67</v>
      </c>
      <c r="F691">
        <v>0</v>
      </c>
      <c r="G691" t="s">
        <v>406</v>
      </c>
      <c r="H691" t="s">
        <v>22</v>
      </c>
      <c r="I691" t="s">
        <v>406</v>
      </c>
      <c r="J691" t="s">
        <v>35</v>
      </c>
      <c r="K691" t="s">
        <v>22</v>
      </c>
      <c r="L691" t="s">
        <v>43</v>
      </c>
      <c r="M691">
        <v>5</v>
      </c>
      <c r="N691" t="s">
        <v>25</v>
      </c>
      <c r="O691" t="s">
        <v>26</v>
      </c>
      <c r="P691" t="s">
        <v>349</v>
      </c>
      <c r="Q691" t="s">
        <v>183</v>
      </c>
    </row>
    <row r="692" spans="1:17" x14ac:dyDescent="0.3">
      <c r="A692">
        <v>1136615</v>
      </c>
      <c r="B692" t="s">
        <v>38</v>
      </c>
      <c r="C692" t="s">
        <v>684</v>
      </c>
      <c r="D692" t="s">
        <v>111</v>
      </c>
      <c r="E692" t="s">
        <v>40</v>
      </c>
      <c r="F692">
        <v>0</v>
      </c>
      <c r="G692" t="s">
        <v>41</v>
      </c>
      <c r="H692" t="s">
        <v>50</v>
      </c>
      <c r="I692" t="s">
        <v>41</v>
      </c>
      <c r="J692" t="s">
        <v>35</v>
      </c>
      <c r="K692" t="s">
        <v>41</v>
      </c>
      <c r="L692" t="s">
        <v>24</v>
      </c>
      <c r="M692">
        <v>11</v>
      </c>
      <c r="N692" t="s">
        <v>25</v>
      </c>
      <c r="O692" t="s">
        <v>26</v>
      </c>
      <c r="P692" t="s">
        <v>165</v>
      </c>
      <c r="Q692" t="s">
        <v>418</v>
      </c>
    </row>
    <row r="693" spans="1:17" x14ac:dyDescent="0.3">
      <c r="A693">
        <v>1136616</v>
      </c>
      <c r="B693" t="s">
        <v>355</v>
      </c>
      <c r="C693" t="s">
        <v>684</v>
      </c>
      <c r="D693" t="s">
        <v>685</v>
      </c>
      <c r="E693" t="s">
        <v>504</v>
      </c>
      <c r="F693">
        <v>0</v>
      </c>
      <c r="G693" t="s">
        <v>34</v>
      </c>
      <c r="H693" t="s">
        <v>33</v>
      </c>
      <c r="I693" t="s">
        <v>34</v>
      </c>
      <c r="J693" t="s">
        <v>23</v>
      </c>
      <c r="K693" t="s">
        <v>34</v>
      </c>
      <c r="L693" t="s">
        <v>43</v>
      </c>
      <c r="M693">
        <v>5</v>
      </c>
      <c r="N693" t="s">
        <v>25</v>
      </c>
      <c r="O693" t="s">
        <v>26</v>
      </c>
      <c r="P693" t="s">
        <v>554</v>
      </c>
      <c r="Q693" t="s">
        <v>617</v>
      </c>
    </row>
    <row r="694" spans="1:17" x14ac:dyDescent="0.3">
      <c r="A694">
        <v>1136617</v>
      </c>
      <c r="B694" t="s">
        <v>46</v>
      </c>
      <c r="C694" t="s">
        <v>686</v>
      </c>
      <c r="D694" t="s">
        <v>360</v>
      </c>
      <c r="E694" t="s">
        <v>49</v>
      </c>
      <c r="F694">
        <v>0</v>
      </c>
      <c r="G694" t="s">
        <v>406</v>
      </c>
      <c r="H694" t="s">
        <v>34</v>
      </c>
      <c r="I694" t="s">
        <v>34</v>
      </c>
      <c r="J694" t="s">
        <v>23</v>
      </c>
      <c r="K694" t="s">
        <v>34</v>
      </c>
      <c r="L694" t="s">
        <v>43</v>
      </c>
      <c r="M694">
        <v>2</v>
      </c>
      <c r="N694" t="s">
        <v>25</v>
      </c>
      <c r="O694" t="s">
        <v>26</v>
      </c>
      <c r="P694" t="s">
        <v>387</v>
      </c>
      <c r="Q694" t="s">
        <v>155</v>
      </c>
    </row>
    <row r="695" spans="1:17" x14ac:dyDescent="0.3">
      <c r="A695">
        <v>1136618</v>
      </c>
      <c r="B695" t="s">
        <v>53</v>
      </c>
      <c r="C695" t="s">
        <v>687</v>
      </c>
      <c r="D695" t="s">
        <v>513</v>
      </c>
      <c r="E695" t="s">
        <v>55</v>
      </c>
      <c r="F695">
        <v>0</v>
      </c>
      <c r="G695" t="s">
        <v>22</v>
      </c>
      <c r="H695" t="s">
        <v>42</v>
      </c>
      <c r="I695" t="s">
        <v>42</v>
      </c>
      <c r="J695" t="s">
        <v>23</v>
      </c>
      <c r="K695" t="s">
        <v>22</v>
      </c>
      <c r="L695" t="s">
        <v>24</v>
      </c>
      <c r="M695">
        <v>25</v>
      </c>
      <c r="N695" t="s">
        <v>25</v>
      </c>
      <c r="O695" t="s">
        <v>26</v>
      </c>
      <c r="P695" t="s">
        <v>349</v>
      </c>
      <c r="Q695" t="s">
        <v>554</v>
      </c>
    </row>
    <row r="696" spans="1:17" x14ac:dyDescent="0.3">
      <c r="A696">
        <v>1136619</v>
      </c>
      <c r="B696" t="s">
        <v>53</v>
      </c>
      <c r="C696" t="s">
        <v>688</v>
      </c>
      <c r="D696" t="s">
        <v>609</v>
      </c>
      <c r="E696" t="s">
        <v>55</v>
      </c>
      <c r="F696">
        <v>0</v>
      </c>
      <c r="G696" t="s">
        <v>22</v>
      </c>
      <c r="H696" t="s">
        <v>406</v>
      </c>
      <c r="I696" t="s">
        <v>22</v>
      </c>
      <c r="J696" t="s">
        <v>23</v>
      </c>
      <c r="K696" t="s">
        <v>406</v>
      </c>
      <c r="L696" t="s">
        <v>24</v>
      </c>
      <c r="M696">
        <v>14</v>
      </c>
      <c r="N696" t="s">
        <v>25</v>
      </c>
      <c r="O696" t="s">
        <v>26</v>
      </c>
      <c r="P696" t="s">
        <v>165</v>
      </c>
      <c r="Q696" t="s">
        <v>554</v>
      </c>
    </row>
    <row r="697" spans="1:17" x14ac:dyDescent="0.3">
      <c r="A697">
        <v>1136620</v>
      </c>
      <c r="B697" t="s">
        <v>46</v>
      </c>
      <c r="C697" t="s">
        <v>689</v>
      </c>
      <c r="D697" t="s">
        <v>61</v>
      </c>
      <c r="E697" t="s">
        <v>49</v>
      </c>
      <c r="F697">
        <v>0</v>
      </c>
      <c r="G697" t="s">
        <v>34</v>
      </c>
      <c r="H697" t="s">
        <v>406</v>
      </c>
      <c r="I697" t="s">
        <v>34</v>
      </c>
      <c r="J697" t="s">
        <v>23</v>
      </c>
      <c r="K697" t="s">
        <v>34</v>
      </c>
      <c r="L697" t="s">
        <v>43</v>
      </c>
      <c r="M697">
        <v>8</v>
      </c>
      <c r="N697" t="s">
        <v>25</v>
      </c>
      <c r="O697" t="s">
        <v>26</v>
      </c>
      <c r="P697" t="s">
        <v>155</v>
      </c>
      <c r="Q697" t="s">
        <v>183</v>
      </c>
    </row>
    <row r="698" spans="1:17" x14ac:dyDescent="0.3">
      <c r="A698">
        <v>1175356</v>
      </c>
      <c r="B698" t="s">
        <v>70</v>
      </c>
      <c r="C698" t="s">
        <v>690</v>
      </c>
      <c r="D698" t="s">
        <v>197</v>
      </c>
      <c r="E698" t="s">
        <v>73</v>
      </c>
      <c r="F698">
        <v>0</v>
      </c>
      <c r="G698" t="s">
        <v>34</v>
      </c>
      <c r="H698" t="s">
        <v>21</v>
      </c>
      <c r="I698" t="s">
        <v>34</v>
      </c>
      <c r="J698" t="s">
        <v>23</v>
      </c>
      <c r="K698" t="s">
        <v>34</v>
      </c>
      <c r="L698" t="s">
        <v>43</v>
      </c>
      <c r="M698">
        <v>7</v>
      </c>
      <c r="N698" t="s">
        <v>25</v>
      </c>
      <c r="O698" t="s">
        <v>26</v>
      </c>
      <c r="P698" t="s">
        <v>576</v>
      </c>
      <c r="Q698" t="s">
        <v>359</v>
      </c>
    </row>
    <row r="699" spans="1:17" x14ac:dyDescent="0.3">
      <c r="A699">
        <v>1175357</v>
      </c>
      <c r="B699" t="s">
        <v>53</v>
      </c>
      <c r="C699" t="s">
        <v>691</v>
      </c>
      <c r="D699" t="s">
        <v>513</v>
      </c>
      <c r="E699" t="s">
        <v>55</v>
      </c>
      <c r="F699">
        <v>0</v>
      </c>
      <c r="G699" t="s">
        <v>22</v>
      </c>
      <c r="H699" t="s">
        <v>406</v>
      </c>
      <c r="I699" t="s">
        <v>22</v>
      </c>
      <c r="J699" t="s">
        <v>23</v>
      </c>
      <c r="K699" t="s">
        <v>22</v>
      </c>
      <c r="L699" t="s">
        <v>43</v>
      </c>
      <c r="M699">
        <v>6</v>
      </c>
      <c r="N699" t="s">
        <v>25</v>
      </c>
      <c r="O699" t="s">
        <v>26</v>
      </c>
      <c r="P699" t="s">
        <v>506</v>
      </c>
      <c r="Q699" t="s">
        <v>349</v>
      </c>
    </row>
    <row r="700" spans="1:17" x14ac:dyDescent="0.3">
      <c r="A700">
        <v>1175358</v>
      </c>
      <c r="B700" t="s">
        <v>46</v>
      </c>
      <c r="C700" t="s">
        <v>691</v>
      </c>
      <c r="D700" t="s">
        <v>584</v>
      </c>
      <c r="E700" t="s">
        <v>49</v>
      </c>
      <c r="F700">
        <v>0</v>
      </c>
      <c r="G700" t="s">
        <v>50</v>
      </c>
      <c r="H700" t="s">
        <v>692</v>
      </c>
      <c r="I700" t="s">
        <v>50</v>
      </c>
      <c r="J700" t="s">
        <v>23</v>
      </c>
      <c r="K700" t="s">
        <v>692</v>
      </c>
      <c r="L700" t="s">
        <v>24</v>
      </c>
      <c r="M700">
        <v>37</v>
      </c>
      <c r="N700" t="s">
        <v>25</v>
      </c>
      <c r="O700" t="s">
        <v>26</v>
      </c>
      <c r="P700" t="s">
        <v>617</v>
      </c>
      <c r="Q700" t="s">
        <v>183</v>
      </c>
    </row>
    <row r="701" spans="1:17" x14ac:dyDescent="0.3">
      <c r="A701">
        <v>1175359</v>
      </c>
      <c r="B701" t="s">
        <v>59</v>
      </c>
      <c r="C701" t="s">
        <v>693</v>
      </c>
      <c r="D701" t="s">
        <v>152</v>
      </c>
      <c r="E701" t="s">
        <v>62</v>
      </c>
      <c r="F701">
        <v>0</v>
      </c>
      <c r="G701" t="s">
        <v>42</v>
      </c>
      <c r="H701" t="s">
        <v>33</v>
      </c>
      <c r="I701" t="s">
        <v>42</v>
      </c>
      <c r="J701" t="s">
        <v>23</v>
      </c>
      <c r="K701" t="s">
        <v>33</v>
      </c>
      <c r="L701" t="s">
        <v>24</v>
      </c>
      <c r="M701">
        <v>14</v>
      </c>
      <c r="N701" t="s">
        <v>25</v>
      </c>
      <c r="O701" t="s">
        <v>26</v>
      </c>
      <c r="P701" t="s">
        <v>583</v>
      </c>
      <c r="Q701" t="s">
        <v>387</v>
      </c>
    </row>
    <row r="702" spans="1:17" x14ac:dyDescent="0.3">
      <c r="A702">
        <v>1175360</v>
      </c>
      <c r="B702" t="s">
        <v>38</v>
      </c>
      <c r="C702" t="s">
        <v>694</v>
      </c>
      <c r="D702" t="s">
        <v>61</v>
      </c>
      <c r="E702" t="s">
        <v>40</v>
      </c>
      <c r="F702">
        <v>0</v>
      </c>
      <c r="G702" t="s">
        <v>692</v>
      </c>
      <c r="H702" t="s">
        <v>34</v>
      </c>
      <c r="I702" t="s">
        <v>692</v>
      </c>
      <c r="J702" t="s">
        <v>35</v>
      </c>
      <c r="K702" t="s">
        <v>34</v>
      </c>
      <c r="L702" t="s">
        <v>43</v>
      </c>
      <c r="M702">
        <v>6</v>
      </c>
      <c r="N702" t="s">
        <v>25</v>
      </c>
      <c r="O702" t="s">
        <v>26</v>
      </c>
      <c r="P702" t="s">
        <v>155</v>
      </c>
      <c r="Q702" t="s">
        <v>554</v>
      </c>
    </row>
    <row r="703" spans="1:17" x14ac:dyDescent="0.3">
      <c r="A703">
        <v>1175361</v>
      </c>
      <c r="B703" t="s">
        <v>53</v>
      </c>
      <c r="C703" t="s">
        <v>695</v>
      </c>
      <c r="D703" t="s">
        <v>513</v>
      </c>
      <c r="E703" t="s">
        <v>55</v>
      </c>
      <c r="F703">
        <v>0</v>
      </c>
      <c r="G703" t="s">
        <v>22</v>
      </c>
      <c r="H703" t="s">
        <v>33</v>
      </c>
      <c r="I703" t="s">
        <v>33</v>
      </c>
      <c r="J703" t="s">
        <v>23</v>
      </c>
      <c r="K703" t="s">
        <v>22</v>
      </c>
      <c r="L703" t="s">
        <v>24</v>
      </c>
      <c r="M703">
        <v>28</v>
      </c>
      <c r="N703" t="s">
        <v>25</v>
      </c>
      <c r="O703" t="s">
        <v>26</v>
      </c>
      <c r="P703" t="s">
        <v>354</v>
      </c>
      <c r="Q703" t="s">
        <v>349</v>
      </c>
    </row>
    <row r="704" spans="1:17" x14ac:dyDescent="0.3">
      <c r="A704">
        <v>1175362</v>
      </c>
      <c r="B704" t="s">
        <v>607</v>
      </c>
      <c r="C704" t="s">
        <v>696</v>
      </c>
      <c r="D704" t="s">
        <v>612</v>
      </c>
      <c r="E704" t="s">
        <v>608</v>
      </c>
      <c r="F704">
        <v>0</v>
      </c>
      <c r="G704" t="s">
        <v>21</v>
      </c>
      <c r="H704" t="s">
        <v>50</v>
      </c>
      <c r="I704" t="s">
        <v>21</v>
      </c>
      <c r="J704" t="s">
        <v>23</v>
      </c>
      <c r="K704" t="s">
        <v>50</v>
      </c>
      <c r="L704" t="s">
        <v>24</v>
      </c>
      <c r="M704">
        <v>6</v>
      </c>
      <c r="N704" t="s">
        <v>25</v>
      </c>
      <c r="O704" t="s">
        <v>26</v>
      </c>
      <c r="P704" t="s">
        <v>418</v>
      </c>
      <c r="Q704" t="s">
        <v>183</v>
      </c>
    </row>
    <row r="705" spans="1:17" x14ac:dyDescent="0.3">
      <c r="A705">
        <v>1175363</v>
      </c>
      <c r="B705" t="s">
        <v>64</v>
      </c>
      <c r="C705" t="s">
        <v>697</v>
      </c>
      <c r="D705" t="s">
        <v>609</v>
      </c>
      <c r="E705" t="s">
        <v>67</v>
      </c>
      <c r="F705">
        <v>0</v>
      </c>
      <c r="G705" t="s">
        <v>406</v>
      </c>
      <c r="H705" t="s">
        <v>42</v>
      </c>
      <c r="I705" t="s">
        <v>42</v>
      </c>
      <c r="J705" t="s">
        <v>35</v>
      </c>
      <c r="K705" t="s">
        <v>406</v>
      </c>
      <c r="L705" t="s">
        <v>43</v>
      </c>
      <c r="M705">
        <v>5</v>
      </c>
      <c r="N705" t="s">
        <v>25</v>
      </c>
      <c r="O705" t="s">
        <v>26</v>
      </c>
      <c r="P705" t="s">
        <v>387</v>
      </c>
      <c r="Q705" t="s">
        <v>359</v>
      </c>
    </row>
    <row r="706" spans="1:17" x14ac:dyDescent="0.3">
      <c r="A706">
        <v>1175364</v>
      </c>
      <c r="B706" t="s">
        <v>29</v>
      </c>
      <c r="C706" t="s">
        <v>698</v>
      </c>
      <c r="D706" t="s">
        <v>515</v>
      </c>
      <c r="E706" t="s">
        <v>550</v>
      </c>
      <c r="F706">
        <v>0</v>
      </c>
      <c r="G706" t="s">
        <v>33</v>
      </c>
      <c r="H706" t="s">
        <v>50</v>
      </c>
      <c r="I706" t="s">
        <v>33</v>
      </c>
      <c r="J706" t="s">
        <v>23</v>
      </c>
      <c r="K706" t="s">
        <v>33</v>
      </c>
      <c r="L706" t="s">
        <v>43</v>
      </c>
      <c r="M706">
        <v>8</v>
      </c>
      <c r="N706" t="s">
        <v>25</v>
      </c>
      <c r="O706" t="s">
        <v>26</v>
      </c>
      <c r="P706" t="s">
        <v>354</v>
      </c>
      <c r="Q706" t="s">
        <v>506</v>
      </c>
    </row>
    <row r="707" spans="1:17" x14ac:dyDescent="0.3">
      <c r="A707">
        <v>1175365</v>
      </c>
      <c r="B707" t="s">
        <v>38</v>
      </c>
      <c r="C707" t="s">
        <v>698</v>
      </c>
      <c r="D707" t="s">
        <v>699</v>
      </c>
      <c r="E707" t="s">
        <v>40</v>
      </c>
      <c r="F707">
        <v>0</v>
      </c>
      <c r="G707" t="s">
        <v>692</v>
      </c>
      <c r="H707" t="s">
        <v>22</v>
      </c>
      <c r="I707" t="s">
        <v>692</v>
      </c>
      <c r="J707" t="s">
        <v>23</v>
      </c>
      <c r="K707" t="s">
        <v>692</v>
      </c>
      <c r="L707" t="s">
        <v>158</v>
      </c>
      <c r="M707" t="s">
        <v>26</v>
      </c>
      <c r="N707" t="s">
        <v>159</v>
      </c>
      <c r="O707" t="s">
        <v>26</v>
      </c>
      <c r="P707" t="s">
        <v>576</v>
      </c>
      <c r="Q707" t="s">
        <v>554</v>
      </c>
    </row>
    <row r="708" spans="1:17" x14ac:dyDescent="0.3">
      <c r="A708">
        <v>1175366</v>
      </c>
      <c r="B708" t="s">
        <v>64</v>
      </c>
      <c r="C708" t="s">
        <v>700</v>
      </c>
      <c r="D708" t="s">
        <v>701</v>
      </c>
      <c r="E708" t="s">
        <v>67</v>
      </c>
      <c r="F708">
        <v>0</v>
      </c>
      <c r="G708" t="s">
        <v>406</v>
      </c>
      <c r="H708" t="s">
        <v>21</v>
      </c>
      <c r="I708" t="s">
        <v>21</v>
      </c>
      <c r="J708" t="s">
        <v>23</v>
      </c>
      <c r="K708" t="s">
        <v>406</v>
      </c>
      <c r="L708" t="s">
        <v>24</v>
      </c>
      <c r="M708">
        <v>118</v>
      </c>
      <c r="N708" t="s">
        <v>25</v>
      </c>
      <c r="O708" t="s">
        <v>26</v>
      </c>
      <c r="P708" t="s">
        <v>583</v>
      </c>
      <c r="Q708" t="s">
        <v>183</v>
      </c>
    </row>
    <row r="709" spans="1:17" x14ac:dyDescent="0.3">
      <c r="A709">
        <v>1175367</v>
      </c>
      <c r="B709" t="s">
        <v>70</v>
      </c>
      <c r="C709" t="s">
        <v>700</v>
      </c>
      <c r="D709" t="s">
        <v>87</v>
      </c>
      <c r="E709" t="s">
        <v>73</v>
      </c>
      <c r="F709">
        <v>0</v>
      </c>
      <c r="G709" t="s">
        <v>34</v>
      </c>
      <c r="H709" t="s">
        <v>42</v>
      </c>
      <c r="I709" t="s">
        <v>42</v>
      </c>
      <c r="J709" t="s">
        <v>23</v>
      </c>
      <c r="K709" t="s">
        <v>34</v>
      </c>
      <c r="L709" t="s">
        <v>24</v>
      </c>
      <c r="M709">
        <v>8</v>
      </c>
      <c r="N709" t="s">
        <v>25</v>
      </c>
      <c r="O709" t="s">
        <v>26</v>
      </c>
      <c r="P709" t="s">
        <v>617</v>
      </c>
      <c r="Q709" t="s">
        <v>418</v>
      </c>
    </row>
    <row r="710" spans="1:17" x14ac:dyDescent="0.3">
      <c r="A710">
        <v>1175368</v>
      </c>
      <c r="B710" t="s">
        <v>29</v>
      </c>
      <c r="C710" s="1">
        <v>43469</v>
      </c>
      <c r="D710" t="s">
        <v>702</v>
      </c>
      <c r="E710" t="s">
        <v>550</v>
      </c>
      <c r="F710">
        <v>0</v>
      </c>
      <c r="G710" t="s">
        <v>33</v>
      </c>
      <c r="H710" t="s">
        <v>692</v>
      </c>
      <c r="I710" t="s">
        <v>692</v>
      </c>
      <c r="J710" t="s">
        <v>23</v>
      </c>
      <c r="K710" t="s">
        <v>33</v>
      </c>
      <c r="L710" t="s">
        <v>24</v>
      </c>
      <c r="M710">
        <v>14</v>
      </c>
      <c r="N710" t="s">
        <v>25</v>
      </c>
      <c r="O710" t="s">
        <v>26</v>
      </c>
      <c r="P710" t="s">
        <v>506</v>
      </c>
      <c r="Q710" t="s">
        <v>349</v>
      </c>
    </row>
    <row r="711" spans="1:17" x14ac:dyDescent="0.3">
      <c r="A711">
        <v>1175369</v>
      </c>
      <c r="B711" t="s">
        <v>59</v>
      </c>
      <c r="C711" s="1">
        <v>43500</v>
      </c>
      <c r="D711" t="s">
        <v>683</v>
      </c>
      <c r="E711" t="s">
        <v>62</v>
      </c>
      <c r="F711">
        <v>0</v>
      </c>
      <c r="G711" t="s">
        <v>42</v>
      </c>
      <c r="H711" t="s">
        <v>21</v>
      </c>
      <c r="I711" t="s">
        <v>42</v>
      </c>
      <c r="J711" t="s">
        <v>23</v>
      </c>
      <c r="K711" t="s">
        <v>42</v>
      </c>
      <c r="L711" t="s">
        <v>43</v>
      </c>
      <c r="M711">
        <v>7</v>
      </c>
      <c r="N711" t="s">
        <v>25</v>
      </c>
      <c r="O711" t="s">
        <v>26</v>
      </c>
      <c r="P711" t="s">
        <v>576</v>
      </c>
      <c r="Q711" t="s">
        <v>155</v>
      </c>
    </row>
    <row r="712" spans="1:17" x14ac:dyDescent="0.3">
      <c r="A712">
        <v>1175370</v>
      </c>
      <c r="B712" t="s">
        <v>46</v>
      </c>
      <c r="C712" s="1">
        <v>43528</v>
      </c>
      <c r="D712" t="s">
        <v>536</v>
      </c>
      <c r="E712" t="s">
        <v>49</v>
      </c>
      <c r="F712">
        <v>0</v>
      </c>
      <c r="G712" t="s">
        <v>50</v>
      </c>
      <c r="H712" t="s">
        <v>34</v>
      </c>
      <c r="I712" t="s">
        <v>34</v>
      </c>
      <c r="J712" t="s">
        <v>23</v>
      </c>
      <c r="K712" t="s">
        <v>50</v>
      </c>
      <c r="L712" t="s">
        <v>24</v>
      </c>
      <c r="M712">
        <v>37</v>
      </c>
      <c r="N712" t="s">
        <v>25</v>
      </c>
      <c r="O712" t="s">
        <v>26</v>
      </c>
      <c r="P712" t="s">
        <v>305</v>
      </c>
      <c r="Q712" t="s">
        <v>359</v>
      </c>
    </row>
    <row r="713" spans="1:17" x14ac:dyDescent="0.3">
      <c r="A713">
        <v>1175371</v>
      </c>
      <c r="B713" t="s">
        <v>38</v>
      </c>
      <c r="C713" s="1">
        <v>43559</v>
      </c>
      <c r="D713" t="s">
        <v>701</v>
      </c>
      <c r="E713" t="s">
        <v>40</v>
      </c>
      <c r="F713">
        <v>0</v>
      </c>
      <c r="G713" t="s">
        <v>692</v>
      </c>
      <c r="H713" t="s">
        <v>406</v>
      </c>
      <c r="I713" t="s">
        <v>406</v>
      </c>
      <c r="J713" t="s">
        <v>23</v>
      </c>
      <c r="K713" t="s">
        <v>406</v>
      </c>
      <c r="L713" t="s">
        <v>43</v>
      </c>
      <c r="M713">
        <v>5</v>
      </c>
      <c r="N713" t="s">
        <v>25</v>
      </c>
      <c r="O713" t="s">
        <v>26</v>
      </c>
      <c r="P713" t="s">
        <v>583</v>
      </c>
      <c r="Q713" t="s">
        <v>387</v>
      </c>
    </row>
    <row r="714" spans="1:17" x14ac:dyDescent="0.3">
      <c r="A714">
        <v>1175372</v>
      </c>
      <c r="B714" t="s">
        <v>607</v>
      </c>
      <c r="C714" s="1">
        <v>43589</v>
      </c>
      <c r="D714" t="s">
        <v>513</v>
      </c>
      <c r="E714" t="s">
        <v>608</v>
      </c>
      <c r="F714">
        <v>0</v>
      </c>
      <c r="G714" t="s">
        <v>21</v>
      </c>
      <c r="H714" t="s">
        <v>22</v>
      </c>
      <c r="I714" t="s">
        <v>22</v>
      </c>
      <c r="J714" t="s">
        <v>23</v>
      </c>
      <c r="K714" t="s">
        <v>22</v>
      </c>
      <c r="L714" t="s">
        <v>43</v>
      </c>
      <c r="M714">
        <v>5</v>
      </c>
      <c r="N714" t="s">
        <v>25</v>
      </c>
      <c r="O714" t="s">
        <v>26</v>
      </c>
      <c r="P714" t="s">
        <v>506</v>
      </c>
      <c r="Q714" t="s">
        <v>349</v>
      </c>
    </row>
    <row r="715" spans="1:17" x14ac:dyDescent="0.3">
      <c r="A715">
        <v>1178393</v>
      </c>
      <c r="B715" t="s">
        <v>70</v>
      </c>
      <c r="C715" s="1">
        <v>43620</v>
      </c>
      <c r="D715" t="s">
        <v>197</v>
      </c>
      <c r="E715" t="s">
        <v>73</v>
      </c>
      <c r="F715">
        <v>0</v>
      </c>
      <c r="G715" t="s">
        <v>34</v>
      </c>
      <c r="H715" t="s">
        <v>33</v>
      </c>
      <c r="I715" t="s">
        <v>34</v>
      </c>
      <c r="J715" t="s">
        <v>35</v>
      </c>
      <c r="K715" t="s">
        <v>34</v>
      </c>
      <c r="L715" t="s">
        <v>24</v>
      </c>
      <c r="M715">
        <v>22</v>
      </c>
      <c r="N715" t="s">
        <v>25</v>
      </c>
      <c r="O715" t="s">
        <v>26</v>
      </c>
      <c r="P715" t="s">
        <v>583</v>
      </c>
      <c r="Q715" t="s">
        <v>305</v>
      </c>
    </row>
    <row r="716" spans="1:17" x14ac:dyDescent="0.3">
      <c r="A716">
        <v>1178394</v>
      </c>
      <c r="B716" t="s">
        <v>64</v>
      </c>
      <c r="C716" s="1">
        <v>43620</v>
      </c>
      <c r="D716" t="s">
        <v>703</v>
      </c>
      <c r="E716" t="s">
        <v>67</v>
      </c>
      <c r="F716">
        <v>0</v>
      </c>
      <c r="G716" t="s">
        <v>406</v>
      </c>
      <c r="H716" t="s">
        <v>50</v>
      </c>
      <c r="I716" t="s">
        <v>406</v>
      </c>
      <c r="J716" t="s">
        <v>23</v>
      </c>
      <c r="K716" t="s">
        <v>50</v>
      </c>
      <c r="L716" t="s">
        <v>24</v>
      </c>
      <c r="M716">
        <v>40</v>
      </c>
      <c r="N716" t="s">
        <v>25</v>
      </c>
      <c r="O716" t="s">
        <v>26</v>
      </c>
      <c r="P716" t="s">
        <v>576</v>
      </c>
      <c r="Q716" t="s">
        <v>554</v>
      </c>
    </row>
    <row r="717" spans="1:17" x14ac:dyDescent="0.3">
      <c r="A717">
        <v>1178395</v>
      </c>
      <c r="B717" t="s">
        <v>607</v>
      </c>
      <c r="C717" s="1">
        <v>43650</v>
      </c>
      <c r="D717" t="s">
        <v>704</v>
      </c>
      <c r="E717" t="s">
        <v>608</v>
      </c>
      <c r="F717">
        <v>0</v>
      </c>
      <c r="G717" t="s">
        <v>21</v>
      </c>
      <c r="H717" t="s">
        <v>692</v>
      </c>
      <c r="I717" t="s">
        <v>692</v>
      </c>
      <c r="J717" t="s">
        <v>23</v>
      </c>
      <c r="K717" t="s">
        <v>692</v>
      </c>
      <c r="L717" t="s">
        <v>43</v>
      </c>
      <c r="M717">
        <v>4</v>
      </c>
      <c r="N717" t="s">
        <v>25</v>
      </c>
      <c r="O717" t="s">
        <v>26</v>
      </c>
      <c r="P717" t="s">
        <v>617</v>
      </c>
      <c r="Q717" t="s">
        <v>183</v>
      </c>
    </row>
    <row r="718" spans="1:17" x14ac:dyDescent="0.3">
      <c r="A718">
        <v>1178396</v>
      </c>
      <c r="B718" t="s">
        <v>59</v>
      </c>
      <c r="C718" s="1">
        <v>43650</v>
      </c>
      <c r="D718" t="s">
        <v>705</v>
      </c>
      <c r="E718" t="s">
        <v>62</v>
      </c>
      <c r="F718">
        <v>0</v>
      </c>
      <c r="G718" t="s">
        <v>42</v>
      </c>
      <c r="H718" t="s">
        <v>22</v>
      </c>
      <c r="I718" t="s">
        <v>22</v>
      </c>
      <c r="J718" t="s">
        <v>23</v>
      </c>
      <c r="K718" t="s">
        <v>22</v>
      </c>
      <c r="L718" t="s">
        <v>43</v>
      </c>
      <c r="M718">
        <v>8</v>
      </c>
      <c r="N718" t="s">
        <v>25</v>
      </c>
      <c r="O718" t="s">
        <v>26</v>
      </c>
      <c r="P718" t="s">
        <v>506</v>
      </c>
      <c r="Q718" t="s">
        <v>349</v>
      </c>
    </row>
    <row r="719" spans="1:17" x14ac:dyDescent="0.3">
      <c r="A719">
        <v>1178397</v>
      </c>
      <c r="B719" t="s">
        <v>29</v>
      </c>
      <c r="C719" s="1">
        <v>43681</v>
      </c>
      <c r="D719" t="s">
        <v>648</v>
      </c>
      <c r="E719" t="s">
        <v>550</v>
      </c>
      <c r="F719">
        <v>0</v>
      </c>
      <c r="G719" t="s">
        <v>33</v>
      </c>
      <c r="H719" t="s">
        <v>406</v>
      </c>
      <c r="I719" t="s">
        <v>33</v>
      </c>
      <c r="J719" t="s">
        <v>23</v>
      </c>
      <c r="K719" t="s">
        <v>33</v>
      </c>
      <c r="L719" t="s">
        <v>43</v>
      </c>
      <c r="M719">
        <v>6</v>
      </c>
      <c r="N719" t="s">
        <v>25</v>
      </c>
      <c r="O719" t="s">
        <v>26</v>
      </c>
      <c r="P719" t="s">
        <v>576</v>
      </c>
      <c r="Q719" t="s">
        <v>155</v>
      </c>
    </row>
    <row r="720" spans="1:17" x14ac:dyDescent="0.3">
      <c r="A720">
        <v>1178398</v>
      </c>
      <c r="B720" t="s">
        <v>70</v>
      </c>
      <c r="C720" s="1">
        <v>43712</v>
      </c>
      <c r="D720" t="s">
        <v>706</v>
      </c>
      <c r="E720" t="s">
        <v>73</v>
      </c>
      <c r="F720">
        <v>0</v>
      </c>
      <c r="G720" t="s">
        <v>34</v>
      </c>
      <c r="H720" t="s">
        <v>22</v>
      </c>
      <c r="I720" t="s">
        <v>34</v>
      </c>
      <c r="J720" t="s">
        <v>23</v>
      </c>
      <c r="K720" t="s">
        <v>34</v>
      </c>
      <c r="L720" t="s">
        <v>43</v>
      </c>
      <c r="M720">
        <v>7</v>
      </c>
      <c r="N720" t="s">
        <v>25</v>
      </c>
      <c r="O720" t="s">
        <v>26</v>
      </c>
      <c r="P720" t="s">
        <v>305</v>
      </c>
      <c r="Q720" t="s">
        <v>387</v>
      </c>
    </row>
    <row r="721" spans="1:17" x14ac:dyDescent="0.3">
      <c r="A721">
        <v>1178399</v>
      </c>
      <c r="B721" t="s">
        <v>46</v>
      </c>
      <c r="C721" s="1">
        <v>43742</v>
      </c>
      <c r="D721" t="s">
        <v>267</v>
      </c>
      <c r="E721" t="s">
        <v>49</v>
      </c>
      <c r="F721">
        <v>0</v>
      </c>
      <c r="G721" t="s">
        <v>50</v>
      </c>
      <c r="H721" t="s">
        <v>33</v>
      </c>
      <c r="I721" t="s">
        <v>50</v>
      </c>
      <c r="J721" t="s">
        <v>23</v>
      </c>
      <c r="K721" t="s">
        <v>50</v>
      </c>
      <c r="L721" t="s">
        <v>43</v>
      </c>
      <c r="M721">
        <v>3</v>
      </c>
      <c r="N721" t="s">
        <v>25</v>
      </c>
      <c r="O721" t="s">
        <v>26</v>
      </c>
      <c r="P721" t="s">
        <v>617</v>
      </c>
      <c r="Q721" t="s">
        <v>183</v>
      </c>
    </row>
    <row r="722" spans="1:17" x14ac:dyDescent="0.3">
      <c r="A722">
        <v>1178400</v>
      </c>
      <c r="B722" t="s">
        <v>59</v>
      </c>
      <c r="C722" s="1">
        <v>43773</v>
      </c>
      <c r="D722" t="s">
        <v>87</v>
      </c>
      <c r="E722" t="s">
        <v>62</v>
      </c>
      <c r="F722">
        <v>0</v>
      </c>
      <c r="G722" t="s">
        <v>42</v>
      </c>
      <c r="H722" t="s">
        <v>34</v>
      </c>
      <c r="I722" t="s">
        <v>34</v>
      </c>
      <c r="J722" t="s">
        <v>23</v>
      </c>
      <c r="K722" t="s">
        <v>34</v>
      </c>
      <c r="L722" t="s">
        <v>43</v>
      </c>
      <c r="M722">
        <v>4</v>
      </c>
      <c r="N722" t="s">
        <v>25</v>
      </c>
      <c r="O722" t="s">
        <v>26</v>
      </c>
      <c r="P722" t="s">
        <v>707</v>
      </c>
      <c r="Q722" t="s">
        <v>359</v>
      </c>
    </row>
    <row r="723" spans="1:17" x14ac:dyDescent="0.3">
      <c r="A723">
        <v>1178401</v>
      </c>
      <c r="B723" t="s">
        <v>53</v>
      </c>
      <c r="C723" s="1">
        <v>43803</v>
      </c>
      <c r="D723" t="s">
        <v>339</v>
      </c>
      <c r="E723" t="s">
        <v>55</v>
      </c>
      <c r="F723">
        <v>0</v>
      </c>
      <c r="G723" t="s">
        <v>22</v>
      </c>
      <c r="H723" t="s">
        <v>692</v>
      </c>
      <c r="I723" t="s">
        <v>692</v>
      </c>
      <c r="J723" t="s">
        <v>23</v>
      </c>
      <c r="K723" t="s">
        <v>692</v>
      </c>
      <c r="L723" t="s">
        <v>43</v>
      </c>
      <c r="M723">
        <v>7</v>
      </c>
      <c r="N723" t="s">
        <v>25</v>
      </c>
      <c r="O723" t="s">
        <v>26</v>
      </c>
      <c r="P723" t="s">
        <v>617</v>
      </c>
      <c r="Q723" t="s">
        <v>418</v>
      </c>
    </row>
    <row r="724" spans="1:17" x14ac:dyDescent="0.3">
      <c r="A724">
        <v>1178402</v>
      </c>
      <c r="B724" t="s">
        <v>46</v>
      </c>
      <c r="C724" t="s">
        <v>708</v>
      </c>
      <c r="D724" t="s">
        <v>625</v>
      </c>
      <c r="E724" t="s">
        <v>49</v>
      </c>
      <c r="F724">
        <v>0</v>
      </c>
      <c r="G724" t="s">
        <v>50</v>
      </c>
      <c r="H724" t="s">
        <v>42</v>
      </c>
      <c r="I724" t="s">
        <v>42</v>
      </c>
      <c r="J724" t="s">
        <v>23</v>
      </c>
      <c r="K724" t="s">
        <v>42</v>
      </c>
      <c r="L724" t="s">
        <v>43</v>
      </c>
      <c r="M724">
        <v>4</v>
      </c>
      <c r="N724" t="s">
        <v>25</v>
      </c>
      <c r="O724" t="s">
        <v>26</v>
      </c>
      <c r="P724" t="s">
        <v>554</v>
      </c>
      <c r="Q724" t="s">
        <v>562</v>
      </c>
    </row>
    <row r="725" spans="1:17" x14ac:dyDescent="0.3">
      <c r="A725">
        <v>1178403</v>
      </c>
      <c r="B725" t="s">
        <v>29</v>
      </c>
      <c r="C725" t="s">
        <v>708</v>
      </c>
      <c r="D725" t="s">
        <v>157</v>
      </c>
      <c r="E725" t="s">
        <v>550</v>
      </c>
      <c r="F725">
        <v>0</v>
      </c>
      <c r="G725" t="s">
        <v>33</v>
      </c>
      <c r="H725" t="s">
        <v>21</v>
      </c>
      <c r="I725" t="s">
        <v>21</v>
      </c>
      <c r="J725" t="s">
        <v>23</v>
      </c>
      <c r="K725" t="s">
        <v>21</v>
      </c>
      <c r="L725" t="s">
        <v>43</v>
      </c>
      <c r="M725">
        <v>8</v>
      </c>
      <c r="N725" t="s">
        <v>25</v>
      </c>
      <c r="O725" t="s">
        <v>26</v>
      </c>
      <c r="P725" t="s">
        <v>707</v>
      </c>
      <c r="Q725" t="s">
        <v>183</v>
      </c>
    </row>
    <row r="726" spans="1:17" x14ac:dyDescent="0.3">
      <c r="A726">
        <v>1178404</v>
      </c>
      <c r="B726" t="s">
        <v>53</v>
      </c>
      <c r="C726" t="s">
        <v>709</v>
      </c>
      <c r="D726" t="s">
        <v>710</v>
      </c>
      <c r="E726" t="s">
        <v>55</v>
      </c>
      <c r="F726">
        <v>0</v>
      </c>
      <c r="G726" t="s">
        <v>22</v>
      </c>
      <c r="H726" t="s">
        <v>34</v>
      </c>
      <c r="I726" t="s">
        <v>34</v>
      </c>
      <c r="J726" t="s">
        <v>23</v>
      </c>
      <c r="K726" t="s">
        <v>34</v>
      </c>
      <c r="L726" t="s">
        <v>43</v>
      </c>
      <c r="M726">
        <v>5</v>
      </c>
      <c r="N726" t="s">
        <v>25</v>
      </c>
      <c r="O726" t="s">
        <v>26</v>
      </c>
      <c r="P726" t="s">
        <v>305</v>
      </c>
      <c r="Q726" t="s">
        <v>418</v>
      </c>
    </row>
    <row r="727" spans="1:17" x14ac:dyDescent="0.3">
      <c r="A727">
        <v>1178405</v>
      </c>
      <c r="B727" t="s">
        <v>64</v>
      </c>
      <c r="C727" t="s">
        <v>709</v>
      </c>
      <c r="D727" t="s">
        <v>711</v>
      </c>
      <c r="E727" t="s">
        <v>67</v>
      </c>
      <c r="F727">
        <v>0</v>
      </c>
      <c r="G727" t="s">
        <v>406</v>
      </c>
      <c r="H727" t="s">
        <v>692</v>
      </c>
      <c r="I727" t="s">
        <v>406</v>
      </c>
      <c r="J727" t="s">
        <v>23</v>
      </c>
      <c r="K727" t="s">
        <v>692</v>
      </c>
      <c r="L727" t="s">
        <v>24</v>
      </c>
      <c r="M727">
        <v>39</v>
      </c>
      <c r="N727" t="s">
        <v>25</v>
      </c>
      <c r="O727" t="s">
        <v>26</v>
      </c>
      <c r="P727" t="s">
        <v>359</v>
      </c>
      <c r="Q727" t="s">
        <v>349</v>
      </c>
    </row>
    <row r="728" spans="1:17" x14ac:dyDescent="0.3">
      <c r="A728">
        <v>1178406</v>
      </c>
      <c r="B728" t="s">
        <v>46</v>
      </c>
      <c r="C728" t="s">
        <v>712</v>
      </c>
      <c r="D728" t="s">
        <v>253</v>
      </c>
      <c r="E728" t="s">
        <v>49</v>
      </c>
      <c r="F728">
        <v>0</v>
      </c>
      <c r="G728" t="s">
        <v>50</v>
      </c>
      <c r="H728" t="s">
        <v>21</v>
      </c>
      <c r="I728" t="s">
        <v>50</v>
      </c>
      <c r="J728" t="s">
        <v>23</v>
      </c>
      <c r="K728" t="s">
        <v>50</v>
      </c>
      <c r="L728" t="s">
        <v>43</v>
      </c>
      <c r="M728">
        <v>5</v>
      </c>
      <c r="N728" t="s">
        <v>25</v>
      </c>
      <c r="O728" t="s">
        <v>26</v>
      </c>
      <c r="P728" t="s">
        <v>155</v>
      </c>
      <c r="Q728" t="s">
        <v>554</v>
      </c>
    </row>
    <row r="729" spans="1:17" x14ac:dyDescent="0.3">
      <c r="A729">
        <v>1178407</v>
      </c>
      <c r="B729" t="s">
        <v>29</v>
      </c>
      <c r="C729" t="s">
        <v>713</v>
      </c>
      <c r="D729" t="s">
        <v>268</v>
      </c>
      <c r="E729" t="s">
        <v>550</v>
      </c>
      <c r="F729">
        <v>0</v>
      </c>
      <c r="G729" t="s">
        <v>33</v>
      </c>
      <c r="H729" t="s">
        <v>42</v>
      </c>
      <c r="I729" t="s">
        <v>42</v>
      </c>
      <c r="J729" t="s">
        <v>23</v>
      </c>
      <c r="K729" t="s">
        <v>33</v>
      </c>
      <c r="L729" t="s">
        <v>24</v>
      </c>
      <c r="M729">
        <v>12</v>
      </c>
      <c r="N729" t="s">
        <v>25</v>
      </c>
      <c r="O729" t="s">
        <v>26</v>
      </c>
      <c r="P729" t="s">
        <v>354</v>
      </c>
      <c r="Q729" t="s">
        <v>349</v>
      </c>
    </row>
    <row r="730" spans="1:17" x14ac:dyDescent="0.3">
      <c r="A730">
        <v>1178408</v>
      </c>
      <c r="B730" t="s">
        <v>64</v>
      </c>
      <c r="C730" t="s">
        <v>714</v>
      </c>
      <c r="D730" t="s">
        <v>251</v>
      </c>
      <c r="E730" t="s">
        <v>67</v>
      </c>
      <c r="F730">
        <v>0</v>
      </c>
      <c r="G730" t="s">
        <v>406</v>
      </c>
      <c r="H730" t="s">
        <v>34</v>
      </c>
      <c r="I730" t="s">
        <v>34</v>
      </c>
      <c r="J730" t="s">
        <v>35</v>
      </c>
      <c r="K730" t="s">
        <v>406</v>
      </c>
      <c r="L730" t="s">
        <v>43</v>
      </c>
      <c r="M730">
        <v>6</v>
      </c>
      <c r="N730" t="s">
        <v>25</v>
      </c>
      <c r="O730" t="s">
        <v>26</v>
      </c>
      <c r="P730" t="s">
        <v>707</v>
      </c>
      <c r="Q730" t="s">
        <v>715</v>
      </c>
    </row>
    <row r="731" spans="1:17" x14ac:dyDescent="0.3">
      <c r="A731">
        <v>1178409</v>
      </c>
      <c r="B731" t="s">
        <v>38</v>
      </c>
      <c r="C731" t="s">
        <v>716</v>
      </c>
      <c r="D731" t="s">
        <v>536</v>
      </c>
      <c r="E731" t="s">
        <v>40</v>
      </c>
      <c r="F731">
        <v>0</v>
      </c>
      <c r="G731" t="s">
        <v>692</v>
      </c>
      <c r="H731" t="s">
        <v>50</v>
      </c>
      <c r="I731" t="s">
        <v>50</v>
      </c>
      <c r="J731" t="s">
        <v>35</v>
      </c>
      <c r="K731" t="s">
        <v>50</v>
      </c>
      <c r="L731" t="s">
        <v>24</v>
      </c>
      <c r="M731">
        <v>40</v>
      </c>
      <c r="N731" t="s">
        <v>25</v>
      </c>
      <c r="O731" t="s">
        <v>26</v>
      </c>
      <c r="P731" t="s">
        <v>359</v>
      </c>
      <c r="Q731" t="s">
        <v>441</v>
      </c>
    </row>
    <row r="732" spans="1:17" x14ac:dyDescent="0.3">
      <c r="A732">
        <v>1178410</v>
      </c>
      <c r="B732" t="s">
        <v>53</v>
      </c>
      <c r="C732" t="s">
        <v>717</v>
      </c>
      <c r="D732" t="s">
        <v>314</v>
      </c>
      <c r="E732" t="s">
        <v>55</v>
      </c>
      <c r="F732">
        <v>0</v>
      </c>
      <c r="G732" t="s">
        <v>22</v>
      </c>
      <c r="H732" t="s">
        <v>21</v>
      </c>
      <c r="I732" t="s">
        <v>22</v>
      </c>
      <c r="J732" t="s">
        <v>23</v>
      </c>
      <c r="K732" t="s">
        <v>21</v>
      </c>
      <c r="L732" t="s">
        <v>24</v>
      </c>
      <c r="M732">
        <v>10</v>
      </c>
      <c r="N732" t="s">
        <v>25</v>
      </c>
      <c r="O732" t="s">
        <v>26</v>
      </c>
      <c r="P732" t="s">
        <v>715</v>
      </c>
      <c r="Q732" t="s">
        <v>554</v>
      </c>
    </row>
    <row r="733" spans="1:17" x14ac:dyDescent="0.3">
      <c r="A733">
        <v>1178411</v>
      </c>
      <c r="B733" t="s">
        <v>59</v>
      </c>
      <c r="C733" t="s">
        <v>718</v>
      </c>
      <c r="D733" t="s">
        <v>348</v>
      </c>
      <c r="E733" t="s">
        <v>62</v>
      </c>
      <c r="F733">
        <v>0</v>
      </c>
      <c r="G733" t="s">
        <v>42</v>
      </c>
      <c r="H733" t="s">
        <v>50</v>
      </c>
      <c r="I733" t="s">
        <v>42</v>
      </c>
      <c r="J733" t="s">
        <v>23</v>
      </c>
      <c r="K733" t="s">
        <v>42</v>
      </c>
      <c r="L733" t="s">
        <v>43</v>
      </c>
      <c r="M733">
        <v>5</v>
      </c>
      <c r="N733" t="s">
        <v>25</v>
      </c>
      <c r="O733" t="s">
        <v>26</v>
      </c>
      <c r="P733" t="s">
        <v>617</v>
      </c>
      <c r="Q733" t="s">
        <v>183</v>
      </c>
    </row>
    <row r="734" spans="1:17" x14ac:dyDescent="0.3">
      <c r="A734">
        <v>1178412</v>
      </c>
      <c r="B734" t="s">
        <v>38</v>
      </c>
      <c r="C734" t="s">
        <v>718</v>
      </c>
      <c r="D734" t="s">
        <v>524</v>
      </c>
      <c r="E734" t="s">
        <v>40</v>
      </c>
      <c r="F734">
        <v>0</v>
      </c>
      <c r="G734" t="s">
        <v>692</v>
      </c>
      <c r="H734" t="s">
        <v>33</v>
      </c>
      <c r="I734" t="s">
        <v>692</v>
      </c>
      <c r="J734" t="s">
        <v>23</v>
      </c>
      <c r="K734" t="s">
        <v>692</v>
      </c>
      <c r="L734" t="s">
        <v>43</v>
      </c>
      <c r="M734">
        <v>5</v>
      </c>
      <c r="N734" t="s">
        <v>25</v>
      </c>
      <c r="O734" t="s">
        <v>26</v>
      </c>
      <c r="P734" t="s">
        <v>707</v>
      </c>
      <c r="Q734" t="s">
        <v>387</v>
      </c>
    </row>
    <row r="735" spans="1:17" x14ac:dyDescent="0.3">
      <c r="A735">
        <v>1178413</v>
      </c>
      <c r="B735" t="s">
        <v>64</v>
      </c>
      <c r="C735" t="s">
        <v>719</v>
      </c>
      <c r="D735" t="s">
        <v>720</v>
      </c>
      <c r="E735" t="s">
        <v>67</v>
      </c>
      <c r="F735">
        <v>0</v>
      </c>
      <c r="G735" t="s">
        <v>406</v>
      </c>
      <c r="H735" t="s">
        <v>22</v>
      </c>
      <c r="I735" t="s">
        <v>406</v>
      </c>
      <c r="J735" t="s">
        <v>23</v>
      </c>
      <c r="K735" t="s">
        <v>406</v>
      </c>
      <c r="L735" t="s">
        <v>43</v>
      </c>
      <c r="M735">
        <v>9</v>
      </c>
      <c r="N735" t="s">
        <v>25</v>
      </c>
      <c r="O735" t="s">
        <v>26</v>
      </c>
      <c r="P735" t="s">
        <v>441</v>
      </c>
      <c r="Q735" t="s">
        <v>554</v>
      </c>
    </row>
    <row r="736" spans="1:17" x14ac:dyDescent="0.3">
      <c r="A736">
        <v>1178414</v>
      </c>
      <c r="B736" t="s">
        <v>607</v>
      </c>
      <c r="C736" t="s">
        <v>719</v>
      </c>
      <c r="D736" t="s">
        <v>443</v>
      </c>
      <c r="E736" t="s">
        <v>608</v>
      </c>
      <c r="F736">
        <v>0</v>
      </c>
      <c r="G736" t="s">
        <v>21</v>
      </c>
      <c r="H736" t="s">
        <v>34</v>
      </c>
      <c r="I736" t="s">
        <v>34</v>
      </c>
      <c r="J736" t="s">
        <v>23</v>
      </c>
      <c r="K736" t="s">
        <v>21</v>
      </c>
      <c r="L736" t="s">
        <v>24</v>
      </c>
      <c r="M736">
        <v>1</v>
      </c>
      <c r="N736" t="s">
        <v>25</v>
      </c>
      <c r="O736" t="s">
        <v>26</v>
      </c>
      <c r="P736" t="s">
        <v>305</v>
      </c>
      <c r="Q736" t="s">
        <v>354</v>
      </c>
    </row>
    <row r="737" spans="1:17" x14ac:dyDescent="0.3">
      <c r="A737">
        <v>1178415</v>
      </c>
      <c r="B737" t="s">
        <v>59</v>
      </c>
      <c r="C737" t="s">
        <v>721</v>
      </c>
      <c r="D737" t="s">
        <v>584</v>
      </c>
      <c r="E737" t="s">
        <v>62</v>
      </c>
      <c r="F737">
        <v>0</v>
      </c>
      <c r="G737" t="s">
        <v>42</v>
      </c>
      <c r="H737" t="s">
        <v>692</v>
      </c>
      <c r="I737" t="s">
        <v>692</v>
      </c>
      <c r="J737" t="s">
        <v>23</v>
      </c>
      <c r="K737" t="s">
        <v>692</v>
      </c>
      <c r="L737" t="s">
        <v>43</v>
      </c>
      <c r="M737">
        <v>6</v>
      </c>
      <c r="N737" t="s">
        <v>25</v>
      </c>
      <c r="O737" t="s">
        <v>26</v>
      </c>
      <c r="P737" t="s">
        <v>562</v>
      </c>
      <c r="Q737" t="s">
        <v>183</v>
      </c>
    </row>
    <row r="738" spans="1:17" x14ac:dyDescent="0.3">
      <c r="A738">
        <v>1178416</v>
      </c>
      <c r="B738" t="s">
        <v>70</v>
      </c>
      <c r="C738" t="s">
        <v>722</v>
      </c>
      <c r="D738" t="s">
        <v>61</v>
      </c>
      <c r="E738" t="s">
        <v>73</v>
      </c>
      <c r="F738">
        <v>0</v>
      </c>
      <c r="G738" t="s">
        <v>34</v>
      </c>
      <c r="H738" t="s">
        <v>406</v>
      </c>
      <c r="I738" t="s">
        <v>34</v>
      </c>
      <c r="J738" t="s">
        <v>23</v>
      </c>
      <c r="K738" t="s">
        <v>34</v>
      </c>
      <c r="L738" t="s">
        <v>43</v>
      </c>
      <c r="M738">
        <v>6</v>
      </c>
      <c r="N738" t="s">
        <v>25</v>
      </c>
      <c r="O738" t="s">
        <v>26</v>
      </c>
      <c r="P738" t="s">
        <v>441</v>
      </c>
      <c r="Q738" t="s">
        <v>349</v>
      </c>
    </row>
    <row r="739" spans="1:17" x14ac:dyDescent="0.3">
      <c r="A739">
        <v>1178417</v>
      </c>
      <c r="B739" t="s">
        <v>607</v>
      </c>
      <c r="C739" t="s">
        <v>723</v>
      </c>
      <c r="D739" t="s">
        <v>157</v>
      </c>
      <c r="E739" t="s">
        <v>608</v>
      </c>
      <c r="F739">
        <v>0</v>
      </c>
      <c r="G739" t="s">
        <v>21</v>
      </c>
      <c r="H739" t="s">
        <v>33</v>
      </c>
      <c r="I739" t="s">
        <v>33</v>
      </c>
      <c r="J739" t="s">
        <v>23</v>
      </c>
      <c r="K739" t="s">
        <v>21</v>
      </c>
      <c r="L739" t="s">
        <v>24</v>
      </c>
      <c r="M739">
        <v>17</v>
      </c>
      <c r="N739" t="s">
        <v>25</v>
      </c>
      <c r="O739" t="s">
        <v>26</v>
      </c>
      <c r="P739" t="s">
        <v>387</v>
      </c>
      <c r="Q739" t="s">
        <v>359</v>
      </c>
    </row>
    <row r="740" spans="1:17" x14ac:dyDescent="0.3">
      <c r="A740">
        <v>1178418</v>
      </c>
      <c r="B740" t="s">
        <v>53</v>
      </c>
      <c r="C740" t="s">
        <v>724</v>
      </c>
      <c r="D740" t="s">
        <v>529</v>
      </c>
      <c r="E740" t="s">
        <v>55</v>
      </c>
      <c r="F740">
        <v>0</v>
      </c>
      <c r="G740" t="s">
        <v>22</v>
      </c>
      <c r="H740" t="s">
        <v>42</v>
      </c>
      <c r="I740" t="s">
        <v>42</v>
      </c>
      <c r="J740" t="s">
        <v>23</v>
      </c>
      <c r="K740" t="s">
        <v>42</v>
      </c>
      <c r="L740" t="s">
        <v>43</v>
      </c>
      <c r="M740">
        <v>3</v>
      </c>
      <c r="N740" t="s">
        <v>25</v>
      </c>
      <c r="O740" t="s">
        <v>26</v>
      </c>
      <c r="P740" t="s">
        <v>576</v>
      </c>
      <c r="Q740" t="s">
        <v>715</v>
      </c>
    </row>
    <row r="741" spans="1:17" x14ac:dyDescent="0.3">
      <c r="A741">
        <v>1178419</v>
      </c>
      <c r="B741" t="s">
        <v>70</v>
      </c>
      <c r="C741" t="s">
        <v>725</v>
      </c>
      <c r="D741" t="s">
        <v>190</v>
      </c>
      <c r="E741" t="s">
        <v>73</v>
      </c>
      <c r="F741">
        <v>0</v>
      </c>
      <c r="G741" t="s">
        <v>34</v>
      </c>
      <c r="H741" t="s">
        <v>50</v>
      </c>
      <c r="I741" t="s">
        <v>34</v>
      </c>
      <c r="J741" t="s">
        <v>23</v>
      </c>
      <c r="K741" t="s">
        <v>50</v>
      </c>
      <c r="L741" t="s">
        <v>24</v>
      </c>
      <c r="M741">
        <v>46</v>
      </c>
      <c r="N741" t="s">
        <v>25</v>
      </c>
      <c r="O741" t="s">
        <v>26</v>
      </c>
      <c r="P741" t="s">
        <v>441</v>
      </c>
      <c r="Q741" t="s">
        <v>349</v>
      </c>
    </row>
    <row r="742" spans="1:17" x14ac:dyDescent="0.3">
      <c r="A742">
        <v>1178420</v>
      </c>
      <c r="B742" t="s">
        <v>59</v>
      </c>
      <c r="C742" t="s">
        <v>726</v>
      </c>
      <c r="D742" t="s">
        <v>276</v>
      </c>
      <c r="E742" t="s">
        <v>62</v>
      </c>
      <c r="F742">
        <v>0</v>
      </c>
      <c r="G742" t="s">
        <v>42</v>
      </c>
      <c r="H742" t="s">
        <v>406</v>
      </c>
      <c r="I742" t="s">
        <v>42</v>
      </c>
      <c r="J742" t="s">
        <v>23</v>
      </c>
      <c r="K742" t="s">
        <v>42</v>
      </c>
      <c r="L742" t="s">
        <v>43</v>
      </c>
      <c r="M742">
        <v>7</v>
      </c>
      <c r="N742" t="s">
        <v>25</v>
      </c>
      <c r="O742" t="s">
        <v>26</v>
      </c>
      <c r="P742" t="s">
        <v>617</v>
      </c>
      <c r="Q742" t="s">
        <v>562</v>
      </c>
    </row>
    <row r="743" spans="1:17" x14ac:dyDescent="0.3">
      <c r="A743">
        <v>1178421</v>
      </c>
      <c r="B743" t="s">
        <v>38</v>
      </c>
      <c r="C743" t="s">
        <v>727</v>
      </c>
      <c r="D743" t="s">
        <v>339</v>
      </c>
      <c r="E743" t="s">
        <v>40</v>
      </c>
      <c r="F743">
        <v>0</v>
      </c>
      <c r="G743" t="s">
        <v>692</v>
      </c>
      <c r="H743" t="s">
        <v>21</v>
      </c>
      <c r="I743" t="s">
        <v>692</v>
      </c>
      <c r="J743" t="s">
        <v>35</v>
      </c>
      <c r="K743" t="s">
        <v>692</v>
      </c>
      <c r="L743" t="s">
        <v>24</v>
      </c>
      <c r="M743">
        <v>16</v>
      </c>
      <c r="N743" t="s">
        <v>25</v>
      </c>
      <c r="O743" t="s">
        <v>26</v>
      </c>
      <c r="P743" t="s">
        <v>583</v>
      </c>
      <c r="Q743" t="s">
        <v>359</v>
      </c>
    </row>
    <row r="744" spans="1:17" x14ac:dyDescent="0.3">
      <c r="A744">
        <v>1178422</v>
      </c>
      <c r="B744" t="s">
        <v>53</v>
      </c>
      <c r="C744" t="s">
        <v>727</v>
      </c>
      <c r="D744" t="s">
        <v>513</v>
      </c>
      <c r="E744" t="s">
        <v>55</v>
      </c>
      <c r="F744">
        <v>0</v>
      </c>
      <c r="G744" t="s">
        <v>22</v>
      </c>
      <c r="H744" t="s">
        <v>50</v>
      </c>
      <c r="I744" t="s">
        <v>50</v>
      </c>
      <c r="J744" t="s">
        <v>23</v>
      </c>
      <c r="K744" t="s">
        <v>22</v>
      </c>
      <c r="L744" t="s">
        <v>24</v>
      </c>
      <c r="M744">
        <v>34</v>
      </c>
      <c r="N744" t="s">
        <v>25</v>
      </c>
      <c r="O744" t="s">
        <v>26</v>
      </c>
      <c r="P744" t="s">
        <v>715</v>
      </c>
      <c r="Q744" t="s">
        <v>554</v>
      </c>
    </row>
    <row r="745" spans="1:17" x14ac:dyDescent="0.3">
      <c r="A745">
        <v>1178423</v>
      </c>
      <c r="B745" t="s">
        <v>64</v>
      </c>
      <c r="C745" t="s">
        <v>728</v>
      </c>
      <c r="D745" t="s">
        <v>251</v>
      </c>
      <c r="E745" t="s">
        <v>67</v>
      </c>
      <c r="F745">
        <v>0</v>
      </c>
      <c r="G745" t="s">
        <v>406</v>
      </c>
      <c r="H745" t="s">
        <v>33</v>
      </c>
      <c r="I745" t="s">
        <v>33</v>
      </c>
      <c r="J745" t="s">
        <v>23</v>
      </c>
      <c r="K745" t="s">
        <v>406</v>
      </c>
      <c r="L745" t="s">
        <v>24</v>
      </c>
      <c r="M745">
        <v>45</v>
      </c>
      <c r="N745" t="s">
        <v>25</v>
      </c>
      <c r="O745" t="s">
        <v>26</v>
      </c>
      <c r="P745" t="s">
        <v>418</v>
      </c>
      <c r="Q745" t="s">
        <v>183</v>
      </c>
    </row>
    <row r="746" spans="1:17" x14ac:dyDescent="0.3">
      <c r="A746">
        <v>1178424</v>
      </c>
      <c r="B746" t="s">
        <v>607</v>
      </c>
      <c r="C746" t="s">
        <v>729</v>
      </c>
      <c r="D746" t="s">
        <v>26</v>
      </c>
      <c r="E746" t="s">
        <v>608</v>
      </c>
      <c r="F746">
        <v>0</v>
      </c>
      <c r="G746" t="s">
        <v>21</v>
      </c>
      <c r="H746" t="s">
        <v>42</v>
      </c>
      <c r="I746" t="s">
        <v>42</v>
      </c>
      <c r="J746" t="s">
        <v>23</v>
      </c>
      <c r="K746" t="s">
        <v>26</v>
      </c>
      <c r="L746" t="s">
        <v>26</v>
      </c>
      <c r="M746" t="s">
        <v>26</v>
      </c>
      <c r="N746" t="s">
        <v>26</v>
      </c>
      <c r="O746" t="s">
        <v>26</v>
      </c>
      <c r="P746" t="s">
        <v>707</v>
      </c>
      <c r="Q746" t="s">
        <v>441</v>
      </c>
    </row>
    <row r="747" spans="1:17" x14ac:dyDescent="0.3">
      <c r="A747">
        <v>1178425</v>
      </c>
      <c r="B747" t="s">
        <v>70</v>
      </c>
      <c r="C747" s="1">
        <v>43470</v>
      </c>
      <c r="D747" t="s">
        <v>87</v>
      </c>
      <c r="E747" t="s">
        <v>73</v>
      </c>
      <c r="F747">
        <v>0</v>
      </c>
      <c r="G747" t="s">
        <v>34</v>
      </c>
      <c r="H747" t="s">
        <v>692</v>
      </c>
      <c r="I747" t="s">
        <v>692</v>
      </c>
      <c r="J747" t="s">
        <v>23</v>
      </c>
      <c r="K747" t="s">
        <v>34</v>
      </c>
      <c r="L747" t="s">
        <v>24</v>
      </c>
      <c r="M747">
        <v>80</v>
      </c>
      <c r="N747" t="s">
        <v>25</v>
      </c>
      <c r="O747" t="s">
        <v>26</v>
      </c>
      <c r="P747" t="s">
        <v>576</v>
      </c>
      <c r="Q747" t="s">
        <v>554</v>
      </c>
    </row>
    <row r="748" spans="1:17" x14ac:dyDescent="0.3">
      <c r="A748">
        <v>1178426</v>
      </c>
      <c r="B748" t="s">
        <v>46</v>
      </c>
      <c r="C748" s="1">
        <v>43501</v>
      </c>
      <c r="D748" t="s">
        <v>612</v>
      </c>
      <c r="E748" t="s">
        <v>49</v>
      </c>
      <c r="F748">
        <v>0</v>
      </c>
      <c r="G748" t="s">
        <v>50</v>
      </c>
      <c r="H748" t="s">
        <v>406</v>
      </c>
      <c r="I748" t="s">
        <v>50</v>
      </c>
      <c r="J748" t="s">
        <v>35</v>
      </c>
      <c r="K748" t="s">
        <v>50</v>
      </c>
      <c r="L748" t="s">
        <v>158</v>
      </c>
      <c r="M748" t="s">
        <v>26</v>
      </c>
      <c r="N748" t="s">
        <v>159</v>
      </c>
      <c r="O748" t="s">
        <v>26</v>
      </c>
      <c r="P748" t="s">
        <v>418</v>
      </c>
      <c r="Q748" t="s">
        <v>183</v>
      </c>
    </row>
    <row r="749" spans="1:17" x14ac:dyDescent="0.3">
      <c r="A749">
        <v>1178427</v>
      </c>
      <c r="B749" t="s">
        <v>29</v>
      </c>
      <c r="C749" s="1">
        <v>43529</v>
      </c>
      <c r="D749" t="s">
        <v>730</v>
      </c>
      <c r="E749" t="s">
        <v>550</v>
      </c>
      <c r="F749">
        <v>0</v>
      </c>
      <c r="G749" t="s">
        <v>33</v>
      </c>
      <c r="H749" t="s">
        <v>22</v>
      </c>
      <c r="I749" t="s">
        <v>22</v>
      </c>
      <c r="J749" t="s">
        <v>23</v>
      </c>
      <c r="K749" t="s">
        <v>22</v>
      </c>
      <c r="L749" t="s">
        <v>43</v>
      </c>
      <c r="M749">
        <v>7</v>
      </c>
      <c r="N749" t="s">
        <v>25</v>
      </c>
      <c r="O749" t="s">
        <v>26</v>
      </c>
      <c r="P749" t="s">
        <v>387</v>
      </c>
      <c r="Q749" t="s">
        <v>359</v>
      </c>
    </row>
    <row r="750" spans="1:17" x14ac:dyDescent="0.3">
      <c r="A750">
        <v>1178428</v>
      </c>
      <c r="B750" t="s">
        <v>38</v>
      </c>
      <c r="C750" s="1">
        <v>43560</v>
      </c>
      <c r="D750" t="s">
        <v>111</v>
      </c>
      <c r="E750" t="s">
        <v>40</v>
      </c>
      <c r="F750">
        <v>0</v>
      </c>
      <c r="G750" t="s">
        <v>692</v>
      </c>
      <c r="H750" t="s">
        <v>42</v>
      </c>
      <c r="I750" t="s">
        <v>42</v>
      </c>
      <c r="J750" t="s">
        <v>35</v>
      </c>
      <c r="K750" t="s">
        <v>692</v>
      </c>
      <c r="L750" t="s">
        <v>43</v>
      </c>
      <c r="M750">
        <v>5</v>
      </c>
      <c r="N750" t="s">
        <v>25</v>
      </c>
      <c r="O750" t="s">
        <v>26</v>
      </c>
      <c r="P750" t="s">
        <v>576</v>
      </c>
      <c r="Q750" t="s">
        <v>715</v>
      </c>
    </row>
    <row r="751" spans="1:17" x14ac:dyDescent="0.3">
      <c r="A751">
        <v>1178429</v>
      </c>
      <c r="B751" t="s">
        <v>607</v>
      </c>
      <c r="C751" s="1">
        <v>43560</v>
      </c>
      <c r="D751" t="s">
        <v>731</v>
      </c>
      <c r="E751" t="s">
        <v>608</v>
      </c>
      <c r="F751">
        <v>0</v>
      </c>
      <c r="G751" t="s">
        <v>21</v>
      </c>
      <c r="H751" t="s">
        <v>406</v>
      </c>
      <c r="I751" t="s">
        <v>21</v>
      </c>
      <c r="J751" t="s">
        <v>23</v>
      </c>
      <c r="K751" t="s">
        <v>21</v>
      </c>
      <c r="L751" t="s">
        <v>43</v>
      </c>
      <c r="M751">
        <v>4</v>
      </c>
      <c r="N751" t="s">
        <v>25</v>
      </c>
      <c r="O751" t="s">
        <v>26</v>
      </c>
      <c r="P751" t="s">
        <v>441</v>
      </c>
      <c r="Q751" t="s">
        <v>349</v>
      </c>
    </row>
    <row r="752" spans="1:17" x14ac:dyDescent="0.3">
      <c r="A752">
        <v>1178430</v>
      </c>
      <c r="B752" t="s">
        <v>29</v>
      </c>
      <c r="C752" s="1">
        <v>43590</v>
      </c>
      <c r="D752" t="s">
        <v>648</v>
      </c>
      <c r="E752" t="s">
        <v>550</v>
      </c>
      <c r="F752">
        <v>0</v>
      </c>
      <c r="G752" t="s">
        <v>33</v>
      </c>
      <c r="H752" t="s">
        <v>34</v>
      </c>
      <c r="I752" t="s">
        <v>33</v>
      </c>
      <c r="J752" t="s">
        <v>23</v>
      </c>
      <c r="K752" t="s">
        <v>33</v>
      </c>
      <c r="L752" t="s">
        <v>43</v>
      </c>
      <c r="M752">
        <v>6</v>
      </c>
      <c r="N752" t="s">
        <v>25</v>
      </c>
      <c r="O752" t="s">
        <v>26</v>
      </c>
      <c r="P752" t="s">
        <v>583</v>
      </c>
      <c r="Q752" t="s">
        <v>387</v>
      </c>
    </row>
    <row r="753" spans="1:17" x14ac:dyDescent="0.3">
      <c r="A753">
        <v>1178431</v>
      </c>
      <c r="B753" t="s">
        <v>46</v>
      </c>
      <c r="C753" s="1">
        <v>43590</v>
      </c>
      <c r="D753" t="s">
        <v>536</v>
      </c>
      <c r="E753" t="s">
        <v>49</v>
      </c>
      <c r="F753">
        <v>0</v>
      </c>
      <c r="G753" t="s">
        <v>50</v>
      </c>
      <c r="H753" t="s">
        <v>22</v>
      </c>
      <c r="I753" t="s">
        <v>50</v>
      </c>
      <c r="J753" t="s">
        <v>23</v>
      </c>
      <c r="K753" t="s">
        <v>50</v>
      </c>
      <c r="L753" t="s">
        <v>43</v>
      </c>
      <c r="M753">
        <v>9</v>
      </c>
      <c r="N753" t="s">
        <v>25</v>
      </c>
      <c r="O753" t="s">
        <v>26</v>
      </c>
      <c r="P753" t="s">
        <v>562</v>
      </c>
      <c r="Q753" t="s">
        <v>418</v>
      </c>
    </row>
    <row r="754" spans="1:17" x14ac:dyDescent="0.3">
      <c r="A754">
        <v>1181764</v>
      </c>
      <c r="B754" t="s">
        <v>70</v>
      </c>
      <c r="C754" s="1">
        <v>43651</v>
      </c>
      <c r="D754" t="s">
        <v>572</v>
      </c>
      <c r="E754" t="s">
        <v>73</v>
      </c>
      <c r="F754">
        <v>0</v>
      </c>
      <c r="G754" t="s">
        <v>50</v>
      </c>
      <c r="H754" t="s">
        <v>34</v>
      </c>
      <c r="I754" t="s">
        <v>34</v>
      </c>
      <c r="J754" t="s">
        <v>35</v>
      </c>
      <c r="K754" t="s">
        <v>50</v>
      </c>
      <c r="L754" t="s">
        <v>43</v>
      </c>
      <c r="M754">
        <v>6</v>
      </c>
      <c r="N754" t="s">
        <v>25</v>
      </c>
      <c r="O754" t="s">
        <v>26</v>
      </c>
      <c r="P754" t="s">
        <v>441</v>
      </c>
      <c r="Q754" t="s">
        <v>554</v>
      </c>
    </row>
    <row r="755" spans="1:17" x14ac:dyDescent="0.3">
      <c r="A755">
        <v>1181766</v>
      </c>
      <c r="B755" t="s">
        <v>351</v>
      </c>
      <c r="C755" s="1">
        <v>43682</v>
      </c>
      <c r="D755" t="s">
        <v>584</v>
      </c>
      <c r="E755" t="s">
        <v>353</v>
      </c>
      <c r="F755">
        <v>0</v>
      </c>
      <c r="G755" t="s">
        <v>692</v>
      </c>
      <c r="H755" t="s">
        <v>406</v>
      </c>
      <c r="I755" t="s">
        <v>692</v>
      </c>
      <c r="J755" t="s">
        <v>23</v>
      </c>
      <c r="K755" t="s">
        <v>692</v>
      </c>
      <c r="L755" t="s">
        <v>43</v>
      </c>
      <c r="M755">
        <v>2</v>
      </c>
      <c r="N755" t="s">
        <v>25</v>
      </c>
      <c r="O755" t="s">
        <v>26</v>
      </c>
      <c r="P755" t="s">
        <v>359</v>
      </c>
      <c r="Q755" t="s">
        <v>183</v>
      </c>
    </row>
    <row r="756" spans="1:17" x14ac:dyDescent="0.3">
      <c r="A756">
        <v>1181767</v>
      </c>
      <c r="B756" t="s">
        <v>351</v>
      </c>
      <c r="C756" s="1">
        <v>43743</v>
      </c>
      <c r="D756" t="s">
        <v>360</v>
      </c>
      <c r="E756" t="s">
        <v>353</v>
      </c>
      <c r="F756">
        <v>0</v>
      </c>
      <c r="G756" t="s">
        <v>34</v>
      </c>
      <c r="H756" t="s">
        <v>692</v>
      </c>
      <c r="I756" t="s">
        <v>34</v>
      </c>
      <c r="J756" t="s">
        <v>23</v>
      </c>
      <c r="K756" t="s">
        <v>34</v>
      </c>
      <c r="L756" t="s">
        <v>43</v>
      </c>
      <c r="M756">
        <v>6</v>
      </c>
      <c r="N756" t="s">
        <v>25</v>
      </c>
      <c r="O756" t="s">
        <v>26</v>
      </c>
      <c r="P756" t="s">
        <v>359</v>
      </c>
      <c r="Q756" t="s">
        <v>183</v>
      </c>
    </row>
    <row r="757" spans="1:17" x14ac:dyDescent="0.3">
      <c r="A757">
        <v>1181768</v>
      </c>
      <c r="B757" t="s">
        <v>64</v>
      </c>
      <c r="C757" s="1">
        <v>43804</v>
      </c>
      <c r="D757" t="s">
        <v>612</v>
      </c>
      <c r="E757" t="s">
        <v>67</v>
      </c>
      <c r="F757">
        <v>0</v>
      </c>
      <c r="G757" t="s">
        <v>50</v>
      </c>
      <c r="H757" t="s">
        <v>34</v>
      </c>
      <c r="I757" t="s">
        <v>50</v>
      </c>
      <c r="J757" t="s">
        <v>35</v>
      </c>
      <c r="K757" t="s">
        <v>50</v>
      </c>
      <c r="L757" t="s">
        <v>24</v>
      </c>
      <c r="M757">
        <v>1</v>
      </c>
      <c r="N757" t="s">
        <v>25</v>
      </c>
      <c r="O757" t="s">
        <v>26</v>
      </c>
      <c r="P757" t="s">
        <v>715</v>
      </c>
      <c r="Q757" t="s">
        <v>554</v>
      </c>
    </row>
    <row r="758" spans="1:17" x14ac:dyDescent="0.3">
      <c r="A758">
        <v>1216492</v>
      </c>
      <c r="B758" t="s">
        <v>457</v>
      </c>
      <c r="C758" t="s">
        <v>732</v>
      </c>
      <c r="D758" t="s">
        <v>257</v>
      </c>
      <c r="E758" t="s">
        <v>459</v>
      </c>
      <c r="F758">
        <v>0</v>
      </c>
      <c r="G758" t="s">
        <v>50</v>
      </c>
      <c r="H758" t="s">
        <v>34</v>
      </c>
      <c r="I758" t="s">
        <v>34</v>
      </c>
      <c r="J758" t="s">
        <v>23</v>
      </c>
      <c r="K758" t="s">
        <v>34</v>
      </c>
      <c r="L758" t="s">
        <v>43</v>
      </c>
      <c r="M758">
        <v>5</v>
      </c>
      <c r="N758" t="s">
        <v>25</v>
      </c>
      <c r="O758" t="s">
        <v>26</v>
      </c>
      <c r="P758" t="s">
        <v>506</v>
      </c>
      <c r="Q758" t="s">
        <v>552</v>
      </c>
    </row>
    <row r="759" spans="1:17" x14ac:dyDescent="0.3">
      <c r="A759">
        <v>1216493</v>
      </c>
      <c r="B759" t="s">
        <v>733</v>
      </c>
      <c r="C759" t="s">
        <v>734</v>
      </c>
      <c r="D759" t="s">
        <v>585</v>
      </c>
      <c r="E759" t="s">
        <v>467</v>
      </c>
      <c r="F759">
        <v>0</v>
      </c>
      <c r="G759" t="s">
        <v>692</v>
      </c>
      <c r="H759" t="s">
        <v>33</v>
      </c>
      <c r="I759" t="s">
        <v>33</v>
      </c>
      <c r="J759" t="s">
        <v>23</v>
      </c>
      <c r="K759" t="s">
        <v>692</v>
      </c>
      <c r="L759" t="s">
        <v>158</v>
      </c>
      <c r="M759" t="s">
        <v>26</v>
      </c>
      <c r="N759" t="s">
        <v>159</v>
      </c>
      <c r="O759" t="s">
        <v>26</v>
      </c>
      <c r="P759" t="s">
        <v>349</v>
      </c>
      <c r="Q759" t="s">
        <v>554</v>
      </c>
    </row>
    <row r="760" spans="1:17" x14ac:dyDescent="0.3">
      <c r="A760">
        <v>1216494</v>
      </c>
      <c r="B760" t="s">
        <v>457</v>
      </c>
      <c r="C760" t="s">
        <v>735</v>
      </c>
      <c r="D760" t="s">
        <v>639</v>
      </c>
      <c r="E760" t="s">
        <v>459</v>
      </c>
      <c r="F760">
        <v>0</v>
      </c>
      <c r="G760" t="s">
        <v>22</v>
      </c>
      <c r="H760" t="s">
        <v>21</v>
      </c>
      <c r="I760" t="s">
        <v>22</v>
      </c>
      <c r="J760" t="s">
        <v>35</v>
      </c>
      <c r="K760" t="s">
        <v>21</v>
      </c>
      <c r="L760" t="s">
        <v>43</v>
      </c>
      <c r="M760">
        <v>8</v>
      </c>
      <c r="N760" t="s">
        <v>25</v>
      </c>
      <c r="O760" t="s">
        <v>26</v>
      </c>
      <c r="P760" t="s">
        <v>552</v>
      </c>
      <c r="Q760" t="s">
        <v>183</v>
      </c>
    </row>
    <row r="761" spans="1:17" x14ac:dyDescent="0.3">
      <c r="A761">
        <v>1216495</v>
      </c>
      <c r="B761" t="s">
        <v>736</v>
      </c>
      <c r="C761" s="1">
        <v>43901</v>
      </c>
      <c r="D761" t="s">
        <v>370</v>
      </c>
      <c r="E761" t="s">
        <v>463</v>
      </c>
      <c r="F761">
        <v>0</v>
      </c>
      <c r="G761" t="s">
        <v>50</v>
      </c>
      <c r="H761" t="s">
        <v>406</v>
      </c>
      <c r="I761" t="s">
        <v>406</v>
      </c>
      <c r="J761" t="s">
        <v>23</v>
      </c>
      <c r="K761" t="s">
        <v>406</v>
      </c>
      <c r="L761" t="s">
        <v>43</v>
      </c>
      <c r="M761">
        <v>10</v>
      </c>
      <c r="N761" t="s">
        <v>25</v>
      </c>
      <c r="O761" t="s">
        <v>26</v>
      </c>
      <c r="P761" t="s">
        <v>387</v>
      </c>
      <c r="Q761" t="s">
        <v>460</v>
      </c>
    </row>
    <row r="762" spans="1:17" x14ac:dyDescent="0.3">
      <c r="A762">
        <v>1216496</v>
      </c>
      <c r="B762" t="s">
        <v>736</v>
      </c>
      <c r="C762" t="s">
        <v>737</v>
      </c>
      <c r="D762" t="s">
        <v>436</v>
      </c>
      <c r="E762" t="s">
        <v>463</v>
      </c>
      <c r="F762">
        <v>0</v>
      </c>
      <c r="G762" t="s">
        <v>42</v>
      </c>
      <c r="H762" t="s">
        <v>34</v>
      </c>
      <c r="I762" t="s">
        <v>34</v>
      </c>
      <c r="J762" t="s">
        <v>23</v>
      </c>
      <c r="K762" t="s">
        <v>42</v>
      </c>
      <c r="L762" t="s">
        <v>24</v>
      </c>
      <c r="M762">
        <v>16</v>
      </c>
      <c r="N762" t="s">
        <v>25</v>
      </c>
      <c r="O762" t="s">
        <v>26</v>
      </c>
      <c r="P762" t="s">
        <v>387</v>
      </c>
      <c r="Q762" t="s">
        <v>354</v>
      </c>
    </row>
    <row r="763" spans="1:17" x14ac:dyDescent="0.3">
      <c r="A763">
        <v>1216497</v>
      </c>
      <c r="B763" t="s">
        <v>457</v>
      </c>
      <c r="C763" t="s">
        <v>738</v>
      </c>
      <c r="D763" t="s">
        <v>739</v>
      </c>
      <c r="E763" t="s">
        <v>459</v>
      </c>
      <c r="F763">
        <v>0</v>
      </c>
      <c r="G763" t="s">
        <v>22</v>
      </c>
      <c r="H763" t="s">
        <v>692</v>
      </c>
      <c r="I763" t="s">
        <v>692</v>
      </c>
      <c r="J763" t="s">
        <v>23</v>
      </c>
      <c r="K763" t="s">
        <v>22</v>
      </c>
      <c r="L763" t="s">
        <v>24</v>
      </c>
      <c r="M763">
        <v>59</v>
      </c>
      <c r="N763" t="s">
        <v>25</v>
      </c>
      <c r="O763" t="s">
        <v>26</v>
      </c>
      <c r="P763" t="s">
        <v>506</v>
      </c>
      <c r="Q763" t="s">
        <v>487</v>
      </c>
    </row>
    <row r="764" spans="1:17" x14ac:dyDescent="0.3">
      <c r="A764">
        <v>1216498</v>
      </c>
      <c r="B764" t="s">
        <v>733</v>
      </c>
      <c r="C764" t="s">
        <v>738</v>
      </c>
      <c r="D764" t="s">
        <v>740</v>
      </c>
      <c r="E764" t="s">
        <v>467</v>
      </c>
      <c r="F764">
        <v>0</v>
      </c>
      <c r="G764" t="s">
        <v>33</v>
      </c>
      <c r="H764" t="s">
        <v>406</v>
      </c>
      <c r="I764" t="s">
        <v>406</v>
      </c>
      <c r="J764" t="s">
        <v>23</v>
      </c>
      <c r="K764" t="s">
        <v>33</v>
      </c>
      <c r="L764" t="s">
        <v>24</v>
      </c>
      <c r="M764">
        <v>12</v>
      </c>
      <c r="N764" t="s">
        <v>25</v>
      </c>
      <c r="O764" t="s">
        <v>26</v>
      </c>
      <c r="P764" t="s">
        <v>576</v>
      </c>
      <c r="Q764" t="s">
        <v>286</v>
      </c>
    </row>
    <row r="765" spans="1:17" x14ac:dyDescent="0.3">
      <c r="A765">
        <v>1216499</v>
      </c>
      <c r="B765" t="s">
        <v>457</v>
      </c>
      <c r="C765" t="s">
        <v>741</v>
      </c>
      <c r="D765" t="s">
        <v>572</v>
      </c>
      <c r="E765" t="s">
        <v>459</v>
      </c>
      <c r="F765">
        <v>0</v>
      </c>
      <c r="G765" t="s">
        <v>21</v>
      </c>
      <c r="H765" t="s">
        <v>50</v>
      </c>
      <c r="I765" t="s">
        <v>50</v>
      </c>
      <c r="J765" t="s">
        <v>23</v>
      </c>
      <c r="K765" t="s">
        <v>50</v>
      </c>
      <c r="L765" t="s">
        <v>43</v>
      </c>
      <c r="M765">
        <v>5</v>
      </c>
      <c r="N765" t="s">
        <v>25</v>
      </c>
      <c r="O765" t="s">
        <v>26</v>
      </c>
      <c r="P765" t="s">
        <v>707</v>
      </c>
      <c r="Q765" t="s">
        <v>506</v>
      </c>
    </row>
    <row r="766" spans="1:17" x14ac:dyDescent="0.3">
      <c r="A766">
        <v>1216500</v>
      </c>
      <c r="B766" t="s">
        <v>736</v>
      </c>
      <c r="C766" s="1">
        <v>44084</v>
      </c>
      <c r="D766" t="s">
        <v>268</v>
      </c>
      <c r="E766" t="s">
        <v>463</v>
      </c>
      <c r="F766">
        <v>0</v>
      </c>
      <c r="G766" t="s">
        <v>692</v>
      </c>
      <c r="H766" t="s">
        <v>42</v>
      </c>
      <c r="I766" t="s">
        <v>42</v>
      </c>
      <c r="J766" t="s">
        <v>23</v>
      </c>
      <c r="K766" t="s">
        <v>692</v>
      </c>
      <c r="L766" t="s">
        <v>24</v>
      </c>
      <c r="M766">
        <v>46</v>
      </c>
      <c r="N766" t="s">
        <v>25</v>
      </c>
      <c r="O766" t="s">
        <v>26</v>
      </c>
      <c r="P766" t="s">
        <v>583</v>
      </c>
      <c r="Q766" t="s">
        <v>387</v>
      </c>
    </row>
    <row r="767" spans="1:17" x14ac:dyDescent="0.3">
      <c r="A767">
        <v>1216501</v>
      </c>
      <c r="B767" t="s">
        <v>457</v>
      </c>
      <c r="C767" s="1">
        <v>44022</v>
      </c>
      <c r="D767" t="s">
        <v>637</v>
      </c>
      <c r="E767" t="s">
        <v>459</v>
      </c>
      <c r="F767">
        <v>0</v>
      </c>
      <c r="G767" t="s">
        <v>22</v>
      </c>
      <c r="H767" t="s">
        <v>34</v>
      </c>
      <c r="I767" t="s">
        <v>22</v>
      </c>
      <c r="J767" t="s">
        <v>35</v>
      </c>
      <c r="K767" t="s">
        <v>22</v>
      </c>
      <c r="L767" t="s">
        <v>24</v>
      </c>
      <c r="M767">
        <v>10</v>
      </c>
      <c r="N767" t="s">
        <v>25</v>
      </c>
      <c r="O767" t="s">
        <v>26</v>
      </c>
      <c r="P767" t="s">
        <v>583</v>
      </c>
      <c r="Q767" t="s">
        <v>460</v>
      </c>
    </row>
    <row r="768" spans="1:17" x14ac:dyDescent="0.3">
      <c r="A768">
        <v>1216502</v>
      </c>
      <c r="B768" t="s">
        <v>736</v>
      </c>
      <c r="C768" t="s">
        <v>742</v>
      </c>
      <c r="D768" t="s">
        <v>478</v>
      </c>
      <c r="E768" t="s">
        <v>463</v>
      </c>
      <c r="F768">
        <v>0</v>
      </c>
      <c r="G768" t="s">
        <v>21</v>
      </c>
      <c r="H768" t="s">
        <v>406</v>
      </c>
      <c r="I768" t="s">
        <v>406</v>
      </c>
      <c r="J768" t="s">
        <v>23</v>
      </c>
      <c r="K768" t="s">
        <v>406</v>
      </c>
      <c r="L768" t="s">
        <v>43</v>
      </c>
      <c r="M768">
        <v>5</v>
      </c>
      <c r="N768" t="s">
        <v>25</v>
      </c>
      <c r="O768" t="s">
        <v>26</v>
      </c>
      <c r="P768" t="s">
        <v>583</v>
      </c>
      <c r="Q768" t="s">
        <v>509</v>
      </c>
    </row>
    <row r="769" spans="1:17" x14ac:dyDescent="0.3">
      <c r="A769">
        <v>1216503</v>
      </c>
      <c r="B769" t="s">
        <v>457</v>
      </c>
      <c r="C769" s="1">
        <v>43840</v>
      </c>
      <c r="D769" t="s">
        <v>267</v>
      </c>
      <c r="E769" t="s">
        <v>459</v>
      </c>
      <c r="F769">
        <v>0</v>
      </c>
      <c r="G769" t="s">
        <v>50</v>
      </c>
      <c r="H769" t="s">
        <v>33</v>
      </c>
      <c r="I769" t="s">
        <v>33</v>
      </c>
      <c r="J769" t="s">
        <v>23</v>
      </c>
      <c r="K769" t="s">
        <v>50</v>
      </c>
      <c r="L769" t="s">
        <v>24</v>
      </c>
      <c r="M769">
        <v>48</v>
      </c>
      <c r="N769" t="s">
        <v>25</v>
      </c>
      <c r="O769" t="s">
        <v>26</v>
      </c>
      <c r="P769" t="s">
        <v>552</v>
      </c>
      <c r="Q769" t="s">
        <v>183</v>
      </c>
    </row>
    <row r="770" spans="1:17" x14ac:dyDescent="0.3">
      <c r="A770">
        <v>1216504</v>
      </c>
      <c r="B770" t="s">
        <v>733</v>
      </c>
      <c r="C770" t="s">
        <v>743</v>
      </c>
      <c r="D770" t="s">
        <v>744</v>
      </c>
      <c r="E770" t="s">
        <v>467</v>
      </c>
      <c r="F770">
        <v>0</v>
      </c>
      <c r="G770" t="s">
        <v>22</v>
      </c>
      <c r="H770" t="s">
        <v>42</v>
      </c>
      <c r="I770" t="s">
        <v>42</v>
      </c>
      <c r="J770" t="s">
        <v>23</v>
      </c>
      <c r="K770" t="s">
        <v>22</v>
      </c>
      <c r="L770" t="s">
        <v>24</v>
      </c>
      <c r="M770">
        <v>37</v>
      </c>
      <c r="N770" t="s">
        <v>25</v>
      </c>
      <c r="O770" t="s">
        <v>26</v>
      </c>
      <c r="P770" t="s">
        <v>583</v>
      </c>
      <c r="Q770" t="s">
        <v>387</v>
      </c>
    </row>
    <row r="771" spans="1:17" x14ac:dyDescent="0.3">
      <c r="A771">
        <v>1216505</v>
      </c>
      <c r="B771" t="s">
        <v>457</v>
      </c>
      <c r="C771" s="1">
        <v>43872</v>
      </c>
      <c r="D771" t="s">
        <v>745</v>
      </c>
      <c r="E771" t="s">
        <v>459</v>
      </c>
      <c r="F771">
        <v>0</v>
      </c>
      <c r="G771" t="s">
        <v>21</v>
      </c>
      <c r="H771" t="s">
        <v>692</v>
      </c>
      <c r="I771" t="s">
        <v>692</v>
      </c>
      <c r="J771" t="s">
        <v>23</v>
      </c>
      <c r="K771" t="s">
        <v>692</v>
      </c>
      <c r="L771" t="s">
        <v>43</v>
      </c>
      <c r="M771">
        <v>6</v>
      </c>
      <c r="N771" t="s">
        <v>25</v>
      </c>
      <c r="O771" t="s">
        <v>26</v>
      </c>
      <c r="P771" t="s">
        <v>506</v>
      </c>
      <c r="Q771" t="s">
        <v>183</v>
      </c>
    </row>
    <row r="772" spans="1:17" x14ac:dyDescent="0.3">
      <c r="A772">
        <v>1216506</v>
      </c>
      <c r="B772" t="s">
        <v>457</v>
      </c>
      <c r="C772" s="1">
        <v>43841</v>
      </c>
      <c r="D772" t="s">
        <v>746</v>
      </c>
      <c r="E772" t="s">
        <v>459</v>
      </c>
      <c r="F772">
        <v>0</v>
      </c>
      <c r="G772" t="s">
        <v>33</v>
      </c>
      <c r="H772" t="s">
        <v>34</v>
      </c>
      <c r="I772" t="s">
        <v>34</v>
      </c>
      <c r="J772" t="s">
        <v>23</v>
      </c>
      <c r="K772" t="s">
        <v>34</v>
      </c>
      <c r="L772" t="s">
        <v>43</v>
      </c>
      <c r="M772">
        <v>9</v>
      </c>
      <c r="N772" t="s">
        <v>25</v>
      </c>
      <c r="O772" t="s">
        <v>26</v>
      </c>
      <c r="P772" t="s">
        <v>487</v>
      </c>
      <c r="Q772" t="s">
        <v>552</v>
      </c>
    </row>
    <row r="773" spans="1:17" x14ac:dyDescent="0.3">
      <c r="A773">
        <v>1216507</v>
      </c>
      <c r="B773" t="s">
        <v>733</v>
      </c>
      <c r="C773" s="1">
        <v>44145</v>
      </c>
      <c r="D773" t="s">
        <v>747</v>
      </c>
      <c r="E773" t="s">
        <v>467</v>
      </c>
      <c r="F773">
        <v>0</v>
      </c>
      <c r="G773" t="s">
        <v>406</v>
      </c>
      <c r="H773" t="s">
        <v>42</v>
      </c>
      <c r="I773" t="s">
        <v>406</v>
      </c>
      <c r="J773" t="s">
        <v>35</v>
      </c>
      <c r="K773" t="s">
        <v>42</v>
      </c>
      <c r="L773" t="s">
        <v>43</v>
      </c>
      <c r="M773">
        <v>5</v>
      </c>
      <c r="N773" t="s">
        <v>25</v>
      </c>
      <c r="O773" t="s">
        <v>26</v>
      </c>
      <c r="P773" t="s">
        <v>617</v>
      </c>
      <c r="Q773" t="s">
        <v>286</v>
      </c>
    </row>
    <row r="774" spans="1:17" x14ac:dyDescent="0.3">
      <c r="A774">
        <v>1216508</v>
      </c>
      <c r="B774" t="s">
        <v>457</v>
      </c>
      <c r="C774" t="s">
        <v>748</v>
      </c>
      <c r="D774" t="s">
        <v>190</v>
      </c>
      <c r="E774" t="s">
        <v>459</v>
      </c>
      <c r="F774">
        <v>0</v>
      </c>
      <c r="G774" t="s">
        <v>50</v>
      </c>
      <c r="H774" t="s">
        <v>22</v>
      </c>
      <c r="I774" t="s">
        <v>22</v>
      </c>
      <c r="J774" t="s">
        <v>23</v>
      </c>
      <c r="K774" t="s">
        <v>50</v>
      </c>
      <c r="L774" t="s">
        <v>24</v>
      </c>
      <c r="M774">
        <v>49</v>
      </c>
      <c r="N774" t="s">
        <v>25</v>
      </c>
      <c r="O774" t="s">
        <v>26</v>
      </c>
      <c r="P774" t="s">
        <v>506</v>
      </c>
      <c r="Q774" t="s">
        <v>183</v>
      </c>
    </row>
    <row r="775" spans="1:17" x14ac:dyDescent="0.3">
      <c r="A775">
        <v>1216509</v>
      </c>
      <c r="B775" t="s">
        <v>736</v>
      </c>
      <c r="C775" t="s">
        <v>749</v>
      </c>
      <c r="D775" t="s">
        <v>339</v>
      </c>
      <c r="E775" t="s">
        <v>463</v>
      </c>
      <c r="F775">
        <v>0</v>
      </c>
      <c r="G775" t="s">
        <v>34</v>
      </c>
      <c r="H775" t="s">
        <v>692</v>
      </c>
      <c r="I775" t="s">
        <v>34</v>
      </c>
      <c r="J775" t="s">
        <v>35</v>
      </c>
      <c r="K775" t="s">
        <v>692</v>
      </c>
      <c r="L775" t="s">
        <v>43</v>
      </c>
      <c r="M775">
        <v>5</v>
      </c>
      <c r="N775" t="s">
        <v>25</v>
      </c>
      <c r="O775" t="s">
        <v>26</v>
      </c>
      <c r="P775" t="s">
        <v>583</v>
      </c>
      <c r="Q775" t="s">
        <v>460</v>
      </c>
    </row>
    <row r="776" spans="1:17" x14ac:dyDescent="0.3">
      <c r="A776">
        <v>1216510</v>
      </c>
      <c r="B776" t="s">
        <v>733</v>
      </c>
      <c r="C776" t="s">
        <v>750</v>
      </c>
      <c r="D776" t="s">
        <v>648</v>
      </c>
      <c r="E776" t="s">
        <v>467</v>
      </c>
      <c r="F776">
        <v>0</v>
      </c>
      <c r="G776" t="s">
        <v>33</v>
      </c>
      <c r="H776" t="s">
        <v>21</v>
      </c>
      <c r="I776" t="s">
        <v>21</v>
      </c>
      <c r="J776" t="s">
        <v>23</v>
      </c>
      <c r="K776" t="s">
        <v>33</v>
      </c>
      <c r="L776" t="s">
        <v>24</v>
      </c>
      <c r="M776">
        <v>97</v>
      </c>
      <c r="N776" t="s">
        <v>25</v>
      </c>
      <c r="O776" t="s">
        <v>26</v>
      </c>
      <c r="P776" t="s">
        <v>349</v>
      </c>
      <c r="Q776" t="s">
        <v>286</v>
      </c>
    </row>
    <row r="777" spans="1:17" x14ac:dyDescent="0.3">
      <c r="A777">
        <v>1216511</v>
      </c>
      <c r="B777" t="s">
        <v>457</v>
      </c>
      <c r="C777" s="1">
        <v>43992</v>
      </c>
      <c r="D777" t="s">
        <v>572</v>
      </c>
      <c r="E777" t="s">
        <v>459</v>
      </c>
      <c r="F777">
        <v>0</v>
      </c>
      <c r="G777" t="s">
        <v>50</v>
      </c>
      <c r="H777" t="s">
        <v>42</v>
      </c>
      <c r="I777" t="s">
        <v>50</v>
      </c>
      <c r="J777" t="s">
        <v>35</v>
      </c>
      <c r="K777" t="s">
        <v>50</v>
      </c>
      <c r="L777" t="s">
        <v>24</v>
      </c>
      <c r="M777">
        <v>57</v>
      </c>
      <c r="N777" t="s">
        <v>25</v>
      </c>
      <c r="O777" t="s">
        <v>26</v>
      </c>
      <c r="P777" t="s">
        <v>552</v>
      </c>
      <c r="Q777" t="s">
        <v>183</v>
      </c>
    </row>
    <row r="778" spans="1:17" x14ac:dyDescent="0.3">
      <c r="A778">
        <v>1216512</v>
      </c>
      <c r="B778" t="s">
        <v>457</v>
      </c>
      <c r="C778" t="s">
        <v>751</v>
      </c>
      <c r="D778" t="s">
        <v>634</v>
      </c>
      <c r="E778" t="s">
        <v>459</v>
      </c>
      <c r="F778">
        <v>0</v>
      </c>
      <c r="G778" t="s">
        <v>22</v>
      </c>
      <c r="H778" t="s">
        <v>406</v>
      </c>
      <c r="I778" t="s">
        <v>406</v>
      </c>
      <c r="J778" t="s">
        <v>23</v>
      </c>
      <c r="K778" t="s">
        <v>22</v>
      </c>
      <c r="L778" t="s">
        <v>158</v>
      </c>
      <c r="M778" t="s">
        <v>26</v>
      </c>
      <c r="N778" t="s">
        <v>159</v>
      </c>
      <c r="O778" t="s">
        <v>26</v>
      </c>
      <c r="P778" t="s">
        <v>487</v>
      </c>
      <c r="Q778" t="s">
        <v>183</v>
      </c>
    </row>
    <row r="779" spans="1:17" x14ac:dyDescent="0.3">
      <c r="A779">
        <v>1216513</v>
      </c>
      <c r="B779" t="s">
        <v>733</v>
      </c>
      <c r="C779" s="1">
        <v>43931</v>
      </c>
      <c r="D779" t="s">
        <v>61</v>
      </c>
      <c r="E779" t="s">
        <v>467</v>
      </c>
      <c r="F779">
        <v>0</v>
      </c>
      <c r="G779" t="s">
        <v>33</v>
      </c>
      <c r="H779" t="s">
        <v>34</v>
      </c>
      <c r="I779" t="s">
        <v>33</v>
      </c>
      <c r="J779" t="s">
        <v>35</v>
      </c>
      <c r="K779" t="s">
        <v>34</v>
      </c>
      <c r="L779" t="s">
        <v>43</v>
      </c>
      <c r="M779">
        <v>10</v>
      </c>
      <c r="N779" t="s">
        <v>25</v>
      </c>
      <c r="O779" t="s">
        <v>26</v>
      </c>
      <c r="P779" t="s">
        <v>576</v>
      </c>
      <c r="Q779" t="s">
        <v>554</v>
      </c>
    </row>
    <row r="780" spans="1:17" x14ac:dyDescent="0.3">
      <c r="A780">
        <v>1216514</v>
      </c>
      <c r="B780" t="s">
        <v>457</v>
      </c>
      <c r="C780" s="1">
        <v>43900</v>
      </c>
      <c r="D780" t="s">
        <v>462</v>
      </c>
      <c r="E780" t="s">
        <v>459</v>
      </c>
      <c r="F780">
        <v>0</v>
      </c>
      <c r="G780" t="s">
        <v>42</v>
      </c>
      <c r="H780" t="s">
        <v>21</v>
      </c>
      <c r="I780" t="s">
        <v>42</v>
      </c>
      <c r="J780" t="s">
        <v>35</v>
      </c>
      <c r="K780" t="s">
        <v>21</v>
      </c>
      <c r="L780" t="s">
        <v>43</v>
      </c>
      <c r="M780">
        <v>8</v>
      </c>
      <c r="N780" t="s">
        <v>25</v>
      </c>
      <c r="O780" t="s">
        <v>26</v>
      </c>
      <c r="P780" t="s">
        <v>506</v>
      </c>
      <c r="Q780" t="s">
        <v>183</v>
      </c>
    </row>
    <row r="781" spans="1:17" x14ac:dyDescent="0.3">
      <c r="A781">
        <v>1216515</v>
      </c>
      <c r="B781" t="s">
        <v>736</v>
      </c>
      <c r="C781" s="1">
        <v>43900</v>
      </c>
      <c r="D781" t="s">
        <v>524</v>
      </c>
      <c r="E781" t="s">
        <v>463</v>
      </c>
      <c r="F781">
        <v>0</v>
      </c>
      <c r="G781" t="s">
        <v>692</v>
      </c>
      <c r="H781" t="s">
        <v>22</v>
      </c>
      <c r="I781" t="s">
        <v>22</v>
      </c>
      <c r="J781" t="s">
        <v>23</v>
      </c>
      <c r="K781" t="s">
        <v>692</v>
      </c>
      <c r="L781" t="s">
        <v>24</v>
      </c>
      <c r="M781">
        <v>18</v>
      </c>
      <c r="N781" t="s">
        <v>25</v>
      </c>
      <c r="O781" t="s">
        <v>26</v>
      </c>
      <c r="P781" t="s">
        <v>354</v>
      </c>
      <c r="Q781" t="s">
        <v>460</v>
      </c>
    </row>
    <row r="782" spans="1:17" x14ac:dyDescent="0.3">
      <c r="A782">
        <v>1216516</v>
      </c>
      <c r="B782" t="s">
        <v>733</v>
      </c>
      <c r="C782" s="1">
        <v>43871</v>
      </c>
      <c r="D782" t="s">
        <v>752</v>
      </c>
      <c r="E782" t="s">
        <v>467</v>
      </c>
      <c r="F782">
        <v>0</v>
      </c>
      <c r="G782" t="s">
        <v>406</v>
      </c>
      <c r="H782" t="s">
        <v>34</v>
      </c>
      <c r="I782" t="s">
        <v>406</v>
      </c>
      <c r="J782" t="s">
        <v>35</v>
      </c>
      <c r="K782" t="s">
        <v>406</v>
      </c>
      <c r="L782" t="s">
        <v>24</v>
      </c>
      <c r="M782">
        <v>7</v>
      </c>
      <c r="N782" t="s">
        <v>25</v>
      </c>
      <c r="O782" t="s">
        <v>26</v>
      </c>
      <c r="P782" t="s">
        <v>349</v>
      </c>
      <c r="Q782" t="s">
        <v>286</v>
      </c>
    </row>
    <row r="783" spans="1:17" x14ac:dyDescent="0.3">
      <c r="A783">
        <v>1216517</v>
      </c>
      <c r="B783" t="s">
        <v>733</v>
      </c>
      <c r="C783" t="s">
        <v>751</v>
      </c>
      <c r="D783" t="s">
        <v>648</v>
      </c>
      <c r="E783" t="s">
        <v>467</v>
      </c>
      <c r="F783">
        <v>0</v>
      </c>
      <c r="G783" t="s">
        <v>50</v>
      </c>
      <c r="H783" t="s">
        <v>33</v>
      </c>
      <c r="I783" t="s">
        <v>50</v>
      </c>
      <c r="J783" t="s">
        <v>35</v>
      </c>
      <c r="K783" t="s">
        <v>33</v>
      </c>
      <c r="L783" t="s">
        <v>158</v>
      </c>
      <c r="M783" t="s">
        <v>26</v>
      </c>
      <c r="N783" t="s">
        <v>159</v>
      </c>
      <c r="O783" t="s">
        <v>26</v>
      </c>
      <c r="P783" t="s">
        <v>554</v>
      </c>
      <c r="Q783" t="s">
        <v>286</v>
      </c>
    </row>
    <row r="784" spans="1:17" x14ac:dyDescent="0.3">
      <c r="A784">
        <v>1216518</v>
      </c>
      <c r="B784" t="s">
        <v>733</v>
      </c>
      <c r="C784" t="s">
        <v>753</v>
      </c>
      <c r="D784" t="s">
        <v>214</v>
      </c>
      <c r="E784" t="s">
        <v>467</v>
      </c>
      <c r="F784">
        <v>0</v>
      </c>
      <c r="G784" t="s">
        <v>42</v>
      </c>
      <c r="H784" t="s">
        <v>406</v>
      </c>
      <c r="I784" t="s">
        <v>406</v>
      </c>
      <c r="J784" t="s">
        <v>23</v>
      </c>
      <c r="K784" t="s">
        <v>406</v>
      </c>
      <c r="L784" t="s">
        <v>43</v>
      </c>
      <c r="M784">
        <v>8</v>
      </c>
      <c r="N784" t="s">
        <v>25</v>
      </c>
      <c r="O784" t="s">
        <v>26</v>
      </c>
      <c r="P784" t="s">
        <v>554</v>
      </c>
      <c r="Q784" t="s">
        <v>286</v>
      </c>
    </row>
    <row r="785" spans="1:17" x14ac:dyDescent="0.3">
      <c r="A785">
        <v>1216519</v>
      </c>
      <c r="B785" t="s">
        <v>733</v>
      </c>
      <c r="C785" s="1">
        <v>43961</v>
      </c>
      <c r="D785" t="s">
        <v>493</v>
      </c>
      <c r="E785" t="s">
        <v>467</v>
      </c>
      <c r="F785">
        <v>0</v>
      </c>
      <c r="G785" t="s">
        <v>692</v>
      </c>
      <c r="H785" t="s">
        <v>21</v>
      </c>
      <c r="I785" t="s">
        <v>21</v>
      </c>
      <c r="J785" t="s">
        <v>23</v>
      </c>
      <c r="K785" t="s">
        <v>692</v>
      </c>
      <c r="L785" t="s">
        <v>24</v>
      </c>
      <c r="M785">
        <v>59</v>
      </c>
      <c r="N785" t="s">
        <v>25</v>
      </c>
      <c r="O785" t="s">
        <v>26</v>
      </c>
      <c r="P785" t="s">
        <v>554</v>
      </c>
      <c r="Q785" t="s">
        <v>617</v>
      </c>
    </row>
    <row r="786" spans="1:17" x14ac:dyDescent="0.3">
      <c r="A786">
        <v>1216520</v>
      </c>
      <c r="B786" t="s">
        <v>736</v>
      </c>
      <c r="C786" t="s">
        <v>754</v>
      </c>
      <c r="D786" t="s">
        <v>152</v>
      </c>
      <c r="E786" t="s">
        <v>463</v>
      </c>
      <c r="F786">
        <v>0</v>
      </c>
      <c r="G786" t="s">
        <v>22</v>
      </c>
      <c r="H786" t="s">
        <v>33</v>
      </c>
      <c r="I786" t="s">
        <v>33</v>
      </c>
      <c r="J786" t="s">
        <v>23</v>
      </c>
      <c r="K786" t="s">
        <v>33</v>
      </c>
      <c r="L786" t="s">
        <v>43</v>
      </c>
      <c r="M786">
        <v>8</v>
      </c>
      <c r="N786" t="s">
        <v>25</v>
      </c>
      <c r="O786" t="s">
        <v>26</v>
      </c>
      <c r="P786" t="s">
        <v>583</v>
      </c>
      <c r="Q786" t="s">
        <v>460</v>
      </c>
    </row>
    <row r="787" spans="1:17" x14ac:dyDescent="0.3">
      <c r="A787">
        <v>1216521</v>
      </c>
      <c r="B787" t="s">
        <v>736</v>
      </c>
      <c r="C787" t="s">
        <v>755</v>
      </c>
      <c r="D787" t="s">
        <v>531</v>
      </c>
      <c r="E787" t="s">
        <v>463</v>
      </c>
      <c r="F787">
        <v>0</v>
      </c>
      <c r="G787" t="s">
        <v>34</v>
      </c>
      <c r="H787" t="s">
        <v>50</v>
      </c>
      <c r="I787" t="s">
        <v>50</v>
      </c>
      <c r="J787" t="s">
        <v>23</v>
      </c>
      <c r="K787" t="s">
        <v>50</v>
      </c>
      <c r="L787" t="s">
        <v>43</v>
      </c>
      <c r="M787">
        <v>10</v>
      </c>
      <c r="N787" t="s">
        <v>25</v>
      </c>
      <c r="O787" t="s">
        <v>26</v>
      </c>
      <c r="P787" t="s">
        <v>387</v>
      </c>
      <c r="Q787" t="s">
        <v>354</v>
      </c>
    </row>
    <row r="788" spans="1:17" x14ac:dyDescent="0.3">
      <c r="A788">
        <v>1216522</v>
      </c>
      <c r="B788" t="s">
        <v>733</v>
      </c>
      <c r="C788" t="s">
        <v>749</v>
      </c>
      <c r="D788" t="s">
        <v>157</v>
      </c>
      <c r="E788" t="s">
        <v>467</v>
      </c>
      <c r="F788">
        <v>0</v>
      </c>
      <c r="G788" t="s">
        <v>42</v>
      </c>
      <c r="H788" t="s">
        <v>21</v>
      </c>
      <c r="I788" t="s">
        <v>42</v>
      </c>
      <c r="J788" t="s">
        <v>35</v>
      </c>
      <c r="K788" t="s">
        <v>21</v>
      </c>
      <c r="L788" t="s">
        <v>43</v>
      </c>
      <c r="M788">
        <v>7</v>
      </c>
      <c r="N788" t="s">
        <v>25</v>
      </c>
      <c r="O788" t="s">
        <v>26</v>
      </c>
      <c r="P788" t="s">
        <v>349</v>
      </c>
      <c r="Q788" t="s">
        <v>554</v>
      </c>
    </row>
    <row r="789" spans="1:17" x14ac:dyDescent="0.3">
      <c r="A789">
        <v>1216523</v>
      </c>
      <c r="B789" t="s">
        <v>457</v>
      </c>
      <c r="C789" s="1">
        <v>44114</v>
      </c>
      <c r="D789" t="s">
        <v>127</v>
      </c>
      <c r="E789" t="s">
        <v>459</v>
      </c>
      <c r="F789">
        <v>0</v>
      </c>
      <c r="G789" t="s">
        <v>22</v>
      </c>
      <c r="H789" t="s">
        <v>33</v>
      </c>
      <c r="I789" t="s">
        <v>22</v>
      </c>
      <c r="J789" t="s">
        <v>35</v>
      </c>
      <c r="K789" t="s">
        <v>22</v>
      </c>
      <c r="L789" t="s">
        <v>24</v>
      </c>
      <c r="M789">
        <v>2</v>
      </c>
      <c r="N789" t="s">
        <v>25</v>
      </c>
      <c r="O789" t="s">
        <v>26</v>
      </c>
      <c r="P789" t="s">
        <v>707</v>
      </c>
      <c r="Q789" t="s">
        <v>506</v>
      </c>
    </row>
    <row r="790" spans="1:17" x14ac:dyDescent="0.3">
      <c r="A790">
        <v>1216524</v>
      </c>
      <c r="B790" t="s">
        <v>733</v>
      </c>
      <c r="C790" t="s">
        <v>756</v>
      </c>
      <c r="D790" t="s">
        <v>335</v>
      </c>
      <c r="E790" t="s">
        <v>467</v>
      </c>
      <c r="F790">
        <v>0</v>
      </c>
      <c r="G790" t="s">
        <v>406</v>
      </c>
      <c r="H790" t="s">
        <v>692</v>
      </c>
      <c r="I790" t="s">
        <v>692</v>
      </c>
      <c r="J790" t="s">
        <v>23</v>
      </c>
      <c r="K790" t="s">
        <v>406</v>
      </c>
      <c r="L790" t="s">
        <v>24</v>
      </c>
      <c r="M790">
        <v>88</v>
      </c>
      <c r="N790" t="s">
        <v>25</v>
      </c>
      <c r="O790" t="s">
        <v>26</v>
      </c>
      <c r="P790" t="s">
        <v>349</v>
      </c>
      <c r="Q790" t="s">
        <v>554</v>
      </c>
    </row>
    <row r="791" spans="1:17" x14ac:dyDescent="0.3">
      <c r="A791">
        <v>1216525</v>
      </c>
      <c r="B791" t="s">
        <v>733</v>
      </c>
      <c r="C791" s="1">
        <v>44114</v>
      </c>
      <c r="D791" t="s">
        <v>314</v>
      </c>
      <c r="E791" t="s">
        <v>467</v>
      </c>
      <c r="F791">
        <v>0</v>
      </c>
      <c r="G791" t="s">
        <v>21</v>
      </c>
      <c r="H791" t="s">
        <v>34</v>
      </c>
      <c r="I791" t="s">
        <v>21</v>
      </c>
      <c r="J791" t="s">
        <v>35</v>
      </c>
      <c r="K791" t="s">
        <v>21</v>
      </c>
      <c r="L791" t="s">
        <v>24</v>
      </c>
      <c r="M791">
        <v>37</v>
      </c>
      <c r="N791" t="s">
        <v>25</v>
      </c>
      <c r="O791" t="s">
        <v>26</v>
      </c>
      <c r="P791" t="s">
        <v>349</v>
      </c>
      <c r="Q791" t="s">
        <v>286</v>
      </c>
    </row>
    <row r="792" spans="1:17" x14ac:dyDescent="0.3">
      <c r="A792">
        <v>1216526</v>
      </c>
      <c r="B792" t="s">
        <v>457</v>
      </c>
      <c r="C792" t="s">
        <v>757</v>
      </c>
      <c r="D792" t="s">
        <v>561</v>
      </c>
      <c r="E792" t="s">
        <v>459</v>
      </c>
      <c r="F792">
        <v>0</v>
      </c>
      <c r="G792" t="s">
        <v>22</v>
      </c>
      <c r="H792" t="s">
        <v>50</v>
      </c>
      <c r="I792" t="s">
        <v>22</v>
      </c>
      <c r="J792" t="s">
        <v>35</v>
      </c>
      <c r="K792" t="s">
        <v>50</v>
      </c>
      <c r="L792" t="s">
        <v>43</v>
      </c>
      <c r="M792">
        <v>8</v>
      </c>
      <c r="N792" t="s">
        <v>25</v>
      </c>
      <c r="O792" t="s">
        <v>26</v>
      </c>
      <c r="P792" t="s">
        <v>506</v>
      </c>
      <c r="Q792" t="s">
        <v>552</v>
      </c>
    </row>
    <row r="793" spans="1:17" x14ac:dyDescent="0.3">
      <c r="A793">
        <v>1216527</v>
      </c>
      <c r="B793" t="s">
        <v>736</v>
      </c>
      <c r="C793" t="s">
        <v>758</v>
      </c>
      <c r="D793" t="s">
        <v>436</v>
      </c>
      <c r="E793" t="s">
        <v>463</v>
      </c>
      <c r="F793">
        <v>0</v>
      </c>
      <c r="G793" t="s">
        <v>33</v>
      </c>
      <c r="H793" t="s">
        <v>42</v>
      </c>
      <c r="I793" t="s">
        <v>42</v>
      </c>
      <c r="J793" t="s">
        <v>23</v>
      </c>
      <c r="K793" t="s">
        <v>42</v>
      </c>
      <c r="L793" t="s">
        <v>43</v>
      </c>
      <c r="M793">
        <v>4</v>
      </c>
      <c r="N793" t="s">
        <v>25</v>
      </c>
      <c r="O793" t="s">
        <v>26</v>
      </c>
      <c r="P793" t="s">
        <v>460</v>
      </c>
      <c r="Q793" t="s">
        <v>509</v>
      </c>
    </row>
    <row r="794" spans="1:17" x14ac:dyDescent="0.3">
      <c r="A794">
        <v>1216528</v>
      </c>
      <c r="B794" t="s">
        <v>733</v>
      </c>
      <c r="C794" t="s">
        <v>759</v>
      </c>
      <c r="D794" t="s">
        <v>352</v>
      </c>
      <c r="E794" t="s">
        <v>467</v>
      </c>
      <c r="F794">
        <v>0</v>
      </c>
      <c r="G794" t="s">
        <v>34</v>
      </c>
      <c r="H794" t="s">
        <v>406</v>
      </c>
      <c r="I794" t="s">
        <v>34</v>
      </c>
      <c r="J794" t="s">
        <v>35</v>
      </c>
      <c r="K794" t="s">
        <v>34</v>
      </c>
      <c r="L794" t="s">
        <v>24</v>
      </c>
      <c r="M794">
        <v>20</v>
      </c>
      <c r="N794" t="s">
        <v>25</v>
      </c>
      <c r="O794" t="s">
        <v>26</v>
      </c>
      <c r="P794" t="s">
        <v>349</v>
      </c>
      <c r="Q794" t="s">
        <v>286</v>
      </c>
    </row>
    <row r="795" spans="1:17" x14ac:dyDescent="0.3">
      <c r="A795">
        <v>1216529</v>
      </c>
      <c r="B795" t="s">
        <v>457</v>
      </c>
      <c r="C795" s="1">
        <v>44145</v>
      </c>
      <c r="D795" t="s">
        <v>561</v>
      </c>
      <c r="E795" t="s">
        <v>459</v>
      </c>
      <c r="F795">
        <v>0</v>
      </c>
      <c r="G795" t="s">
        <v>692</v>
      </c>
      <c r="H795" t="s">
        <v>50</v>
      </c>
      <c r="I795" t="s">
        <v>692</v>
      </c>
      <c r="J795" t="s">
        <v>35</v>
      </c>
      <c r="K795" t="s">
        <v>50</v>
      </c>
      <c r="L795" t="s">
        <v>43</v>
      </c>
      <c r="M795">
        <v>5</v>
      </c>
      <c r="N795" t="s">
        <v>25</v>
      </c>
      <c r="O795" t="s">
        <v>26</v>
      </c>
      <c r="P795" t="s">
        <v>506</v>
      </c>
      <c r="Q795" t="s">
        <v>183</v>
      </c>
    </row>
    <row r="796" spans="1:17" x14ac:dyDescent="0.3">
      <c r="A796">
        <v>1216530</v>
      </c>
      <c r="B796" t="s">
        <v>733</v>
      </c>
      <c r="C796" s="1">
        <v>43841</v>
      </c>
      <c r="D796" t="s">
        <v>760</v>
      </c>
      <c r="E796" t="s">
        <v>467</v>
      </c>
      <c r="F796">
        <v>0</v>
      </c>
      <c r="G796" t="s">
        <v>22</v>
      </c>
      <c r="H796" t="s">
        <v>42</v>
      </c>
      <c r="I796" t="s">
        <v>42</v>
      </c>
      <c r="J796" t="s">
        <v>23</v>
      </c>
      <c r="K796" t="s">
        <v>22</v>
      </c>
      <c r="L796" t="s">
        <v>24</v>
      </c>
      <c r="M796">
        <v>60</v>
      </c>
      <c r="N796" t="s">
        <v>25</v>
      </c>
      <c r="O796" t="s">
        <v>26</v>
      </c>
      <c r="P796" t="s">
        <v>554</v>
      </c>
      <c r="Q796" t="s">
        <v>286</v>
      </c>
    </row>
    <row r="797" spans="1:17" x14ac:dyDescent="0.3">
      <c r="A797">
        <v>1216531</v>
      </c>
      <c r="B797" t="s">
        <v>736</v>
      </c>
      <c r="C797" t="s">
        <v>761</v>
      </c>
      <c r="D797" t="s">
        <v>648</v>
      </c>
      <c r="E797" t="s">
        <v>463</v>
      </c>
      <c r="F797">
        <v>0</v>
      </c>
      <c r="G797" t="s">
        <v>21</v>
      </c>
      <c r="H797" t="s">
        <v>33</v>
      </c>
      <c r="I797" t="s">
        <v>21</v>
      </c>
      <c r="J797" t="s">
        <v>35</v>
      </c>
      <c r="K797" t="s">
        <v>33</v>
      </c>
      <c r="L797" t="s">
        <v>43</v>
      </c>
      <c r="M797">
        <v>8</v>
      </c>
      <c r="N797" t="s">
        <v>25</v>
      </c>
      <c r="O797" t="s">
        <v>26</v>
      </c>
      <c r="P797" t="s">
        <v>583</v>
      </c>
      <c r="Q797" t="s">
        <v>387</v>
      </c>
    </row>
    <row r="798" spans="1:17" x14ac:dyDescent="0.3">
      <c r="A798">
        <v>1216532</v>
      </c>
      <c r="B798" t="s">
        <v>457</v>
      </c>
      <c r="C798" t="s">
        <v>762</v>
      </c>
      <c r="D798" t="s">
        <v>609</v>
      </c>
      <c r="E798" t="s">
        <v>459</v>
      </c>
      <c r="F798">
        <v>0</v>
      </c>
      <c r="G798" t="s">
        <v>406</v>
      </c>
      <c r="H798" t="s">
        <v>692</v>
      </c>
      <c r="I798" t="s">
        <v>692</v>
      </c>
      <c r="J798" t="s">
        <v>23</v>
      </c>
      <c r="K798" t="s">
        <v>406</v>
      </c>
      <c r="L798" t="s">
        <v>24</v>
      </c>
      <c r="M798">
        <v>15</v>
      </c>
      <c r="N798" t="s">
        <v>25</v>
      </c>
      <c r="O798" t="s">
        <v>26</v>
      </c>
      <c r="P798" t="s">
        <v>552</v>
      </c>
      <c r="Q798" t="s">
        <v>183</v>
      </c>
    </row>
    <row r="799" spans="1:17" x14ac:dyDescent="0.3">
      <c r="A799">
        <v>1216533</v>
      </c>
      <c r="B799" t="s">
        <v>457</v>
      </c>
      <c r="C799" t="s">
        <v>763</v>
      </c>
      <c r="D799" t="s">
        <v>625</v>
      </c>
      <c r="E799" t="s">
        <v>459</v>
      </c>
      <c r="F799">
        <v>0</v>
      </c>
      <c r="G799" t="s">
        <v>34</v>
      </c>
      <c r="H799" t="s">
        <v>42</v>
      </c>
      <c r="I799" t="s">
        <v>34</v>
      </c>
      <c r="J799" t="s">
        <v>35</v>
      </c>
      <c r="K799" t="s">
        <v>42</v>
      </c>
      <c r="L799" t="s">
        <v>43</v>
      </c>
      <c r="M799">
        <v>7</v>
      </c>
      <c r="N799" t="s">
        <v>25</v>
      </c>
      <c r="O799" t="s">
        <v>26</v>
      </c>
      <c r="P799" t="s">
        <v>506</v>
      </c>
      <c r="Q799" t="s">
        <v>552</v>
      </c>
    </row>
    <row r="800" spans="1:17" x14ac:dyDescent="0.3">
      <c r="A800">
        <v>1216534</v>
      </c>
      <c r="B800" t="s">
        <v>733</v>
      </c>
      <c r="C800" t="s">
        <v>764</v>
      </c>
      <c r="D800" t="s">
        <v>462</v>
      </c>
      <c r="E800" t="s">
        <v>467</v>
      </c>
      <c r="F800">
        <v>0</v>
      </c>
      <c r="G800" t="s">
        <v>21</v>
      </c>
      <c r="H800" t="s">
        <v>406</v>
      </c>
      <c r="I800" t="s">
        <v>406</v>
      </c>
      <c r="J800" t="s">
        <v>23</v>
      </c>
      <c r="K800" t="s">
        <v>21</v>
      </c>
      <c r="L800" t="s">
        <v>24</v>
      </c>
      <c r="M800">
        <v>10</v>
      </c>
      <c r="N800" t="s">
        <v>25</v>
      </c>
      <c r="O800" t="s">
        <v>26</v>
      </c>
      <c r="P800" t="s">
        <v>576</v>
      </c>
      <c r="Q800" t="s">
        <v>554</v>
      </c>
    </row>
    <row r="801" spans="1:17" x14ac:dyDescent="0.3">
      <c r="A801">
        <v>1216535</v>
      </c>
      <c r="B801" t="s">
        <v>733</v>
      </c>
      <c r="C801" t="s">
        <v>742</v>
      </c>
      <c r="D801" t="s">
        <v>674</v>
      </c>
      <c r="E801" t="s">
        <v>467</v>
      </c>
      <c r="F801">
        <v>0</v>
      </c>
      <c r="G801" t="s">
        <v>692</v>
      </c>
      <c r="H801" t="s">
        <v>50</v>
      </c>
      <c r="I801" t="s">
        <v>50</v>
      </c>
      <c r="J801" t="s">
        <v>23</v>
      </c>
      <c r="K801" t="s">
        <v>50</v>
      </c>
      <c r="L801" t="s">
        <v>43</v>
      </c>
      <c r="M801">
        <v>9</v>
      </c>
      <c r="N801" t="s">
        <v>25</v>
      </c>
      <c r="O801" t="s">
        <v>26</v>
      </c>
      <c r="P801" t="s">
        <v>617</v>
      </c>
      <c r="Q801" t="s">
        <v>286</v>
      </c>
    </row>
    <row r="802" spans="1:17" x14ac:dyDescent="0.3">
      <c r="A802">
        <v>1216536</v>
      </c>
      <c r="B802" t="s">
        <v>733</v>
      </c>
      <c r="C802" t="s">
        <v>765</v>
      </c>
      <c r="D802" t="s">
        <v>746</v>
      </c>
      <c r="E802" t="s">
        <v>467</v>
      </c>
      <c r="F802">
        <v>0</v>
      </c>
      <c r="G802" t="s">
        <v>22</v>
      </c>
      <c r="H802" t="s">
        <v>34</v>
      </c>
      <c r="I802" t="s">
        <v>34</v>
      </c>
      <c r="J802" t="s">
        <v>23</v>
      </c>
      <c r="K802" t="s">
        <v>34</v>
      </c>
      <c r="L802" t="s">
        <v>43</v>
      </c>
      <c r="M802">
        <v>6</v>
      </c>
      <c r="N802" t="s">
        <v>25</v>
      </c>
      <c r="O802" t="s">
        <v>26</v>
      </c>
      <c r="P802" t="s">
        <v>387</v>
      </c>
      <c r="Q802" t="s">
        <v>460</v>
      </c>
    </row>
    <row r="803" spans="1:17" x14ac:dyDescent="0.3">
      <c r="A803">
        <v>1216537</v>
      </c>
      <c r="B803" t="s">
        <v>457</v>
      </c>
      <c r="C803" t="s">
        <v>766</v>
      </c>
      <c r="D803" t="s">
        <v>619</v>
      </c>
      <c r="E803" t="s">
        <v>459</v>
      </c>
      <c r="F803">
        <v>0</v>
      </c>
      <c r="G803" t="s">
        <v>33</v>
      </c>
      <c r="H803" t="s">
        <v>42</v>
      </c>
      <c r="I803" t="s">
        <v>42</v>
      </c>
      <c r="J803" t="s">
        <v>23</v>
      </c>
      <c r="K803" t="s">
        <v>42</v>
      </c>
      <c r="L803" t="s">
        <v>43</v>
      </c>
      <c r="M803">
        <v>7</v>
      </c>
      <c r="N803" t="s">
        <v>25</v>
      </c>
      <c r="O803" t="s">
        <v>26</v>
      </c>
      <c r="P803" t="s">
        <v>506</v>
      </c>
      <c r="Q803" t="s">
        <v>183</v>
      </c>
    </row>
    <row r="804" spans="1:17" x14ac:dyDescent="0.3">
      <c r="A804">
        <v>1216538</v>
      </c>
      <c r="B804" t="s">
        <v>736</v>
      </c>
      <c r="C804" s="1">
        <v>43931</v>
      </c>
      <c r="D804" t="s">
        <v>531</v>
      </c>
      <c r="E804" t="s">
        <v>463</v>
      </c>
      <c r="F804">
        <v>0</v>
      </c>
      <c r="G804" t="s">
        <v>50</v>
      </c>
      <c r="H804" t="s">
        <v>406</v>
      </c>
      <c r="I804" t="s">
        <v>50</v>
      </c>
      <c r="J804" t="s">
        <v>35</v>
      </c>
      <c r="K804" t="s">
        <v>50</v>
      </c>
      <c r="L804" t="s">
        <v>24</v>
      </c>
      <c r="M804">
        <v>34</v>
      </c>
      <c r="N804" t="s">
        <v>25</v>
      </c>
      <c r="O804" t="s">
        <v>26</v>
      </c>
      <c r="P804" t="s">
        <v>583</v>
      </c>
      <c r="Q804" t="s">
        <v>460</v>
      </c>
    </row>
    <row r="805" spans="1:17" x14ac:dyDescent="0.3">
      <c r="A805">
        <v>1216539</v>
      </c>
      <c r="B805" t="s">
        <v>733</v>
      </c>
      <c r="C805" t="s">
        <v>767</v>
      </c>
      <c r="D805" t="s">
        <v>699</v>
      </c>
      <c r="E805" t="s">
        <v>467</v>
      </c>
      <c r="F805">
        <v>0</v>
      </c>
      <c r="G805" t="s">
        <v>692</v>
      </c>
      <c r="H805" t="s">
        <v>34</v>
      </c>
      <c r="I805" t="s">
        <v>34</v>
      </c>
      <c r="J805" t="s">
        <v>23</v>
      </c>
      <c r="K805" t="s">
        <v>692</v>
      </c>
      <c r="L805" t="s">
        <v>24</v>
      </c>
      <c r="M805">
        <v>44</v>
      </c>
      <c r="N805" t="s">
        <v>25</v>
      </c>
      <c r="O805" t="s">
        <v>26</v>
      </c>
      <c r="P805" t="s">
        <v>583</v>
      </c>
      <c r="Q805" t="s">
        <v>460</v>
      </c>
    </row>
    <row r="806" spans="1:17" x14ac:dyDescent="0.3">
      <c r="A806">
        <v>1216540</v>
      </c>
      <c r="B806" t="s">
        <v>736</v>
      </c>
      <c r="C806" s="1">
        <v>44175</v>
      </c>
      <c r="D806" t="s">
        <v>157</v>
      </c>
      <c r="E806" t="s">
        <v>463</v>
      </c>
      <c r="F806">
        <v>0</v>
      </c>
      <c r="G806" t="s">
        <v>21</v>
      </c>
      <c r="H806" t="s">
        <v>22</v>
      </c>
      <c r="I806" t="s">
        <v>21</v>
      </c>
      <c r="J806" t="s">
        <v>35</v>
      </c>
      <c r="K806" t="s">
        <v>21</v>
      </c>
      <c r="L806" t="s">
        <v>24</v>
      </c>
      <c r="M806">
        <v>82</v>
      </c>
      <c r="N806" t="s">
        <v>25</v>
      </c>
      <c r="O806" t="s">
        <v>26</v>
      </c>
      <c r="P806" t="s">
        <v>460</v>
      </c>
      <c r="Q806" t="s">
        <v>509</v>
      </c>
    </row>
    <row r="807" spans="1:17" x14ac:dyDescent="0.3">
      <c r="A807">
        <v>1216541</v>
      </c>
      <c r="B807" t="s">
        <v>457</v>
      </c>
      <c r="C807" t="s">
        <v>768</v>
      </c>
      <c r="D807" t="s">
        <v>619</v>
      </c>
      <c r="E807" t="s">
        <v>459</v>
      </c>
      <c r="F807">
        <v>0</v>
      </c>
      <c r="G807" t="s">
        <v>50</v>
      </c>
      <c r="H807" t="s">
        <v>42</v>
      </c>
      <c r="I807" t="s">
        <v>50</v>
      </c>
      <c r="J807" t="s">
        <v>35</v>
      </c>
      <c r="K807" t="s">
        <v>42</v>
      </c>
      <c r="L807" t="s">
        <v>43</v>
      </c>
      <c r="M807">
        <v>8</v>
      </c>
      <c r="N807" t="s">
        <v>25</v>
      </c>
      <c r="O807" t="s">
        <v>26</v>
      </c>
      <c r="P807" t="s">
        <v>707</v>
      </c>
      <c r="Q807" t="s">
        <v>552</v>
      </c>
    </row>
    <row r="808" spans="1:17" x14ac:dyDescent="0.3">
      <c r="A808">
        <v>1216542</v>
      </c>
      <c r="B808" t="s">
        <v>733</v>
      </c>
      <c r="C808" s="1">
        <v>44053</v>
      </c>
      <c r="D808" t="s">
        <v>701</v>
      </c>
      <c r="E808" t="s">
        <v>467</v>
      </c>
      <c r="F808">
        <v>0</v>
      </c>
      <c r="G808" t="s">
        <v>406</v>
      </c>
      <c r="H808" t="s">
        <v>33</v>
      </c>
      <c r="I808" t="s">
        <v>406</v>
      </c>
      <c r="J808" t="s">
        <v>35</v>
      </c>
      <c r="K808" t="s">
        <v>406</v>
      </c>
      <c r="L808" t="s">
        <v>24</v>
      </c>
      <c r="M808">
        <v>69</v>
      </c>
      <c r="N808" t="s">
        <v>25</v>
      </c>
      <c r="O808" t="s">
        <v>26</v>
      </c>
      <c r="P808" t="s">
        <v>349</v>
      </c>
      <c r="Q808" t="s">
        <v>554</v>
      </c>
    </row>
    <row r="809" spans="1:17" x14ac:dyDescent="0.3">
      <c r="A809">
        <v>1216543</v>
      </c>
      <c r="B809" t="s">
        <v>733</v>
      </c>
      <c r="C809" t="s">
        <v>769</v>
      </c>
      <c r="D809" t="s">
        <v>745</v>
      </c>
      <c r="E809" t="s">
        <v>467</v>
      </c>
      <c r="F809">
        <v>0</v>
      </c>
      <c r="G809" t="s">
        <v>692</v>
      </c>
      <c r="H809" t="s">
        <v>42</v>
      </c>
      <c r="I809" t="s">
        <v>692</v>
      </c>
      <c r="J809" t="s">
        <v>35</v>
      </c>
      <c r="K809" t="s">
        <v>692</v>
      </c>
      <c r="L809" t="s">
        <v>24</v>
      </c>
      <c r="M809">
        <v>13</v>
      </c>
      <c r="N809" t="s">
        <v>25</v>
      </c>
      <c r="O809" t="s">
        <v>26</v>
      </c>
      <c r="P809" t="s">
        <v>349</v>
      </c>
      <c r="Q809" t="s">
        <v>554</v>
      </c>
    </row>
    <row r="810" spans="1:17" x14ac:dyDescent="0.3">
      <c r="A810">
        <v>1216544</v>
      </c>
      <c r="B810" t="s">
        <v>733</v>
      </c>
      <c r="C810" t="s">
        <v>768</v>
      </c>
      <c r="D810" t="s">
        <v>746</v>
      </c>
      <c r="E810" t="s">
        <v>467</v>
      </c>
      <c r="F810">
        <v>0</v>
      </c>
      <c r="G810" t="s">
        <v>21</v>
      </c>
      <c r="H810" t="s">
        <v>34</v>
      </c>
      <c r="I810" t="s">
        <v>21</v>
      </c>
      <c r="J810" t="s">
        <v>35</v>
      </c>
      <c r="K810" t="s">
        <v>34</v>
      </c>
      <c r="L810" t="s">
        <v>43</v>
      </c>
      <c r="M810">
        <v>8</v>
      </c>
      <c r="N810" t="s">
        <v>25</v>
      </c>
      <c r="O810" t="s">
        <v>26</v>
      </c>
      <c r="P810" t="s">
        <v>387</v>
      </c>
      <c r="Q810" t="s">
        <v>460</v>
      </c>
    </row>
    <row r="811" spans="1:17" x14ac:dyDescent="0.3">
      <c r="A811">
        <v>1216545</v>
      </c>
      <c r="B811" t="s">
        <v>457</v>
      </c>
      <c r="C811" t="s">
        <v>770</v>
      </c>
      <c r="D811" t="s">
        <v>730</v>
      </c>
      <c r="E811" t="s">
        <v>459</v>
      </c>
      <c r="F811">
        <v>0</v>
      </c>
      <c r="G811" t="s">
        <v>406</v>
      </c>
      <c r="H811" t="s">
        <v>22</v>
      </c>
      <c r="I811" t="s">
        <v>406</v>
      </c>
      <c r="J811" t="s">
        <v>35</v>
      </c>
      <c r="K811" t="s">
        <v>22</v>
      </c>
      <c r="L811" t="s">
        <v>43</v>
      </c>
      <c r="M811">
        <v>7</v>
      </c>
      <c r="N811" t="s">
        <v>25</v>
      </c>
      <c r="O811" t="s">
        <v>26</v>
      </c>
      <c r="P811" t="s">
        <v>506</v>
      </c>
      <c r="Q811" t="s">
        <v>552</v>
      </c>
    </row>
    <row r="812" spans="1:17" x14ac:dyDescent="0.3">
      <c r="A812">
        <v>1216546</v>
      </c>
      <c r="B812" t="s">
        <v>733</v>
      </c>
      <c r="C812" t="s">
        <v>771</v>
      </c>
      <c r="D812" t="s">
        <v>339</v>
      </c>
      <c r="E812" t="s">
        <v>467</v>
      </c>
      <c r="F812">
        <v>0</v>
      </c>
      <c r="G812" t="s">
        <v>692</v>
      </c>
      <c r="H812" t="s">
        <v>33</v>
      </c>
      <c r="I812" t="s">
        <v>692</v>
      </c>
      <c r="J812" t="s">
        <v>35</v>
      </c>
      <c r="K812" t="s">
        <v>33</v>
      </c>
      <c r="L812" t="s">
        <v>43</v>
      </c>
      <c r="M812">
        <v>5</v>
      </c>
      <c r="N812" t="s">
        <v>25</v>
      </c>
      <c r="O812" t="s">
        <v>26</v>
      </c>
      <c r="P812" t="s">
        <v>387</v>
      </c>
      <c r="Q812" t="s">
        <v>460</v>
      </c>
    </row>
    <row r="813" spans="1:17" x14ac:dyDescent="0.3">
      <c r="A813">
        <v>1216547</v>
      </c>
      <c r="B813" t="s">
        <v>733</v>
      </c>
      <c r="C813" t="s">
        <v>772</v>
      </c>
      <c r="D813" t="s">
        <v>157</v>
      </c>
      <c r="E813" t="s">
        <v>467</v>
      </c>
      <c r="F813">
        <v>0</v>
      </c>
      <c r="G813" t="s">
        <v>21</v>
      </c>
      <c r="H813" t="s">
        <v>50</v>
      </c>
      <c r="I813" t="s">
        <v>50</v>
      </c>
      <c r="J813" t="s">
        <v>23</v>
      </c>
      <c r="K813" t="s">
        <v>21</v>
      </c>
      <c r="L813" t="s">
        <v>158</v>
      </c>
      <c r="M813" t="s">
        <v>26</v>
      </c>
      <c r="N813" t="s">
        <v>159</v>
      </c>
      <c r="O813" t="s">
        <v>26</v>
      </c>
      <c r="P813" t="s">
        <v>554</v>
      </c>
      <c r="Q813" t="s">
        <v>286</v>
      </c>
    </row>
    <row r="814" spans="1:17" x14ac:dyDescent="0.3">
      <c r="A814">
        <v>1237177</v>
      </c>
      <c r="B814" t="s">
        <v>733</v>
      </c>
      <c r="C814" s="1">
        <v>43962</v>
      </c>
      <c r="D814" t="s">
        <v>612</v>
      </c>
      <c r="E814" t="s">
        <v>467</v>
      </c>
      <c r="F814">
        <v>0</v>
      </c>
      <c r="G814" t="s">
        <v>50</v>
      </c>
      <c r="H814" t="s">
        <v>692</v>
      </c>
      <c r="I814" t="s">
        <v>692</v>
      </c>
      <c r="J814" t="s">
        <v>23</v>
      </c>
      <c r="K814" t="s">
        <v>50</v>
      </c>
      <c r="L814" t="s">
        <v>24</v>
      </c>
      <c r="M814">
        <v>57</v>
      </c>
      <c r="N814" t="s">
        <v>25</v>
      </c>
      <c r="O814" t="s">
        <v>26</v>
      </c>
      <c r="P814" t="s">
        <v>506</v>
      </c>
      <c r="Q814" t="s">
        <v>554</v>
      </c>
    </row>
    <row r="815" spans="1:17" x14ac:dyDescent="0.3">
      <c r="A815">
        <v>1237178</v>
      </c>
      <c r="B815" t="s">
        <v>457</v>
      </c>
      <c r="C815" s="1">
        <v>43993</v>
      </c>
      <c r="D815" t="s">
        <v>623</v>
      </c>
      <c r="E815" t="s">
        <v>459</v>
      </c>
      <c r="F815">
        <v>0</v>
      </c>
      <c r="G815" t="s">
        <v>21</v>
      </c>
      <c r="H815" t="s">
        <v>406</v>
      </c>
      <c r="I815" t="s">
        <v>406</v>
      </c>
      <c r="J815" t="s">
        <v>23</v>
      </c>
      <c r="K815" t="s">
        <v>406</v>
      </c>
      <c r="L815" t="s">
        <v>43</v>
      </c>
      <c r="M815">
        <v>6</v>
      </c>
      <c r="N815" t="s">
        <v>25</v>
      </c>
      <c r="O815" t="s">
        <v>26</v>
      </c>
      <c r="P815" t="s">
        <v>286</v>
      </c>
      <c r="Q815" t="s">
        <v>183</v>
      </c>
    </row>
    <row r="816" spans="1:17" x14ac:dyDescent="0.3">
      <c r="A816">
        <v>1237180</v>
      </c>
      <c r="B816" t="s">
        <v>457</v>
      </c>
      <c r="C816" s="1">
        <v>44054</v>
      </c>
      <c r="D816" t="s">
        <v>585</v>
      </c>
      <c r="E816" t="s">
        <v>459</v>
      </c>
      <c r="F816">
        <v>0</v>
      </c>
      <c r="G816" t="s">
        <v>692</v>
      </c>
      <c r="H816" t="s">
        <v>406</v>
      </c>
      <c r="I816" t="s">
        <v>692</v>
      </c>
      <c r="J816" t="s">
        <v>35</v>
      </c>
      <c r="K816" t="s">
        <v>692</v>
      </c>
      <c r="L816" t="s">
        <v>24</v>
      </c>
      <c r="M816">
        <v>17</v>
      </c>
      <c r="N816" t="s">
        <v>25</v>
      </c>
      <c r="O816" t="s">
        <v>26</v>
      </c>
      <c r="P816" t="s">
        <v>286</v>
      </c>
      <c r="Q816" t="s">
        <v>183</v>
      </c>
    </row>
    <row r="817" spans="1:17" x14ac:dyDescent="0.3">
      <c r="A817">
        <v>1237181</v>
      </c>
      <c r="B817" t="s">
        <v>733</v>
      </c>
      <c r="C817" s="1">
        <v>44115</v>
      </c>
      <c r="D817" t="s">
        <v>531</v>
      </c>
      <c r="E817" t="s">
        <v>467</v>
      </c>
      <c r="F817">
        <v>0</v>
      </c>
      <c r="G817" t="s">
        <v>692</v>
      </c>
      <c r="H817" t="s">
        <v>50</v>
      </c>
      <c r="I817" t="s">
        <v>692</v>
      </c>
      <c r="J817" t="s">
        <v>35</v>
      </c>
      <c r="K817" t="s">
        <v>50</v>
      </c>
      <c r="L817" t="s">
        <v>43</v>
      </c>
      <c r="M817">
        <v>5</v>
      </c>
      <c r="N817" t="s">
        <v>25</v>
      </c>
      <c r="O817" t="s">
        <v>26</v>
      </c>
      <c r="P817" t="s">
        <v>506</v>
      </c>
      <c r="Q817" t="s">
        <v>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U800"/>
  <sheetViews>
    <sheetView topLeftCell="G1" workbookViewId="0">
      <selection activeCell="T7" sqref="T7"/>
    </sheetView>
  </sheetViews>
  <sheetFormatPr defaultRowHeight="14.4" x14ac:dyDescent="0.3"/>
  <cols>
    <col min="1" max="1" width="8" bestFit="1" customWidth="1"/>
    <col min="2" max="2" width="13.5546875" bestFit="1" customWidth="1"/>
    <col min="3" max="3" width="10.5546875" bestFit="1" customWidth="1"/>
    <col min="4" max="4" width="20" bestFit="1" customWidth="1"/>
    <col min="5" max="5" width="45.6640625" bestFit="1" customWidth="1"/>
    <col min="6" max="6" width="44.5546875" customWidth="1"/>
    <col min="7" max="8" width="24.33203125" bestFit="1" customWidth="1"/>
    <col min="9" max="9" width="14.33203125" bestFit="1" customWidth="1"/>
    <col min="10" max="10" width="24.33203125" bestFit="1" customWidth="1"/>
    <col min="11" max="11" width="8.33203125" bestFit="1" customWidth="1"/>
    <col min="12" max="12" width="14.6640625" bestFit="1" customWidth="1"/>
    <col min="13" max="13" width="11.6640625" bestFit="1" customWidth="1"/>
    <col min="14" max="14" width="12.6640625" bestFit="1" customWidth="1"/>
    <col min="15" max="15" width="22.44140625" bestFit="1" customWidth="1"/>
    <col min="16" max="16" width="16.33203125" bestFit="1" customWidth="1"/>
    <col min="17" max="17" width="6.88671875" bestFit="1" customWidth="1"/>
    <col min="18" max="18" width="11.109375" bestFit="1" customWidth="1"/>
    <col min="19" max="19" width="13.33203125" bestFit="1" customWidth="1"/>
    <col min="20" max="20" width="13.33203125" customWidth="1"/>
    <col min="21" max="21" width="16.33203125" bestFit="1" customWidth="1"/>
    <col min="22" max="22" width="22.44140625" bestFit="1" customWidth="1"/>
    <col min="23" max="23" width="16.33203125" bestFit="1" customWidth="1"/>
    <col min="24" max="24" width="10.5546875" customWidth="1"/>
    <col min="25" max="25" width="12.6640625" bestFit="1" customWidth="1"/>
    <col min="26" max="26" width="22.44140625" bestFit="1" customWidth="1"/>
    <col min="27" max="27" width="16.33203125" bestFit="1" customWidth="1"/>
    <col min="28" max="28" width="10.5546875" bestFit="1" customWidth="1"/>
  </cols>
  <sheetData>
    <row r="1" spans="1:21" x14ac:dyDescent="0.3">
      <c r="A1" t="s">
        <v>773</v>
      </c>
      <c r="B1" t="s">
        <v>774</v>
      </c>
      <c r="C1" t="s">
        <v>775</v>
      </c>
      <c r="D1" t="s">
        <v>776</v>
      </c>
      <c r="E1" t="s">
        <v>777</v>
      </c>
      <c r="F1" t="s">
        <v>778</v>
      </c>
      <c r="G1" t="s">
        <v>779</v>
      </c>
      <c r="H1" t="s">
        <v>780</v>
      </c>
      <c r="I1" t="s">
        <v>781</v>
      </c>
      <c r="J1" t="s">
        <v>782</v>
      </c>
      <c r="K1" t="s">
        <v>783</v>
      </c>
      <c r="L1" t="s">
        <v>784</v>
      </c>
      <c r="M1" t="s">
        <v>785</v>
      </c>
      <c r="N1" t="s">
        <v>786</v>
      </c>
      <c r="O1" t="s">
        <v>787</v>
      </c>
      <c r="P1" t="s">
        <v>788</v>
      </c>
      <c r="Q1" t="s">
        <v>789</v>
      </c>
      <c r="R1" t="s">
        <v>790</v>
      </c>
      <c r="S1" t="s">
        <v>791</v>
      </c>
      <c r="T1" t="s">
        <v>792</v>
      </c>
      <c r="U1" t="s">
        <v>793</v>
      </c>
    </row>
    <row r="2" spans="1:21" x14ac:dyDescent="0.3">
      <c r="A2" t="s">
        <v>794</v>
      </c>
      <c r="B2" t="s">
        <v>17</v>
      </c>
      <c r="C2">
        <f>YEAR(IPL_Matches_2008_2020___New[[#This Row],[Date ]])</f>
        <v>2008</v>
      </c>
      <c r="D2" s="1">
        <v>39556</v>
      </c>
      <c r="E2" t="s">
        <v>19</v>
      </c>
      <c r="F2" t="s">
        <v>795</v>
      </c>
      <c r="G2" t="s">
        <v>21</v>
      </c>
      <c r="H2" t="s">
        <v>22</v>
      </c>
      <c r="I2" t="s">
        <v>21</v>
      </c>
      <c r="J2" t="s">
        <v>23</v>
      </c>
      <c r="K2" t="s">
        <v>22</v>
      </c>
      <c r="L2" t="s">
        <v>24</v>
      </c>
      <c r="M2">
        <v>140</v>
      </c>
      <c r="N2" t="s">
        <v>25</v>
      </c>
      <c r="O2" t="s">
        <v>796</v>
      </c>
      <c r="P2" t="s">
        <v>27</v>
      </c>
      <c r="Q2" t="s">
        <v>28</v>
      </c>
      <c r="R2">
        <v>2008</v>
      </c>
      <c r="S2" t="s">
        <v>797</v>
      </c>
      <c r="T2">
        <f>IF(IPL_Matches_2008_2020___New[[#This Row],[Toss Winner]]=IPL_Matches_2008_2020___New[[#This Row],[Winner]],1,0)</f>
        <v>0</v>
      </c>
      <c r="U2" t="s">
        <v>798</v>
      </c>
    </row>
    <row r="3" spans="1:21" x14ac:dyDescent="0.3">
      <c r="A3" t="s">
        <v>799</v>
      </c>
      <c r="B3" t="s">
        <v>29</v>
      </c>
      <c r="C3">
        <f>YEAR(IPL_Matches_2008_2020___New[[#This Row],[Date ]])</f>
        <v>2008</v>
      </c>
      <c r="D3" s="1">
        <v>39557</v>
      </c>
      <c r="E3" t="s">
        <v>31</v>
      </c>
      <c r="F3" t="s">
        <v>32</v>
      </c>
      <c r="G3" t="s">
        <v>800</v>
      </c>
      <c r="H3" t="s">
        <v>34</v>
      </c>
      <c r="I3" t="s">
        <v>34</v>
      </c>
      <c r="J3" t="s">
        <v>35</v>
      </c>
      <c r="K3" t="s">
        <v>34</v>
      </c>
      <c r="L3" t="s">
        <v>24</v>
      </c>
      <c r="M3">
        <v>33</v>
      </c>
      <c r="N3" t="s">
        <v>25</v>
      </c>
      <c r="O3" t="s">
        <v>796</v>
      </c>
      <c r="P3" t="s">
        <v>36</v>
      </c>
      <c r="Q3" t="s">
        <v>37</v>
      </c>
      <c r="R3">
        <v>2008</v>
      </c>
      <c r="S3" t="s">
        <v>797</v>
      </c>
      <c r="T3">
        <f>IF(IPL_Matches_2008_2020___New[[#This Row],[Toss Winner]]=IPL_Matches_2008_2020___New[[#This Row],[Winner]],1,0)</f>
        <v>1</v>
      </c>
      <c r="U3" t="s">
        <v>801</v>
      </c>
    </row>
    <row r="4" spans="1:21" x14ac:dyDescent="0.3">
      <c r="A4" t="s">
        <v>802</v>
      </c>
      <c r="B4" t="s">
        <v>38</v>
      </c>
      <c r="C4">
        <f>YEAR(IPL_Matches_2008_2020___New[[#This Row],[Date ]])</f>
        <v>2008</v>
      </c>
      <c r="D4" s="1">
        <v>39557</v>
      </c>
      <c r="E4" t="s">
        <v>39</v>
      </c>
      <c r="F4" t="s">
        <v>40</v>
      </c>
      <c r="G4" t="s">
        <v>692</v>
      </c>
      <c r="H4" t="s">
        <v>42</v>
      </c>
      <c r="I4" t="s">
        <v>42</v>
      </c>
      <c r="J4" t="s">
        <v>35</v>
      </c>
      <c r="K4" t="s">
        <v>692</v>
      </c>
      <c r="L4" t="s">
        <v>43</v>
      </c>
      <c r="M4">
        <v>9</v>
      </c>
      <c r="N4" t="s">
        <v>25</v>
      </c>
      <c r="O4" t="s">
        <v>796</v>
      </c>
      <c r="P4" t="s">
        <v>44</v>
      </c>
      <c r="Q4" t="s">
        <v>45</v>
      </c>
      <c r="R4">
        <v>2008</v>
      </c>
      <c r="S4" t="s">
        <v>803</v>
      </c>
      <c r="T4">
        <f>IF(IPL_Matches_2008_2020___New[[#This Row],[Toss Winner]]=IPL_Matches_2008_2020___New[[#This Row],[Winner]],1,0)</f>
        <v>0</v>
      </c>
      <c r="U4" t="s">
        <v>798</v>
      </c>
    </row>
    <row r="5" spans="1:21" x14ac:dyDescent="0.3">
      <c r="A5" t="s">
        <v>804</v>
      </c>
      <c r="B5" t="s">
        <v>46</v>
      </c>
      <c r="C5">
        <f>YEAR(IPL_Matches_2008_2020___New[[#This Row],[Date ]])</f>
        <v>2008</v>
      </c>
      <c r="D5" s="1">
        <v>39558</v>
      </c>
      <c r="E5" t="s">
        <v>48</v>
      </c>
      <c r="F5" t="s">
        <v>49</v>
      </c>
      <c r="G5" t="s">
        <v>50</v>
      </c>
      <c r="H5" t="s">
        <v>21</v>
      </c>
      <c r="I5" t="s">
        <v>50</v>
      </c>
      <c r="J5" t="s">
        <v>35</v>
      </c>
      <c r="K5" t="s">
        <v>21</v>
      </c>
      <c r="L5" t="s">
        <v>43</v>
      </c>
      <c r="M5">
        <v>5</v>
      </c>
      <c r="N5" t="s">
        <v>25</v>
      </c>
      <c r="O5" t="s">
        <v>796</v>
      </c>
      <c r="P5" t="s">
        <v>51</v>
      </c>
      <c r="Q5" t="s">
        <v>52</v>
      </c>
      <c r="R5">
        <v>2008</v>
      </c>
      <c r="S5" t="s">
        <v>803</v>
      </c>
      <c r="T5">
        <f>IF(IPL_Matches_2008_2020___New[[#This Row],[Toss Winner]]=IPL_Matches_2008_2020___New[[#This Row],[Winner]],1,0)</f>
        <v>0</v>
      </c>
      <c r="U5" t="s">
        <v>798</v>
      </c>
    </row>
    <row r="6" spans="1:21" x14ac:dyDescent="0.3">
      <c r="A6" t="s">
        <v>805</v>
      </c>
      <c r="B6" t="s">
        <v>53</v>
      </c>
      <c r="C6">
        <f>YEAR(IPL_Matches_2008_2020___New[[#This Row],[Date ]])</f>
        <v>2008</v>
      </c>
      <c r="D6" s="1">
        <v>39558</v>
      </c>
      <c r="E6" t="s">
        <v>54</v>
      </c>
      <c r="F6" t="s">
        <v>55</v>
      </c>
      <c r="G6" t="s">
        <v>22</v>
      </c>
      <c r="H6" t="s">
        <v>56</v>
      </c>
      <c r="I6" t="s">
        <v>56</v>
      </c>
      <c r="J6" t="s">
        <v>35</v>
      </c>
      <c r="K6" t="s">
        <v>22</v>
      </c>
      <c r="L6" t="s">
        <v>43</v>
      </c>
      <c r="M6">
        <v>5</v>
      </c>
      <c r="N6" t="s">
        <v>25</v>
      </c>
      <c r="O6" t="s">
        <v>796</v>
      </c>
      <c r="P6" t="s">
        <v>57</v>
      </c>
      <c r="Q6" t="s">
        <v>58</v>
      </c>
      <c r="R6">
        <v>2008</v>
      </c>
      <c r="S6" t="s">
        <v>803</v>
      </c>
      <c r="T6">
        <f>IF(IPL_Matches_2008_2020___New[[#This Row],[Toss Winner]]=IPL_Matches_2008_2020___New[[#This Row],[Winner]],1,0)</f>
        <v>0</v>
      </c>
      <c r="U6" t="s">
        <v>798</v>
      </c>
    </row>
    <row r="7" spans="1:21" x14ac:dyDescent="0.3">
      <c r="A7" t="s">
        <v>806</v>
      </c>
      <c r="B7" t="s">
        <v>59</v>
      </c>
      <c r="C7">
        <f>YEAR(IPL_Matches_2008_2020___New[[#This Row],[Date ]])</f>
        <v>2008</v>
      </c>
      <c r="D7" s="1">
        <v>39559</v>
      </c>
      <c r="E7" t="s">
        <v>61</v>
      </c>
      <c r="F7" t="s">
        <v>62</v>
      </c>
      <c r="G7" t="s">
        <v>42</v>
      </c>
      <c r="H7" t="s">
        <v>800</v>
      </c>
      <c r="I7" t="s">
        <v>800</v>
      </c>
      <c r="J7" t="s">
        <v>35</v>
      </c>
      <c r="K7" t="s">
        <v>42</v>
      </c>
      <c r="L7" t="s">
        <v>43</v>
      </c>
      <c r="M7">
        <v>6</v>
      </c>
      <c r="N7" t="s">
        <v>25</v>
      </c>
      <c r="O7" t="s">
        <v>796</v>
      </c>
      <c r="P7" t="s">
        <v>44</v>
      </c>
      <c r="Q7" t="s">
        <v>63</v>
      </c>
      <c r="R7">
        <v>2008</v>
      </c>
      <c r="S7" t="s">
        <v>803</v>
      </c>
      <c r="T7">
        <f>IF(IPL_Matches_2008_2020___New[[#This Row],[Toss Winner]]=IPL_Matches_2008_2020___New[[#This Row],[Winner]],1,0)</f>
        <v>0</v>
      </c>
      <c r="U7" t="s">
        <v>798</v>
      </c>
    </row>
    <row r="8" spans="1:21" x14ac:dyDescent="0.3">
      <c r="A8" t="s">
        <v>807</v>
      </c>
      <c r="B8" t="s">
        <v>64</v>
      </c>
      <c r="C8">
        <f>YEAR(IPL_Matches_2008_2020___New[[#This Row],[Date ]])</f>
        <v>2008</v>
      </c>
      <c r="D8" s="1">
        <v>39560</v>
      </c>
      <c r="E8" t="s">
        <v>66</v>
      </c>
      <c r="F8" t="s">
        <v>67</v>
      </c>
      <c r="G8" t="s">
        <v>56</v>
      </c>
      <c r="H8" t="s">
        <v>692</v>
      </c>
      <c r="I8" t="s">
        <v>56</v>
      </c>
      <c r="J8" t="s">
        <v>35</v>
      </c>
      <c r="K8" t="s">
        <v>692</v>
      </c>
      <c r="L8" t="s">
        <v>43</v>
      </c>
      <c r="M8">
        <v>9</v>
      </c>
      <c r="N8" t="s">
        <v>25</v>
      </c>
      <c r="O8" t="s">
        <v>796</v>
      </c>
      <c r="P8" t="s">
        <v>68</v>
      </c>
      <c r="Q8" t="s">
        <v>69</v>
      </c>
      <c r="R8">
        <v>2008</v>
      </c>
      <c r="S8" t="s">
        <v>803</v>
      </c>
      <c r="T8">
        <f>IF(IPL_Matches_2008_2020___New[[#This Row],[Toss Winner]]=IPL_Matches_2008_2020___New[[#This Row],[Winner]],1,0)</f>
        <v>0</v>
      </c>
      <c r="U8" t="s">
        <v>798</v>
      </c>
    </row>
    <row r="9" spans="1:21" x14ac:dyDescent="0.3">
      <c r="A9" t="s">
        <v>808</v>
      </c>
      <c r="B9" t="s">
        <v>70</v>
      </c>
      <c r="C9">
        <f>YEAR(IPL_Matches_2008_2020___New[[#This Row],[Date ]])</f>
        <v>2008</v>
      </c>
      <c r="D9" s="1">
        <v>39561</v>
      </c>
      <c r="E9" t="s">
        <v>72</v>
      </c>
      <c r="F9" t="s">
        <v>73</v>
      </c>
      <c r="G9" t="s">
        <v>34</v>
      </c>
      <c r="H9" t="s">
        <v>50</v>
      </c>
      <c r="I9" t="s">
        <v>50</v>
      </c>
      <c r="J9" t="s">
        <v>23</v>
      </c>
      <c r="K9" t="s">
        <v>34</v>
      </c>
      <c r="L9" t="s">
        <v>24</v>
      </c>
      <c r="M9">
        <v>6</v>
      </c>
      <c r="N9" t="s">
        <v>25</v>
      </c>
      <c r="O9" t="s">
        <v>796</v>
      </c>
      <c r="P9" t="s">
        <v>52</v>
      </c>
      <c r="Q9" t="s">
        <v>45</v>
      </c>
      <c r="R9">
        <v>2008</v>
      </c>
      <c r="S9" t="s">
        <v>797</v>
      </c>
      <c r="T9">
        <f>IF(IPL_Matches_2008_2020___New[[#This Row],[Toss Winner]]=IPL_Matches_2008_2020___New[[#This Row],[Winner]],1,0)</f>
        <v>0</v>
      </c>
      <c r="U9" t="s">
        <v>798</v>
      </c>
    </row>
    <row r="10" spans="1:21" x14ac:dyDescent="0.3">
      <c r="A10" t="s">
        <v>809</v>
      </c>
      <c r="B10" t="s">
        <v>64</v>
      </c>
      <c r="C10">
        <f>YEAR(IPL_Matches_2008_2020___New[[#This Row],[Date ]])</f>
        <v>2008</v>
      </c>
      <c r="D10" s="1">
        <v>39562</v>
      </c>
      <c r="E10" t="s">
        <v>75</v>
      </c>
      <c r="F10" t="s">
        <v>67</v>
      </c>
      <c r="G10" t="s">
        <v>56</v>
      </c>
      <c r="H10" t="s">
        <v>42</v>
      </c>
      <c r="I10" t="s">
        <v>42</v>
      </c>
      <c r="J10" t="s">
        <v>23</v>
      </c>
      <c r="K10" t="s">
        <v>42</v>
      </c>
      <c r="L10" t="s">
        <v>43</v>
      </c>
      <c r="M10">
        <v>3</v>
      </c>
      <c r="N10" t="s">
        <v>25</v>
      </c>
      <c r="O10" t="s">
        <v>796</v>
      </c>
      <c r="P10" t="s">
        <v>27</v>
      </c>
      <c r="Q10" t="s">
        <v>36</v>
      </c>
      <c r="R10">
        <v>2008</v>
      </c>
      <c r="S10" t="s">
        <v>803</v>
      </c>
      <c r="T10">
        <f>IF(IPL_Matches_2008_2020___New[[#This Row],[Toss Winner]]=IPL_Matches_2008_2020___New[[#This Row],[Winner]],1,0)</f>
        <v>1</v>
      </c>
      <c r="U10" t="s">
        <v>801</v>
      </c>
    </row>
    <row r="11" spans="1:21" x14ac:dyDescent="0.3">
      <c r="A11" t="s">
        <v>810</v>
      </c>
      <c r="B11" t="s">
        <v>29</v>
      </c>
      <c r="C11">
        <f>YEAR(IPL_Matches_2008_2020___New[[#This Row],[Date ]])</f>
        <v>2008</v>
      </c>
      <c r="D11" s="1">
        <v>39563</v>
      </c>
      <c r="E11" t="s">
        <v>77</v>
      </c>
      <c r="F11" t="s">
        <v>32</v>
      </c>
      <c r="G11" t="s">
        <v>800</v>
      </c>
      <c r="H11" t="s">
        <v>50</v>
      </c>
      <c r="I11" t="s">
        <v>50</v>
      </c>
      <c r="J11" t="s">
        <v>23</v>
      </c>
      <c r="K11" t="s">
        <v>800</v>
      </c>
      <c r="L11" t="s">
        <v>24</v>
      </c>
      <c r="M11">
        <v>66</v>
      </c>
      <c r="N11" t="s">
        <v>25</v>
      </c>
      <c r="O11" t="s">
        <v>796</v>
      </c>
      <c r="P11" t="s">
        <v>44</v>
      </c>
      <c r="Q11" t="s">
        <v>69</v>
      </c>
      <c r="R11">
        <v>2008</v>
      </c>
      <c r="S11" t="s">
        <v>797</v>
      </c>
      <c r="T11">
        <f>IF(IPL_Matches_2008_2020___New[[#This Row],[Toss Winner]]=IPL_Matches_2008_2020___New[[#This Row],[Winner]],1,0)</f>
        <v>0</v>
      </c>
      <c r="U11" t="s">
        <v>798</v>
      </c>
    </row>
    <row r="12" spans="1:21" x14ac:dyDescent="0.3">
      <c r="A12" t="s">
        <v>811</v>
      </c>
      <c r="B12" t="s">
        <v>17</v>
      </c>
      <c r="C12">
        <f>YEAR(IPL_Matches_2008_2020___New[[#This Row],[Date ]])</f>
        <v>2008</v>
      </c>
      <c r="D12" s="1">
        <v>39564</v>
      </c>
      <c r="E12" t="s">
        <v>61</v>
      </c>
      <c r="F12" t="s">
        <v>795</v>
      </c>
      <c r="G12" t="s">
        <v>21</v>
      </c>
      <c r="H12" t="s">
        <v>42</v>
      </c>
      <c r="I12" t="s">
        <v>42</v>
      </c>
      <c r="J12" t="s">
        <v>23</v>
      </c>
      <c r="K12" t="s">
        <v>42</v>
      </c>
      <c r="L12" t="s">
        <v>43</v>
      </c>
      <c r="M12">
        <v>7</v>
      </c>
      <c r="N12" t="s">
        <v>25</v>
      </c>
      <c r="O12" t="s">
        <v>796</v>
      </c>
      <c r="P12" t="s">
        <v>36</v>
      </c>
      <c r="Q12" t="s">
        <v>68</v>
      </c>
      <c r="R12">
        <v>2008</v>
      </c>
      <c r="S12" t="s">
        <v>803</v>
      </c>
      <c r="T12">
        <f>IF(IPL_Matches_2008_2020___New[[#This Row],[Toss Winner]]=IPL_Matches_2008_2020___New[[#This Row],[Winner]],1,0)</f>
        <v>1</v>
      </c>
      <c r="U12" t="s">
        <v>801</v>
      </c>
    </row>
    <row r="13" spans="1:21" x14ac:dyDescent="0.3">
      <c r="A13" t="s">
        <v>812</v>
      </c>
      <c r="B13" t="s">
        <v>70</v>
      </c>
      <c r="C13">
        <f>YEAR(IPL_Matches_2008_2020___New[[#This Row],[Date ]])</f>
        <v>2008</v>
      </c>
      <c r="D13" s="1">
        <v>39564</v>
      </c>
      <c r="E13" t="s">
        <v>79</v>
      </c>
      <c r="F13" t="s">
        <v>73</v>
      </c>
      <c r="G13" t="s">
        <v>34</v>
      </c>
      <c r="H13" t="s">
        <v>22</v>
      </c>
      <c r="I13" t="s">
        <v>22</v>
      </c>
      <c r="J13" t="s">
        <v>35</v>
      </c>
      <c r="K13" t="s">
        <v>34</v>
      </c>
      <c r="L13" t="s">
        <v>43</v>
      </c>
      <c r="M13">
        <v>9</v>
      </c>
      <c r="N13" t="s">
        <v>25</v>
      </c>
      <c r="O13" t="s">
        <v>796</v>
      </c>
      <c r="P13" t="s">
        <v>57</v>
      </c>
      <c r="Q13" t="s">
        <v>80</v>
      </c>
      <c r="R13">
        <v>2008</v>
      </c>
      <c r="S13" t="s">
        <v>803</v>
      </c>
      <c r="T13">
        <f>IF(IPL_Matches_2008_2020___New[[#This Row],[Toss Winner]]=IPL_Matches_2008_2020___New[[#This Row],[Winner]],1,0)</f>
        <v>0</v>
      </c>
      <c r="U13" t="s">
        <v>798</v>
      </c>
    </row>
    <row r="14" spans="1:21" x14ac:dyDescent="0.3">
      <c r="A14" t="s">
        <v>813</v>
      </c>
      <c r="B14" t="s">
        <v>46</v>
      </c>
      <c r="C14">
        <f>YEAR(IPL_Matches_2008_2020___New[[#This Row],[Date ]])</f>
        <v>2008</v>
      </c>
      <c r="D14" s="1">
        <v>39565</v>
      </c>
      <c r="E14" t="s">
        <v>82</v>
      </c>
      <c r="F14" t="s">
        <v>83</v>
      </c>
      <c r="G14" t="s">
        <v>50</v>
      </c>
      <c r="H14" t="s">
        <v>56</v>
      </c>
      <c r="I14" t="s">
        <v>56</v>
      </c>
      <c r="J14" t="s">
        <v>23</v>
      </c>
      <c r="K14" t="s">
        <v>56</v>
      </c>
      <c r="L14" t="s">
        <v>43</v>
      </c>
      <c r="M14">
        <v>10</v>
      </c>
      <c r="N14" t="s">
        <v>25</v>
      </c>
      <c r="O14" t="s">
        <v>796</v>
      </c>
      <c r="P14" t="s">
        <v>27</v>
      </c>
      <c r="Q14" t="s">
        <v>37</v>
      </c>
      <c r="R14">
        <v>2008</v>
      </c>
      <c r="S14" t="s">
        <v>803</v>
      </c>
      <c r="T14">
        <f>IF(IPL_Matches_2008_2020___New[[#This Row],[Toss Winner]]=IPL_Matches_2008_2020___New[[#This Row],[Winner]],1,0)</f>
        <v>1</v>
      </c>
      <c r="U14" t="s">
        <v>801</v>
      </c>
    </row>
    <row r="15" spans="1:21" x14ac:dyDescent="0.3">
      <c r="A15" t="s">
        <v>814</v>
      </c>
      <c r="B15" t="s">
        <v>29</v>
      </c>
      <c r="C15">
        <f>YEAR(IPL_Matches_2008_2020___New[[#This Row],[Date ]])</f>
        <v>2008</v>
      </c>
      <c r="D15" s="1">
        <v>39565</v>
      </c>
      <c r="E15" t="s">
        <v>84</v>
      </c>
      <c r="F15" t="s">
        <v>32</v>
      </c>
      <c r="G15" t="s">
        <v>800</v>
      </c>
      <c r="H15" t="s">
        <v>692</v>
      </c>
      <c r="I15" t="s">
        <v>692</v>
      </c>
      <c r="J15" t="s">
        <v>35</v>
      </c>
      <c r="K15" t="s">
        <v>800</v>
      </c>
      <c r="L15" t="s">
        <v>43</v>
      </c>
      <c r="M15">
        <v>4</v>
      </c>
      <c r="N15" t="s">
        <v>25</v>
      </c>
      <c r="O15" t="s">
        <v>796</v>
      </c>
      <c r="P15" t="s">
        <v>28</v>
      </c>
      <c r="Q15" t="s">
        <v>85</v>
      </c>
      <c r="R15">
        <v>2008</v>
      </c>
      <c r="S15" t="s">
        <v>803</v>
      </c>
      <c r="T15">
        <f>IF(IPL_Matches_2008_2020___New[[#This Row],[Toss Winner]]=IPL_Matches_2008_2020___New[[#This Row],[Winner]],1,0)</f>
        <v>0</v>
      </c>
      <c r="U15" t="s">
        <v>798</v>
      </c>
    </row>
    <row r="16" spans="1:21" x14ac:dyDescent="0.3">
      <c r="A16" t="s">
        <v>815</v>
      </c>
      <c r="B16" t="s">
        <v>17</v>
      </c>
      <c r="C16">
        <f>YEAR(IPL_Matches_2008_2020___New[[#This Row],[Date ]])</f>
        <v>2008</v>
      </c>
      <c r="D16" s="1">
        <v>39566</v>
      </c>
      <c r="E16" t="s">
        <v>87</v>
      </c>
      <c r="F16" t="s">
        <v>795</v>
      </c>
      <c r="G16" t="s">
        <v>21</v>
      </c>
      <c r="H16" t="s">
        <v>34</v>
      </c>
      <c r="I16" t="s">
        <v>34</v>
      </c>
      <c r="J16" t="s">
        <v>35</v>
      </c>
      <c r="K16" t="s">
        <v>34</v>
      </c>
      <c r="L16" t="s">
        <v>24</v>
      </c>
      <c r="M16">
        <v>13</v>
      </c>
      <c r="N16" t="s">
        <v>25</v>
      </c>
      <c r="O16" t="s">
        <v>796</v>
      </c>
      <c r="P16" t="s">
        <v>88</v>
      </c>
      <c r="Q16" t="s">
        <v>63</v>
      </c>
      <c r="R16">
        <v>2008</v>
      </c>
      <c r="S16" t="s">
        <v>797</v>
      </c>
      <c r="T16">
        <f>IF(IPL_Matches_2008_2020___New[[#This Row],[Toss Winner]]=IPL_Matches_2008_2020___New[[#This Row],[Winner]],1,0)</f>
        <v>1</v>
      </c>
      <c r="U16" t="s">
        <v>801</v>
      </c>
    </row>
    <row r="17" spans="1:21" x14ac:dyDescent="0.3">
      <c r="A17" t="s">
        <v>816</v>
      </c>
      <c r="B17" t="s">
        <v>53</v>
      </c>
      <c r="C17">
        <f>YEAR(IPL_Matches_2008_2020___New[[#This Row],[Date ]])</f>
        <v>2008</v>
      </c>
      <c r="D17" s="1">
        <v>39567</v>
      </c>
      <c r="E17" t="s">
        <v>90</v>
      </c>
      <c r="F17" t="s">
        <v>55</v>
      </c>
      <c r="G17" t="s">
        <v>22</v>
      </c>
      <c r="H17" t="s">
        <v>50</v>
      </c>
      <c r="I17" t="s">
        <v>22</v>
      </c>
      <c r="J17" t="s">
        <v>35</v>
      </c>
      <c r="K17" t="s">
        <v>50</v>
      </c>
      <c r="L17" t="s">
        <v>43</v>
      </c>
      <c r="M17">
        <v>7</v>
      </c>
      <c r="N17" t="s">
        <v>25</v>
      </c>
      <c r="O17" t="s">
        <v>796</v>
      </c>
      <c r="P17" t="s">
        <v>57</v>
      </c>
      <c r="Q17" t="s">
        <v>80</v>
      </c>
      <c r="R17">
        <v>2008</v>
      </c>
      <c r="S17" t="s">
        <v>803</v>
      </c>
      <c r="T17">
        <f>IF(IPL_Matches_2008_2020___New[[#This Row],[Toss Winner]]=IPL_Matches_2008_2020___New[[#This Row],[Winner]],1,0)</f>
        <v>0</v>
      </c>
      <c r="U17" t="s">
        <v>798</v>
      </c>
    </row>
    <row r="18" spans="1:21" x14ac:dyDescent="0.3">
      <c r="A18" t="s">
        <v>817</v>
      </c>
      <c r="B18" t="s">
        <v>38</v>
      </c>
      <c r="C18">
        <f>YEAR(IPL_Matches_2008_2020___New[[#This Row],[Date ]])</f>
        <v>2008</v>
      </c>
      <c r="D18" s="1">
        <v>39568</v>
      </c>
      <c r="E18" t="s">
        <v>92</v>
      </c>
      <c r="F18" t="s">
        <v>40</v>
      </c>
      <c r="G18" t="s">
        <v>692</v>
      </c>
      <c r="H18" t="s">
        <v>21</v>
      </c>
      <c r="I18" t="s">
        <v>21</v>
      </c>
      <c r="J18" t="s">
        <v>23</v>
      </c>
      <c r="K18" t="s">
        <v>692</v>
      </c>
      <c r="L18" t="s">
        <v>24</v>
      </c>
      <c r="M18">
        <v>10</v>
      </c>
      <c r="N18" t="s">
        <v>25</v>
      </c>
      <c r="O18" t="s">
        <v>796</v>
      </c>
      <c r="P18" t="s">
        <v>44</v>
      </c>
      <c r="Q18" t="s">
        <v>85</v>
      </c>
      <c r="R18">
        <v>2008</v>
      </c>
      <c r="S18" t="s">
        <v>797</v>
      </c>
      <c r="T18">
        <f>IF(IPL_Matches_2008_2020___New[[#This Row],[Toss Winner]]=IPL_Matches_2008_2020___New[[#This Row],[Winner]],1,0)</f>
        <v>0</v>
      </c>
      <c r="U18" t="s">
        <v>798</v>
      </c>
    </row>
    <row r="19" spans="1:21" x14ac:dyDescent="0.3">
      <c r="A19" t="s">
        <v>818</v>
      </c>
      <c r="B19" t="s">
        <v>64</v>
      </c>
      <c r="C19">
        <f>YEAR(IPL_Matches_2008_2020___New[[#This Row],[Date ]])</f>
        <v>2008</v>
      </c>
      <c r="D19" s="1">
        <v>39569</v>
      </c>
      <c r="E19" t="s">
        <v>93</v>
      </c>
      <c r="F19" t="s">
        <v>67</v>
      </c>
      <c r="G19" t="s">
        <v>56</v>
      </c>
      <c r="H19" t="s">
        <v>800</v>
      </c>
      <c r="I19" t="s">
        <v>800</v>
      </c>
      <c r="J19" t="s">
        <v>23</v>
      </c>
      <c r="K19" t="s">
        <v>800</v>
      </c>
      <c r="L19" t="s">
        <v>43</v>
      </c>
      <c r="M19">
        <v>7</v>
      </c>
      <c r="N19" t="s">
        <v>25</v>
      </c>
      <c r="O19" t="s">
        <v>796</v>
      </c>
      <c r="P19" t="s">
        <v>88</v>
      </c>
      <c r="Q19" t="s">
        <v>63</v>
      </c>
      <c r="R19">
        <v>2008</v>
      </c>
      <c r="S19" t="s">
        <v>803</v>
      </c>
      <c r="T19">
        <f>IF(IPL_Matches_2008_2020___New[[#This Row],[Toss Winner]]=IPL_Matches_2008_2020___New[[#This Row],[Winner]],1,0)</f>
        <v>1</v>
      </c>
      <c r="U19" t="s">
        <v>801</v>
      </c>
    </row>
    <row r="20" spans="1:21" x14ac:dyDescent="0.3">
      <c r="A20" t="s">
        <v>819</v>
      </c>
      <c r="B20" t="s">
        <v>59</v>
      </c>
      <c r="C20">
        <f>YEAR(IPL_Matches_2008_2020___New[[#This Row],[Date ]])</f>
        <v>2008</v>
      </c>
      <c r="D20" s="1">
        <v>39569</v>
      </c>
      <c r="E20" t="s">
        <v>94</v>
      </c>
      <c r="F20" t="s">
        <v>62</v>
      </c>
      <c r="G20" t="s">
        <v>42</v>
      </c>
      <c r="H20" t="s">
        <v>22</v>
      </c>
      <c r="I20" t="s">
        <v>42</v>
      </c>
      <c r="J20" t="s">
        <v>35</v>
      </c>
      <c r="K20" t="s">
        <v>42</v>
      </c>
      <c r="L20" t="s">
        <v>24</v>
      </c>
      <c r="M20">
        <v>45</v>
      </c>
      <c r="N20" t="s">
        <v>25</v>
      </c>
      <c r="O20" t="s">
        <v>796</v>
      </c>
      <c r="P20" t="s">
        <v>28</v>
      </c>
      <c r="Q20" t="s">
        <v>45</v>
      </c>
      <c r="R20">
        <v>2008</v>
      </c>
      <c r="S20" t="s">
        <v>797</v>
      </c>
      <c r="T20">
        <f>IF(IPL_Matches_2008_2020___New[[#This Row],[Toss Winner]]=IPL_Matches_2008_2020___New[[#This Row],[Winner]],1,0)</f>
        <v>1</v>
      </c>
      <c r="U20" t="s">
        <v>801</v>
      </c>
    </row>
    <row r="21" spans="1:21" x14ac:dyDescent="0.3">
      <c r="A21" t="s">
        <v>820</v>
      </c>
      <c r="B21" t="s">
        <v>70</v>
      </c>
      <c r="C21">
        <f>YEAR(IPL_Matches_2008_2020___New[[#This Row],[Date ]])</f>
        <v>2008</v>
      </c>
      <c r="D21" s="1">
        <v>39570</v>
      </c>
      <c r="E21" t="s">
        <v>66</v>
      </c>
      <c r="F21" t="s">
        <v>73</v>
      </c>
      <c r="G21" t="s">
        <v>34</v>
      </c>
      <c r="H21" t="s">
        <v>692</v>
      </c>
      <c r="I21" t="s">
        <v>34</v>
      </c>
      <c r="J21" t="s">
        <v>35</v>
      </c>
      <c r="K21" t="s">
        <v>692</v>
      </c>
      <c r="L21" t="s">
        <v>43</v>
      </c>
      <c r="M21">
        <v>8</v>
      </c>
      <c r="N21" t="s">
        <v>25</v>
      </c>
      <c r="O21" t="s">
        <v>796</v>
      </c>
      <c r="P21" t="s">
        <v>57</v>
      </c>
      <c r="Q21" t="s">
        <v>58</v>
      </c>
      <c r="R21">
        <v>2008</v>
      </c>
      <c r="S21" t="s">
        <v>803</v>
      </c>
      <c r="T21">
        <f>IF(IPL_Matches_2008_2020___New[[#This Row],[Toss Winner]]=IPL_Matches_2008_2020___New[[#This Row],[Winner]],1,0)</f>
        <v>0</v>
      </c>
      <c r="U21" t="s">
        <v>798</v>
      </c>
    </row>
    <row r="22" spans="1:21" x14ac:dyDescent="0.3">
      <c r="A22" t="s">
        <v>821</v>
      </c>
      <c r="B22" t="s">
        <v>64</v>
      </c>
      <c r="C22">
        <f>YEAR(IPL_Matches_2008_2020___New[[#This Row],[Date ]])</f>
        <v>2008</v>
      </c>
      <c r="D22" s="1">
        <v>39593</v>
      </c>
      <c r="E22" t="s">
        <v>96</v>
      </c>
      <c r="F22" t="s">
        <v>67</v>
      </c>
      <c r="G22" t="s">
        <v>56</v>
      </c>
      <c r="H22" t="s">
        <v>21</v>
      </c>
      <c r="I22" t="s">
        <v>56</v>
      </c>
      <c r="J22" t="s">
        <v>35</v>
      </c>
      <c r="K22" t="s">
        <v>21</v>
      </c>
      <c r="L22" t="s">
        <v>43</v>
      </c>
      <c r="M22">
        <v>5</v>
      </c>
      <c r="N22" t="s">
        <v>25</v>
      </c>
      <c r="O22" t="s">
        <v>796</v>
      </c>
      <c r="P22" t="s">
        <v>27</v>
      </c>
      <c r="Q22" t="s">
        <v>28</v>
      </c>
      <c r="R22">
        <v>2008</v>
      </c>
      <c r="S22" t="s">
        <v>803</v>
      </c>
      <c r="T22">
        <f>IF(IPL_Matches_2008_2020___New[[#This Row],[Toss Winner]]=IPL_Matches_2008_2020___New[[#This Row],[Winner]],1,0)</f>
        <v>0</v>
      </c>
      <c r="U22" t="s">
        <v>798</v>
      </c>
    </row>
    <row r="23" spans="1:21" x14ac:dyDescent="0.3">
      <c r="A23" t="s">
        <v>822</v>
      </c>
      <c r="B23" t="s">
        <v>29</v>
      </c>
      <c r="C23">
        <f>YEAR(IPL_Matches_2008_2020___New[[#This Row],[Date ]])</f>
        <v>2008</v>
      </c>
      <c r="D23" s="1">
        <v>39571</v>
      </c>
      <c r="E23" t="s">
        <v>97</v>
      </c>
      <c r="F23" t="s">
        <v>32</v>
      </c>
      <c r="G23" t="s">
        <v>800</v>
      </c>
      <c r="H23" t="s">
        <v>22</v>
      </c>
      <c r="I23" t="s">
        <v>800</v>
      </c>
      <c r="J23" t="s">
        <v>35</v>
      </c>
      <c r="K23" t="s">
        <v>800</v>
      </c>
      <c r="L23" t="s">
        <v>24</v>
      </c>
      <c r="M23">
        <v>9</v>
      </c>
      <c r="N23" t="s">
        <v>25</v>
      </c>
      <c r="O23" t="s">
        <v>796</v>
      </c>
      <c r="P23" t="s">
        <v>52</v>
      </c>
      <c r="Q23" t="s">
        <v>85</v>
      </c>
      <c r="R23">
        <v>2008</v>
      </c>
      <c r="S23" t="s">
        <v>797</v>
      </c>
      <c r="T23">
        <f>IF(IPL_Matches_2008_2020___New[[#This Row],[Toss Winner]]=IPL_Matches_2008_2020___New[[#This Row],[Winner]],1,0)</f>
        <v>1</v>
      </c>
      <c r="U23" t="s">
        <v>801</v>
      </c>
    </row>
    <row r="24" spans="1:21" x14ac:dyDescent="0.3">
      <c r="A24" t="s">
        <v>823</v>
      </c>
      <c r="B24" t="s">
        <v>46</v>
      </c>
      <c r="C24">
        <f>YEAR(IPL_Matches_2008_2020___New[[#This Row],[Date ]])</f>
        <v>2008</v>
      </c>
      <c r="D24" s="1">
        <v>39572</v>
      </c>
      <c r="E24" t="s">
        <v>98</v>
      </c>
      <c r="F24" t="s">
        <v>83</v>
      </c>
      <c r="G24" t="s">
        <v>50</v>
      </c>
      <c r="H24" t="s">
        <v>692</v>
      </c>
      <c r="I24" t="s">
        <v>692</v>
      </c>
      <c r="J24" t="s">
        <v>23</v>
      </c>
      <c r="K24" t="s">
        <v>50</v>
      </c>
      <c r="L24" t="s">
        <v>24</v>
      </c>
      <c r="M24">
        <v>29</v>
      </c>
      <c r="N24" t="s">
        <v>25</v>
      </c>
      <c r="O24" t="s">
        <v>796</v>
      </c>
      <c r="P24" t="s">
        <v>68</v>
      </c>
      <c r="Q24" t="s">
        <v>28</v>
      </c>
      <c r="R24">
        <v>2008</v>
      </c>
      <c r="S24" t="s">
        <v>797</v>
      </c>
      <c r="T24">
        <f>IF(IPL_Matches_2008_2020___New[[#This Row],[Toss Winner]]=IPL_Matches_2008_2020___New[[#This Row],[Winner]],1,0)</f>
        <v>0</v>
      </c>
      <c r="U24" t="s">
        <v>798</v>
      </c>
    </row>
    <row r="25" spans="1:21" x14ac:dyDescent="0.3">
      <c r="A25" t="s">
        <v>824</v>
      </c>
      <c r="B25" t="s">
        <v>59</v>
      </c>
      <c r="C25">
        <f>YEAR(IPL_Matches_2008_2020___New[[#This Row],[Date ]])</f>
        <v>2008</v>
      </c>
      <c r="D25" s="1">
        <v>39572</v>
      </c>
      <c r="E25" t="s">
        <v>99</v>
      </c>
      <c r="F25" t="s">
        <v>62</v>
      </c>
      <c r="G25" t="s">
        <v>42</v>
      </c>
      <c r="H25" t="s">
        <v>34</v>
      </c>
      <c r="I25" t="s">
        <v>34</v>
      </c>
      <c r="J25" t="s">
        <v>35</v>
      </c>
      <c r="K25" t="s">
        <v>42</v>
      </c>
      <c r="L25" t="s">
        <v>43</v>
      </c>
      <c r="M25">
        <v>8</v>
      </c>
      <c r="N25" t="s">
        <v>25</v>
      </c>
      <c r="O25" t="s">
        <v>796</v>
      </c>
      <c r="P25" t="s">
        <v>27</v>
      </c>
      <c r="Q25" t="s">
        <v>80</v>
      </c>
      <c r="R25">
        <v>2008</v>
      </c>
      <c r="S25" t="s">
        <v>803</v>
      </c>
      <c r="T25">
        <f>IF(IPL_Matches_2008_2020___New[[#This Row],[Toss Winner]]=IPL_Matches_2008_2020___New[[#This Row],[Winner]],1,0)</f>
        <v>0</v>
      </c>
      <c r="U25" t="s">
        <v>798</v>
      </c>
    </row>
    <row r="26" spans="1:21" x14ac:dyDescent="0.3">
      <c r="A26" t="s">
        <v>825</v>
      </c>
      <c r="B26" t="s">
        <v>17</v>
      </c>
      <c r="C26">
        <f>YEAR(IPL_Matches_2008_2020___New[[#This Row],[Date ]])</f>
        <v>2008</v>
      </c>
      <c r="D26" s="1">
        <v>39573</v>
      </c>
      <c r="E26" t="s">
        <v>100</v>
      </c>
      <c r="F26" t="s">
        <v>795</v>
      </c>
      <c r="G26" t="s">
        <v>21</v>
      </c>
      <c r="H26" t="s">
        <v>800</v>
      </c>
      <c r="I26" t="s">
        <v>800</v>
      </c>
      <c r="J26" t="s">
        <v>23</v>
      </c>
      <c r="K26" t="s">
        <v>800</v>
      </c>
      <c r="L26" t="s">
        <v>43</v>
      </c>
      <c r="M26">
        <v>6</v>
      </c>
      <c r="N26" t="s">
        <v>25</v>
      </c>
      <c r="O26" t="s">
        <v>796</v>
      </c>
      <c r="P26" t="s">
        <v>51</v>
      </c>
      <c r="Q26" t="s">
        <v>88</v>
      </c>
      <c r="R26">
        <v>2008</v>
      </c>
      <c r="S26" t="s">
        <v>803</v>
      </c>
      <c r="T26">
        <f>IF(IPL_Matches_2008_2020___New[[#This Row],[Toss Winner]]=IPL_Matches_2008_2020___New[[#This Row],[Winner]],1,0)</f>
        <v>1</v>
      </c>
      <c r="U26" t="s">
        <v>801</v>
      </c>
    </row>
    <row r="27" spans="1:21" x14ac:dyDescent="0.3">
      <c r="A27" t="s">
        <v>826</v>
      </c>
      <c r="B27" t="s">
        <v>70</v>
      </c>
      <c r="C27">
        <f>YEAR(IPL_Matches_2008_2020___New[[#This Row],[Date ]])</f>
        <v>2008</v>
      </c>
      <c r="D27" s="1">
        <v>39574</v>
      </c>
      <c r="E27" t="s">
        <v>82</v>
      </c>
      <c r="F27" t="s">
        <v>73</v>
      </c>
      <c r="G27" t="s">
        <v>34</v>
      </c>
      <c r="H27" t="s">
        <v>56</v>
      </c>
      <c r="I27" t="s">
        <v>56</v>
      </c>
      <c r="J27" t="s">
        <v>23</v>
      </c>
      <c r="K27" t="s">
        <v>56</v>
      </c>
      <c r="L27" t="s">
        <v>43</v>
      </c>
      <c r="M27">
        <v>7</v>
      </c>
      <c r="N27" t="s">
        <v>25</v>
      </c>
      <c r="O27" t="s">
        <v>796</v>
      </c>
      <c r="P27" t="s">
        <v>36</v>
      </c>
      <c r="Q27" t="s">
        <v>63</v>
      </c>
      <c r="R27">
        <v>2008</v>
      </c>
      <c r="S27" t="s">
        <v>803</v>
      </c>
      <c r="T27">
        <f>IF(IPL_Matches_2008_2020___New[[#This Row],[Toss Winner]]=IPL_Matches_2008_2020___New[[#This Row],[Winner]],1,0)</f>
        <v>1</v>
      </c>
      <c r="U27" t="s">
        <v>801</v>
      </c>
    </row>
    <row r="28" spans="1:21" x14ac:dyDescent="0.3">
      <c r="A28" t="s">
        <v>827</v>
      </c>
      <c r="B28" t="s">
        <v>46</v>
      </c>
      <c r="C28">
        <f>YEAR(IPL_Matches_2008_2020___New[[#This Row],[Date ]])</f>
        <v>2008</v>
      </c>
      <c r="D28" s="1">
        <v>39575</v>
      </c>
      <c r="E28" t="s">
        <v>101</v>
      </c>
      <c r="F28" t="s">
        <v>83</v>
      </c>
      <c r="G28" t="s">
        <v>50</v>
      </c>
      <c r="H28" t="s">
        <v>42</v>
      </c>
      <c r="I28" t="s">
        <v>50</v>
      </c>
      <c r="J28" t="s">
        <v>23</v>
      </c>
      <c r="K28" t="s">
        <v>50</v>
      </c>
      <c r="L28" t="s">
        <v>43</v>
      </c>
      <c r="M28">
        <v>7</v>
      </c>
      <c r="N28" t="s">
        <v>25</v>
      </c>
      <c r="O28" t="s">
        <v>796</v>
      </c>
      <c r="P28" t="s">
        <v>52</v>
      </c>
      <c r="Q28" t="s">
        <v>28</v>
      </c>
      <c r="R28">
        <v>2008</v>
      </c>
      <c r="S28" t="s">
        <v>803</v>
      </c>
      <c r="T28">
        <f>IF(IPL_Matches_2008_2020___New[[#This Row],[Toss Winner]]=IPL_Matches_2008_2020___New[[#This Row],[Winner]],1,0)</f>
        <v>1</v>
      </c>
      <c r="U28" t="s">
        <v>801</v>
      </c>
    </row>
    <row r="29" spans="1:21" x14ac:dyDescent="0.3">
      <c r="A29" t="s">
        <v>828</v>
      </c>
      <c r="B29" t="s">
        <v>38</v>
      </c>
      <c r="C29">
        <f>YEAR(IPL_Matches_2008_2020___New[[#This Row],[Date ]])</f>
        <v>2008</v>
      </c>
      <c r="D29" s="1">
        <v>39576</v>
      </c>
      <c r="E29" t="s">
        <v>87</v>
      </c>
      <c r="F29" t="s">
        <v>40</v>
      </c>
      <c r="G29" t="s">
        <v>692</v>
      </c>
      <c r="H29" t="s">
        <v>34</v>
      </c>
      <c r="I29" t="s">
        <v>34</v>
      </c>
      <c r="J29" t="s">
        <v>23</v>
      </c>
      <c r="K29" t="s">
        <v>34</v>
      </c>
      <c r="L29" t="s">
        <v>43</v>
      </c>
      <c r="M29">
        <v>4</v>
      </c>
      <c r="N29" t="s">
        <v>25</v>
      </c>
      <c r="O29" t="s">
        <v>796</v>
      </c>
      <c r="P29" t="s">
        <v>44</v>
      </c>
      <c r="Q29" t="s">
        <v>63</v>
      </c>
      <c r="R29">
        <v>2008</v>
      </c>
      <c r="S29" t="s">
        <v>803</v>
      </c>
      <c r="T29">
        <f>IF(IPL_Matches_2008_2020___New[[#This Row],[Toss Winner]]=IPL_Matches_2008_2020___New[[#This Row],[Winner]],1,0)</f>
        <v>1</v>
      </c>
      <c r="U29" t="s">
        <v>801</v>
      </c>
    </row>
    <row r="30" spans="1:21" x14ac:dyDescent="0.3">
      <c r="A30" t="s">
        <v>829</v>
      </c>
      <c r="B30" t="s">
        <v>53</v>
      </c>
      <c r="C30">
        <f>YEAR(IPL_Matches_2008_2020___New[[#This Row],[Date ]])</f>
        <v>2008</v>
      </c>
      <c r="D30" s="1">
        <v>39576</v>
      </c>
      <c r="E30" t="s">
        <v>102</v>
      </c>
      <c r="F30" t="s">
        <v>55</v>
      </c>
      <c r="G30" t="s">
        <v>22</v>
      </c>
      <c r="H30" t="s">
        <v>21</v>
      </c>
      <c r="I30" t="s">
        <v>22</v>
      </c>
      <c r="J30" t="s">
        <v>35</v>
      </c>
      <c r="K30" t="s">
        <v>22</v>
      </c>
      <c r="L30" t="s">
        <v>24</v>
      </c>
      <c r="M30">
        <v>5</v>
      </c>
      <c r="N30" t="s">
        <v>25</v>
      </c>
      <c r="O30" t="s">
        <v>796</v>
      </c>
      <c r="P30" t="s">
        <v>27</v>
      </c>
      <c r="Q30" t="s">
        <v>68</v>
      </c>
      <c r="R30">
        <v>2008</v>
      </c>
      <c r="S30" t="s">
        <v>797</v>
      </c>
      <c r="T30">
        <f>IF(IPL_Matches_2008_2020___New[[#This Row],[Toss Winner]]=IPL_Matches_2008_2020___New[[#This Row],[Winner]],1,0)</f>
        <v>1</v>
      </c>
      <c r="U30" t="s">
        <v>801</v>
      </c>
    </row>
    <row r="31" spans="1:21" x14ac:dyDescent="0.3">
      <c r="A31" t="s">
        <v>830</v>
      </c>
      <c r="B31" t="s">
        <v>59</v>
      </c>
      <c r="C31">
        <f>YEAR(IPL_Matches_2008_2020___New[[#This Row],[Date ]])</f>
        <v>2008</v>
      </c>
      <c r="D31" s="1">
        <v>39577</v>
      </c>
      <c r="E31" t="s">
        <v>75</v>
      </c>
      <c r="F31" t="s">
        <v>62</v>
      </c>
      <c r="G31" t="s">
        <v>42</v>
      </c>
      <c r="H31" t="s">
        <v>56</v>
      </c>
      <c r="I31" t="s">
        <v>42</v>
      </c>
      <c r="J31" t="s">
        <v>23</v>
      </c>
      <c r="K31" t="s">
        <v>42</v>
      </c>
      <c r="L31" t="s">
        <v>43</v>
      </c>
      <c r="M31">
        <v>8</v>
      </c>
      <c r="N31" t="s">
        <v>25</v>
      </c>
      <c r="O31" t="s">
        <v>796</v>
      </c>
      <c r="P31" t="s">
        <v>36</v>
      </c>
      <c r="Q31" t="s">
        <v>69</v>
      </c>
      <c r="R31">
        <v>2008</v>
      </c>
      <c r="S31" t="s">
        <v>803</v>
      </c>
      <c r="T31">
        <f>IF(IPL_Matches_2008_2020___New[[#This Row],[Toss Winner]]=IPL_Matches_2008_2020___New[[#This Row],[Winner]],1,0)</f>
        <v>1</v>
      </c>
      <c r="U31" t="s">
        <v>801</v>
      </c>
    </row>
    <row r="32" spans="1:21" x14ac:dyDescent="0.3">
      <c r="A32" t="s">
        <v>831</v>
      </c>
      <c r="B32" t="s">
        <v>17</v>
      </c>
      <c r="C32">
        <f>YEAR(IPL_Matches_2008_2020___New[[#This Row],[Date ]])</f>
        <v>2008</v>
      </c>
      <c r="D32" s="1">
        <v>39596</v>
      </c>
      <c r="E32" t="s">
        <v>104</v>
      </c>
      <c r="F32" t="s">
        <v>795</v>
      </c>
      <c r="G32" t="s">
        <v>21</v>
      </c>
      <c r="H32" t="s">
        <v>50</v>
      </c>
      <c r="I32" t="s">
        <v>50</v>
      </c>
      <c r="J32" t="s">
        <v>23</v>
      </c>
      <c r="K32" t="s">
        <v>50</v>
      </c>
      <c r="L32" t="s">
        <v>43</v>
      </c>
      <c r="M32">
        <v>9</v>
      </c>
      <c r="N32" t="s">
        <v>25</v>
      </c>
      <c r="O32" t="s">
        <v>796</v>
      </c>
      <c r="P32" t="s">
        <v>57</v>
      </c>
      <c r="Q32" t="s">
        <v>80</v>
      </c>
      <c r="R32">
        <v>2008</v>
      </c>
      <c r="S32" t="s">
        <v>803</v>
      </c>
      <c r="T32">
        <f>IF(IPL_Matches_2008_2020___New[[#This Row],[Toss Winner]]=IPL_Matches_2008_2020___New[[#This Row],[Winner]],1,0)</f>
        <v>1</v>
      </c>
      <c r="U32" t="s">
        <v>801</v>
      </c>
    </row>
    <row r="33" spans="1:21" x14ac:dyDescent="0.3">
      <c r="A33" t="s">
        <v>832</v>
      </c>
      <c r="B33" t="s">
        <v>70</v>
      </c>
      <c r="C33">
        <f>YEAR(IPL_Matches_2008_2020___New[[#This Row],[Date ]])</f>
        <v>2008</v>
      </c>
      <c r="D33" s="1">
        <v>39578</v>
      </c>
      <c r="E33" t="s">
        <v>105</v>
      </c>
      <c r="F33" t="s">
        <v>73</v>
      </c>
      <c r="G33" t="s">
        <v>34</v>
      </c>
      <c r="H33" t="s">
        <v>800</v>
      </c>
      <c r="I33" t="s">
        <v>800</v>
      </c>
      <c r="J33" t="s">
        <v>23</v>
      </c>
      <c r="K33" t="s">
        <v>34</v>
      </c>
      <c r="L33" t="s">
        <v>24</v>
      </c>
      <c r="M33">
        <v>18</v>
      </c>
      <c r="N33" t="s">
        <v>25</v>
      </c>
      <c r="O33" t="s">
        <v>796</v>
      </c>
      <c r="P33" t="s">
        <v>80</v>
      </c>
      <c r="Q33" t="s">
        <v>106</v>
      </c>
      <c r="R33">
        <v>2008</v>
      </c>
      <c r="S33" t="s">
        <v>797</v>
      </c>
      <c r="T33">
        <f>IF(IPL_Matches_2008_2020___New[[#This Row],[Toss Winner]]=IPL_Matches_2008_2020___New[[#This Row],[Winner]],1,0)</f>
        <v>0</v>
      </c>
      <c r="U33" t="s">
        <v>798</v>
      </c>
    </row>
    <row r="34" spans="1:21" x14ac:dyDescent="0.3">
      <c r="A34" t="s">
        <v>833</v>
      </c>
      <c r="B34" t="s">
        <v>64</v>
      </c>
      <c r="C34">
        <f>YEAR(IPL_Matches_2008_2020___New[[#This Row],[Date ]])</f>
        <v>2008</v>
      </c>
      <c r="D34" s="1">
        <v>39579</v>
      </c>
      <c r="E34" t="s">
        <v>102</v>
      </c>
      <c r="F34" t="s">
        <v>67</v>
      </c>
      <c r="G34" t="s">
        <v>56</v>
      </c>
      <c r="H34" t="s">
        <v>22</v>
      </c>
      <c r="I34" t="s">
        <v>22</v>
      </c>
      <c r="J34" t="s">
        <v>35</v>
      </c>
      <c r="K34" t="s">
        <v>22</v>
      </c>
      <c r="L34" t="s">
        <v>24</v>
      </c>
      <c r="M34">
        <v>23</v>
      </c>
      <c r="N34" t="s">
        <v>25</v>
      </c>
      <c r="O34" t="s">
        <v>796</v>
      </c>
      <c r="P34" t="s">
        <v>68</v>
      </c>
      <c r="Q34" t="s">
        <v>69</v>
      </c>
      <c r="R34">
        <v>2008</v>
      </c>
      <c r="S34" t="s">
        <v>797</v>
      </c>
      <c r="T34">
        <f>IF(IPL_Matches_2008_2020___New[[#This Row],[Toss Winner]]=IPL_Matches_2008_2020___New[[#This Row],[Winner]],1,0)</f>
        <v>1</v>
      </c>
      <c r="U34" t="s">
        <v>801</v>
      </c>
    </row>
    <row r="35" spans="1:21" x14ac:dyDescent="0.3">
      <c r="A35" t="s">
        <v>834</v>
      </c>
      <c r="B35" t="s">
        <v>59</v>
      </c>
      <c r="C35">
        <f>YEAR(IPL_Matches_2008_2020___New[[#This Row],[Date ]])</f>
        <v>2008</v>
      </c>
      <c r="D35" s="1">
        <v>39579</v>
      </c>
      <c r="E35" t="s">
        <v>61</v>
      </c>
      <c r="F35" t="s">
        <v>62</v>
      </c>
      <c r="G35" t="s">
        <v>42</v>
      </c>
      <c r="H35" t="s">
        <v>692</v>
      </c>
      <c r="I35" t="s">
        <v>42</v>
      </c>
      <c r="J35" t="s">
        <v>23</v>
      </c>
      <c r="K35" t="s">
        <v>42</v>
      </c>
      <c r="L35" t="s">
        <v>43</v>
      </c>
      <c r="M35">
        <v>3</v>
      </c>
      <c r="N35" t="s">
        <v>25</v>
      </c>
      <c r="O35" t="s">
        <v>796</v>
      </c>
      <c r="P35" t="s">
        <v>51</v>
      </c>
      <c r="Q35" t="s">
        <v>28</v>
      </c>
      <c r="R35">
        <v>2008</v>
      </c>
      <c r="S35" t="s">
        <v>803</v>
      </c>
      <c r="T35">
        <f>IF(IPL_Matches_2008_2020___New[[#This Row],[Toss Winner]]=IPL_Matches_2008_2020___New[[#This Row],[Winner]],1,0)</f>
        <v>1</v>
      </c>
      <c r="U35" t="s">
        <v>801</v>
      </c>
    </row>
    <row r="36" spans="1:21" x14ac:dyDescent="0.3">
      <c r="A36" t="s">
        <v>835</v>
      </c>
      <c r="B36" t="s">
        <v>29</v>
      </c>
      <c r="C36">
        <f>YEAR(IPL_Matches_2008_2020___New[[#This Row],[Date ]])</f>
        <v>2008</v>
      </c>
      <c r="D36" s="1">
        <v>39580</v>
      </c>
      <c r="E36" t="s">
        <v>93</v>
      </c>
      <c r="F36" t="s">
        <v>32</v>
      </c>
      <c r="G36" t="s">
        <v>800</v>
      </c>
      <c r="H36" t="s">
        <v>21</v>
      </c>
      <c r="I36" t="s">
        <v>21</v>
      </c>
      <c r="J36" t="s">
        <v>35</v>
      </c>
      <c r="K36" t="s">
        <v>800</v>
      </c>
      <c r="L36" t="s">
        <v>43</v>
      </c>
      <c r="M36">
        <v>9</v>
      </c>
      <c r="N36" t="s">
        <v>25</v>
      </c>
      <c r="O36" t="s">
        <v>796</v>
      </c>
      <c r="P36" t="s">
        <v>88</v>
      </c>
      <c r="Q36" t="s">
        <v>85</v>
      </c>
      <c r="R36">
        <v>2008</v>
      </c>
      <c r="S36" t="s">
        <v>803</v>
      </c>
      <c r="T36">
        <f>IF(IPL_Matches_2008_2020___New[[#This Row],[Toss Winner]]=IPL_Matches_2008_2020___New[[#This Row],[Winner]],1,0)</f>
        <v>0</v>
      </c>
      <c r="U36" t="s">
        <v>798</v>
      </c>
    </row>
    <row r="37" spans="1:21" x14ac:dyDescent="0.3">
      <c r="A37" t="s">
        <v>836</v>
      </c>
      <c r="B37" t="s">
        <v>53</v>
      </c>
      <c r="C37">
        <f>YEAR(IPL_Matches_2008_2020___New[[#This Row],[Date ]])</f>
        <v>2008</v>
      </c>
      <c r="D37" s="1">
        <v>39581</v>
      </c>
      <c r="E37" t="s">
        <v>108</v>
      </c>
      <c r="F37" t="s">
        <v>55</v>
      </c>
      <c r="G37" t="s">
        <v>22</v>
      </c>
      <c r="H37" t="s">
        <v>692</v>
      </c>
      <c r="I37" t="s">
        <v>22</v>
      </c>
      <c r="J37" t="s">
        <v>35</v>
      </c>
      <c r="K37" t="s">
        <v>22</v>
      </c>
      <c r="L37" t="s">
        <v>24</v>
      </c>
      <c r="M37">
        <v>23</v>
      </c>
      <c r="N37" t="s">
        <v>25</v>
      </c>
      <c r="O37" t="s">
        <v>796</v>
      </c>
      <c r="P37" t="s">
        <v>27</v>
      </c>
      <c r="Q37" t="s">
        <v>68</v>
      </c>
      <c r="R37">
        <v>2008</v>
      </c>
      <c r="S37" t="s">
        <v>797</v>
      </c>
      <c r="T37">
        <f>IF(IPL_Matches_2008_2020___New[[#This Row],[Toss Winner]]=IPL_Matches_2008_2020___New[[#This Row],[Winner]],1,0)</f>
        <v>1</v>
      </c>
      <c r="U37" t="s">
        <v>801</v>
      </c>
    </row>
    <row r="38" spans="1:21" x14ac:dyDescent="0.3">
      <c r="A38" t="s">
        <v>837</v>
      </c>
      <c r="B38" t="s">
        <v>46</v>
      </c>
      <c r="C38">
        <f>YEAR(IPL_Matches_2008_2020___New[[#This Row],[Date ]])</f>
        <v>2008</v>
      </c>
      <c r="D38" s="1">
        <v>39582</v>
      </c>
      <c r="E38" t="s">
        <v>90</v>
      </c>
      <c r="F38" t="s">
        <v>49</v>
      </c>
      <c r="G38" t="s">
        <v>50</v>
      </c>
      <c r="H38" t="s">
        <v>34</v>
      </c>
      <c r="I38" t="s">
        <v>50</v>
      </c>
      <c r="J38" t="s">
        <v>23</v>
      </c>
      <c r="K38" t="s">
        <v>50</v>
      </c>
      <c r="L38" t="s">
        <v>43</v>
      </c>
      <c r="M38">
        <v>9</v>
      </c>
      <c r="N38" t="s">
        <v>25</v>
      </c>
      <c r="O38" t="s">
        <v>796</v>
      </c>
      <c r="P38" t="s">
        <v>88</v>
      </c>
      <c r="Q38" t="s">
        <v>69</v>
      </c>
      <c r="R38">
        <v>2008</v>
      </c>
      <c r="S38" t="s">
        <v>803</v>
      </c>
      <c r="T38">
        <f>IF(IPL_Matches_2008_2020___New[[#This Row],[Toss Winner]]=IPL_Matches_2008_2020___New[[#This Row],[Winner]],1,0)</f>
        <v>1</v>
      </c>
      <c r="U38" t="s">
        <v>801</v>
      </c>
    </row>
    <row r="39" spans="1:21" x14ac:dyDescent="0.3">
      <c r="A39" t="s">
        <v>838</v>
      </c>
      <c r="B39" t="s">
        <v>29</v>
      </c>
      <c r="C39">
        <f>YEAR(IPL_Matches_2008_2020___New[[#This Row],[Date ]])</f>
        <v>2008</v>
      </c>
      <c r="D39" s="1">
        <v>39596</v>
      </c>
      <c r="E39" t="s">
        <v>93</v>
      </c>
      <c r="F39" t="s">
        <v>32</v>
      </c>
      <c r="G39" t="s">
        <v>800</v>
      </c>
      <c r="H39" t="s">
        <v>42</v>
      </c>
      <c r="I39" t="s">
        <v>42</v>
      </c>
      <c r="J39" t="s">
        <v>23</v>
      </c>
      <c r="K39" t="s">
        <v>800</v>
      </c>
      <c r="L39" t="s">
        <v>24</v>
      </c>
      <c r="M39">
        <v>41</v>
      </c>
      <c r="N39" t="s">
        <v>25</v>
      </c>
      <c r="O39" t="s">
        <v>796</v>
      </c>
      <c r="P39" t="s">
        <v>51</v>
      </c>
      <c r="Q39" t="s">
        <v>58</v>
      </c>
      <c r="R39">
        <v>2008</v>
      </c>
      <c r="S39" t="s">
        <v>797</v>
      </c>
      <c r="T39">
        <f>IF(IPL_Matches_2008_2020___New[[#This Row],[Toss Winner]]=IPL_Matches_2008_2020___New[[#This Row],[Winner]],1,0)</f>
        <v>0</v>
      </c>
      <c r="U39" t="s">
        <v>798</v>
      </c>
    </row>
    <row r="40" spans="1:21" x14ac:dyDescent="0.3">
      <c r="A40" t="s">
        <v>839</v>
      </c>
      <c r="B40" t="s">
        <v>38</v>
      </c>
      <c r="C40">
        <f>YEAR(IPL_Matches_2008_2020___New[[#This Row],[Date ]])</f>
        <v>2008</v>
      </c>
      <c r="D40" s="1">
        <v>39583</v>
      </c>
      <c r="E40" t="s">
        <v>111</v>
      </c>
      <c r="F40" t="s">
        <v>40</v>
      </c>
      <c r="G40" t="s">
        <v>692</v>
      </c>
      <c r="H40" t="s">
        <v>56</v>
      </c>
      <c r="I40" t="s">
        <v>56</v>
      </c>
      <c r="J40" t="s">
        <v>23</v>
      </c>
      <c r="K40" t="s">
        <v>692</v>
      </c>
      <c r="L40" t="s">
        <v>24</v>
      </c>
      <c r="M40">
        <v>12</v>
      </c>
      <c r="N40" t="s">
        <v>25</v>
      </c>
      <c r="O40" t="s">
        <v>796</v>
      </c>
      <c r="P40" t="s">
        <v>106</v>
      </c>
      <c r="Q40" t="s">
        <v>45</v>
      </c>
      <c r="R40">
        <v>2008</v>
      </c>
      <c r="S40" t="s">
        <v>797</v>
      </c>
      <c r="T40">
        <f>IF(IPL_Matches_2008_2020___New[[#This Row],[Toss Winner]]=IPL_Matches_2008_2020___New[[#This Row],[Winner]],1,0)</f>
        <v>0</v>
      </c>
      <c r="U40" t="s">
        <v>798</v>
      </c>
    </row>
    <row r="41" spans="1:21" x14ac:dyDescent="0.3">
      <c r="A41" t="s">
        <v>840</v>
      </c>
      <c r="B41" t="s">
        <v>46</v>
      </c>
      <c r="C41">
        <f>YEAR(IPL_Matches_2008_2020___New[[#This Row],[Date ]])</f>
        <v>2008</v>
      </c>
      <c r="D41" s="1">
        <v>39584</v>
      </c>
      <c r="E41" t="s">
        <v>98</v>
      </c>
      <c r="F41" t="s">
        <v>49</v>
      </c>
      <c r="G41" t="s">
        <v>50</v>
      </c>
      <c r="H41" t="s">
        <v>22</v>
      </c>
      <c r="I41" t="s">
        <v>50</v>
      </c>
      <c r="J41" t="s">
        <v>23</v>
      </c>
      <c r="K41" t="s">
        <v>50</v>
      </c>
      <c r="L41" t="s">
        <v>43</v>
      </c>
      <c r="M41">
        <v>8</v>
      </c>
      <c r="N41" t="s">
        <v>25</v>
      </c>
      <c r="O41" t="s">
        <v>796</v>
      </c>
      <c r="P41" t="s">
        <v>88</v>
      </c>
      <c r="Q41" t="s">
        <v>52</v>
      </c>
      <c r="R41">
        <v>2008</v>
      </c>
      <c r="S41" t="s">
        <v>803</v>
      </c>
      <c r="T41">
        <f>IF(IPL_Matches_2008_2020___New[[#This Row],[Toss Winner]]=IPL_Matches_2008_2020___New[[#This Row],[Winner]],1,0)</f>
        <v>1</v>
      </c>
      <c r="U41" t="s">
        <v>801</v>
      </c>
    </row>
    <row r="42" spans="1:21" x14ac:dyDescent="0.3">
      <c r="A42" t="s">
        <v>841</v>
      </c>
      <c r="B42" t="s">
        <v>38</v>
      </c>
      <c r="C42">
        <f>YEAR(IPL_Matches_2008_2020___New[[#This Row],[Date ]])</f>
        <v>2008</v>
      </c>
      <c r="D42" s="1">
        <v>39585</v>
      </c>
      <c r="E42" t="s">
        <v>114</v>
      </c>
      <c r="F42" t="s">
        <v>40</v>
      </c>
      <c r="G42" t="s">
        <v>692</v>
      </c>
      <c r="H42" t="s">
        <v>800</v>
      </c>
      <c r="I42" t="s">
        <v>692</v>
      </c>
      <c r="J42" t="s">
        <v>35</v>
      </c>
      <c r="K42" t="s">
        <v>800</v>
      </c>
      <c r="L42" t="s">
        <v>24</v>
      </c>
      <c r="M42">
        <v>6</v>
      </c>
      <c r="N42" t="s">
        <v>25</v>
      </c>
      <c r="O42" t="s">
        <v>115</v>
      </c>
      <c r="P42" t="s">
        <v>80</v>
      </c>
      <c r="Q42" t="s">
        <v>28</v>
      </c>
      <c r="R42">
        <v>2008</v>
      </c>
      <c r="S42" t="s">
        <v>797</v>
      </c>
      <c r="T42">
        <f>IF(IPL_Matches_2008_2020___New[[#This Row],[Toss Winner]]=IPL_Matches_2008_2020___New[[#This Row],[Winner]],1,0)</f>
        <v>0</v>
      </c>
      <c r="U42" t="s">
        <v>798</v>
      </c>
    </row>
    <row r="43" spans="1:21" x14ac:dyDescent="0.3">
      <c r="A43" t="s">
        <v>842</v>
      </c>
      <c r="B43" t="s">
        <v>59</v>
      </c>
      <c r="C43">
        <f>YEAR(IPL_Matches_2008_2020___New[[#This Row],[Date ]])</f>
        <v>2008</v>
      </c>
      <c r="D43" s="1">
        <v>39585</v>
      </c>
      <c r="E43" t="s">
        <v>116</v>
      </c>
      <c r="F43" t="s">
        <v>62</v>
      </c>
      <c r="G43" t="s">
        <v>42</v>
      </c>
      <c r="H43" t="s">
        <v>21</v>
      </c>
      <c r="I43" t="s">
        <v>21</v>
      </c>
      <c r="J43" t="s">
        <v>23</v>
      </c>
      <c r="K43" t="s">
        <v>42</v>
      </c>
      <c r="L43" t="s">
        <v>24</v>
      </c>
      <c r="M43">
        <v>65</v>
      </c>
      <c r="N43" t="s">
        <v>25</v>
      </c>
      <c r="O43" t="s">
        <v>796</v>
      </c>
      <c r="P43" t="s">
        <v>57</v>
      </c>
      <c r="Q43" t="s">
        <v>37</v>
      </c>
      <c r="R43">
        <v>2008</v>
      </c>
      <c r="S43" t="s">
        <v>797</v>
      </c>
      <c r="T43">
        <f>IF(IPL_Matches_2008_2020___New[[#This Row],[Toss Winner]]=IPL_Matches_2008_2020___New[[#This Row],[Winner]],1,0)</f>
        <v>0</v>
      </c>
      <c r="U43" t="s">
        <v>798</v>
      </c>
    </row>
    <row r="44" spans="1:21" x14ac:dyDescent="0.3">
      <c r="A44" t="s">
        <v>843</v>
      </c>
      <c r="B44" t="s">
        <v>64</v>
      </c>
      <c r="C44">
        <f>YEAR(IPL_Matches_2008_2020___New[[#This Row],[Date ]])</f>
        <v>2008</v>
      </c>
      <c r="D44" s="1">
        <v>39586</v>
      </c>
      <c r="E44" t="s">
        <v>118</v>
      </c>
      <c r="F44" t="s">
        <v>67</v>
      </c>
      <c r="G44" t="s">
        <v>56</v>
      </c>
      <c r="H44" t="s">
        <v>50</v>
      </c>
      <c r="I44" t="s">
        <v>56</v>
      </c>
      <c r="J44" t="s">
        <v>23</v>
      </c>
      <c r="K44" t="s">
        <v>50</v>
      </c>
      <c r="L44" t="s">
        <v>24</v>
      </c>
      <c r="M44">
        <v>25</v>
      </c>
      <c r="N44" t="s">
        <v>25</v>
      </c>
      <c r="O44" t="s">
        <v>796</v>
      </c>
      <c r="P44" t="s">
        <v>88</v>
      </c>
      <c r="Q44" t="s">
        <v>52</v>
      </c>
      <c r="R44">
        <v>2008</v>
      </c>
      <c r="S44" t="s">
        <v>797</v>
      </c>
      <c r="T44">
        <f>IF(IPL_Matches_2008_2020___New[[#This Row],[Toss Winner]]=IPL_Matches_2008_2020___New[[#This Row],[Winner]],1,0)</f>
        <v>0</v>
      </c>
      <c r="U44" t="s">
        <v>798</v>
      </c>
    </row>
    <row r="45" spans="1:21" x14ac:dyDescent="0.3">
      <c r="A45" t="s">
        <v>844</v>
      </c>
      <c r="B45" t="s">
        <v>53</v>
      </c>
      <c r="C45">
        <f>YEAR(IPL_Matches_2008_2020___New[[#This Row],[Date ]])</f>
        <v>2008</v>
      </c>
      <c r="D45" s="1">
        <v>39586</v>
      </c>
      <c r="E45" t="s">
        <v>119</v>
      </c>
      <c r="F45" t="s">
        <v>55</v>
      </c>
      <c r="G45" t="s">
        <v>22</v>
      </c>
      <c r="H45" t="s">
        <v>34</v>
      </c>
      <c r="I45" t="s">
        <v>22</v>
      </c>
      <c r="J45" t="s">
        <v>35</v>
      </c>
      <c r="K45" t="s">
        <v>34</v>
      </c>
      <c r="L45" t="s">
        <v>24</v>
      </c>
      <c r="M45">
        <v>3</v>
      </c>
      <c r="N45" t="s">
        <v>25</v>
      </c>
      <c r="O45" t="s">
        <v>115</v>
      </c>
      <c r="P45" t="s">
        <v>27</v>
      </c>
      <c r="Q45" t="s">
        <v>58</v>
      </c>
      <c r="R45">
        <v>2008</v>
      </c>
      <c r="S45" t="s">
        <v>797</v>
      </c>
      <c r="T45">
        <f>IF(IPL_Matches_2008_2020___New[[#This Row],[Toss Winner]]=IPL_Matches_2008_2020___New[[#This Row],[Winner]],1,0)</f>
        <v>0</v>
      </c>
      <c r="U45" t="s">
        <v>798</v>
      </c>
    </row>
    <row r="46" spans="1:21" x14ac:dyDescent="0.3">
      <c r="A46" t="s">
        <v>845</v>
      </c>
      <c r="B46" t="s">
        <v>17</v>
      </c>
      <c r="C46">
        <f>YEAR(IPL_Matches_2008_2020___New[[#This Row],[Date ]])</f>
        <v>2008</v>
      </c>
      <c r="D46" s="1">
        <v>39587</v>
      </c>
      <c r="E46" t="s">
        <v>121</v>
      </c>
      <c r="F46" t="s">
        <v>795</v>
      </c>
      <c r="G46" t="s">
        <v>21</v>
      </c>
      <c r="H46" t="s">
        <v>692</v>
      </c>
      <c r="I46" t="s">
        <v>692</v>
      </c>
      <c r="J46" t="s">
        <v>23</v>
      </c>
      <c r="K46" t="s">
        <v>692</v>
      </c>
      <c r="L46" t="s">
        <v>43</v>
      </c>
      <c r="M46">
        <v>5</v>
      </c>
      <c r="N46" t="s">
        <v>25</v>
      </c>
      <c r="O46" t="s">
        <v>796</v>
      </c>
      <c r="P46" t="s">
        <v>51</v>
      </c>
      <c r="Q46" t="s">
        <v>45</v>
      </c>
      <c r="R46">
        <v>2008</v>
      </c>
      <c r="S46" t="s">
        <v>803</v>
      </c>
      <c r="T46">
        <f>IF(IPL_Matches_2008_2020___New[[#This Row],[Toss Winner]]=IPL_Matches_2008_2020___New[[#This Row],[Winner]],1,0)</f>
        <v>1</v>
      </c>
      <c r="U46" t="s">
        <v>801</v>
      </c>
    </row>
    <row r="47" spans="1:21" x14ac:dyDescent="0.3">
      <c r="A47" t="s">
        <v>846</v>
      </c>
      <c r="B47" t="s">
        <v>53</v>
      </c>
      <c r="C47">
        <f>YEAR(IPL_Matches_2008_2020___New[[#This Row],[Date ]])</f>
        <v>2008</v>
      </c>
      <c r="D47" s="1">
        <v>39588</v>
      </c>
      <c r="E47" t="s">
        <v>75</v>
      </c>
      <c r="F47" t="s">
        <v>55</v>
      </c>
      <c r="G47" t="s">
        <v>22</v>
      </c>
      <c r="H47" t="s">
        <v>42</v>
      </c>
      <c r="I47" t="s">
        <v>42</v>
      </c>
      <c r="J47" t="s">
        <v>23</v>
      </c>
      <c r="K47" t="s">
        <v>42</v>
      </c>
      <c r="L47" t="s">
        <v>43</v>
      </c>
      <c r="M47">
        <v>6</v>
      </c>
      <c r="N47" t="s">
        <v>25</v>
      </c>
      <c r="O47" t="s">
        <v>796</v>
      </c>
      <c r="P47" t="s">
        <v>106</v>
      </c>
      <c r="Q47" t="s">
        <v>28</v>
      </c>
      <c r="R47">
        <v>2008</v>
      </c>
      <c r="S47" t="s">
        <v>803</v>
      </c>
      <c r="T47">
        <f>IF(IPL_Matches_2008_2020___New[[#This Row],[Toss Winner]]=IPL_Matches_2008_2020___New[[#This Row],[Winner]],1,0)</f>
        <v>1</v>
      </c>
      <c r="U47" t="s">
        <v>801</v>
      </c>
    </row>
    <row r="48" spans="1:21" x14ac:dyDescent="0.3">
      <c r="A48" t="s">
        <v>847</v>
      </c>
      <c r="B48" t="s">
        <v>46</v>
      </c>
      <c r="C48">
        <f>YEAR(IPL_Matches_2008_2020___New[[#This Row],[Date ]])</f>
        <v>2008</v>
      </c>
      <c r="D48" s="1">
        <v>39589</v>
      </c>
      <c r="E48" t="s">
        <v>93</v>
      </c>
      <c r="F48" t="s">
        <v>49</v>
      </c>
      <c r="G48" t="s">
        <v>50</v>
      </c>
      <c r="H48" t="s">
        <v>800</v>
      </c>
      <c r="I48" t="s">
        <v>50</v>
      </c>
      <c r="J48" t="s">
        <v>23</v>
      </c>
      <c r="K48" t="s">
        <v>800</v>
      </c>
      <c r="L48" t="s">
        <v>24</v>
      </c>
      <c r="M48">
        <v>1</v>
      </c>
      <c r="N48" t="s">
        <v>25</v>
      </c>
      <c r="O48" t="s">
        <v>796</v>
      </c>
      <c r="P48" t="s">
        <v>57</v>
      </c>
      <c r="Q48" t="s">
        <v>45</v>
      </c>
      <c r="R48">
        <v>2008</v>
      </c>
      <c r="S48" t="s">
        <v>797</v>
      </c>
      <c r="T48">
        <f>IF(IPL_Matches_2008_2020___New[[#This Row],[Toss Winner]]=IPL_Matches_2008_2020___New[[#This Row],[Winner]],1,0)</f>
        <v>0</v>
      </c>
      <c r="U48" t="s">
        <v>798</v>
      </c>
    </row>
    <row r="49" spans="1:21" x14ac:dyDescent="0.3">
      <c r="A49" t="s">
        <v>848</v>
      </c>
      <c r="B49" t="s">
        <v>70</v>
      </c>
      <c r="C49">
        <f>YEAR(IPL_Matches_2008_2020___New[[#This Row],[Date ]])</f>
        <v>2008</v>
      </c>
      <c r="D49" s="1">
        <v>39589</v>
      </c>
      <c r="E49" t="s">
        <v>124</v>
      </c>
      <c r="F49" t="s">
        <v>73</v>
      </c>
      <c r="G49" t="s">
        <v>34</v>
      </c>
      <c r="H49" t="s">
        <v>21</v>
      </c>
      <c r="I49" t="s">
        <v>21</v>
      </c>
      <c r="J49" t="s">
        <v>35</v>
      </c>
      <c r="K49" t="s">
        <v>21</v>
      </c>
      <c r="L49" t="s">
        <v>24</v>
      </c>
      <c r="M49">
        <v>14</v>
      </c>
      <c r="N49" t="s">
        <v>25</v>
      </c>
      <c r="O49" t="s">
        <v>796</v>
      </c>
      <c r="P49" t="s">
        <v>52</v>
      </c>
      <c r="Q49" t="s">
        <v>85</v>
      </c>
      <c r="R49">
        <v>2008</v>
      </c>
      <c r="S49" t="s">
        <v>797</v>
      </c>
      <c r="T49">
        <f>IF(IPL_Matches_2008_2020___New[[#This Row],[Toss Winner]]=IPL_Matches_2008_2020___New[[#This Row],[Winner]],1,0)</f>
        <v>1</v>
      </c>
      <c r="U49" t="s">
        <v>801</v>
      </c>
    </row>
    <row r="50" spans="1:21" x14ac:dyDescent="0.3">
      <c r="A50" t="s">
        <v>849</v>
      </c>
      <c r="B50" t="s">
        <v>29</v>
      </c>
      <c r="C50">
        <f>YEAR(IPL_Matches_2008_2020___New[[#This Row],[Date ]])</f>
        <v>2008</v>
      </c>
      <c r="D50" s="1">
        <v>39591</v>
      </c>
      <c r="E50" t="s">
        <v>93</v>
      </c>
      <c r="F50" t="s">
        <v>32</v>
      </c>
      <c r="G50" t="s">
        <v>800</v>
      </c>
      <c r="H50" t="s">
        <v>56</v>
      </c>
      <c r="I50" t="s">
        <v>800</v>
      </c>
      <c r="J50" t="s">
        <v>23</v>
      </c>
      <c r="K50" t="s">
        <v>800</v>
      </c>
      <c r="L50" t="s">
        <v>43</v>
      </c>
      <c r="M50">
        <v>6</v>
      </c>
      <c r="N50" t="s">
        <v>25</v>
      </c>
      <c r="O50" t="s">
        <v>796</v>
      </c>
      <c r="P50" t="s">
        <v>27</v>
      </c>
      <c r="Q50" t="s">
        <v>51</v>
      </c>
      <c r="R50">
        <v>2008</v>
      </c>
      <c r="S50" t="s">
        <v>803</v>
      </c>
      <c r="T50">
        <f>IF(IPL_Matches_2008_2020___New[[#This Row],[Toss Winner]]=IPL_Matches_2008_2020___New[[#This Row],[Winner]],1,0)</f>
        <v>1</v>
      </c>
      <c r="U50" t="s">
        <v>801</v>
      </c>
    </row>
    <row r="51" spans="1:21" x14ac:dyDescent="0.3">
      <c r="A51" t="s">
        <v>850</v>
      </c>
      <c r="B51" t="s">
        <v>38</v>
      </c>
      <c r="C51">
        <f>YEAR(IPL_Matches_2008_2020___New[[#This Row],[Date ]])</f>
        <v>2008</v>
      </c>
      <c r="D51" s="1">
        <v>39592</v>
      </c>
      <c r="E51" t="s">
        <v>127</v>
      </c>
      <c r="F51" t="s">
        <v>40</v>
      </c>
      <c r="G51" t="s">
        <v>692</v>
      </c>
      <c r="H51" t="s">
        <v>50</v>
      </c>
      <c r="I51" t="s">
        <v>692</v>
      </c>
      <c r="J51" t="s">
        <v>23</v>
      </c>
      <c r="K51" t="s">
        <v>692</v>
      </c>
      <c r="L51" t="s">
        <v>43</v>
      </c>
      <c r="M51">
        <v>5</v>
      </c>
      <c r="N51" t="s">
        <v>25</v>
      </c>
      <c r="O51" t="s">
        <v>796</v>
      </c>
      <c r="P51" t="s">
        <v>57</v>
      </c>
      <c r="Q51" t="s">
        <v>58</v>
      </c>
      <c r="R51">
        <v>2008</v>
      </c>
      <c r="S51" t="s">
        <v>803</v>
      </c>
      <c r="T51">
        <f>IF(IPL_Matches_2008_2020___New[[#This Row],[Toss Winner]]=IPL_Matches_2008_2020___New[[#This Row],[Winner]],1,0)</f>
        <v>1</v>
      </c>
      <c r="U51" t="s">
        <v>801</v>
      </c>
    </row>
    <row r="52" spans="1:21" x14ac:dyDescent="0.3">
      <c r="A52" t="s">
        <v>851</v>
      </c>
      <c r="B52" t="s">
        <v>70</v>
      </c>
      <c r="C52">
        <f>YEAR(IPL_Matches_2008_2020___New[[#This Row],[Date ]])</f>
        <v>2008</v>
      </c>
      <c r="D52" s="1">
        <v>39592</v>
      </c>
      <c r="E52" t="s">
        <v>128</v>
      </c>
      <c r="F52" t="s">
        <v>73</v>
      </c>
      <c r="G52" t="s">
        <v>34</v>
      </c>
      <c r="H52" t="s">
        <v>42</v>
      </c>
      <c r="I52" t="s">
        <v>42</v>
      </c>
      <c r="J52" t="s">
        <v>35</v>
      </c>
      <c r="K52" t="s">
        <v>42</v>
      </c>
      <c r="L52" t="s">
        <v>24</v>
      </c>
      <c r="M52">
        <v>10</v>
      </c>
      <c r="N52" t="s">
        <v>25</v>
      </c>
      <c r="O52" t="s">
        <v>796</v>
      </c>
      <c r="P52" t="s">
        <v>52</v>
      </c>
      <c r="Q52" t="s">
        <v>37</v>
      </c>
      <c r="R52">
        <v>2008</v>
      </c>
      <c r="S52" t="s">
        <v>797</v>
      </c>
      <c r="T52">
        <f>IF(IPL_Matches_2008_2020___New[[#This Row],[Toss Winner]]=IPL_Matches_2008_2020___New[[#This Row],[Winner]],1,0)</f>
        <v>1</v>
      </c>
      <c r="U52" t="s">
        <v>801</v>
      </c>
    </row>
    <row r="53" spans="1:21" x14ac:dyDescent="0.3">
      <c r="A53" t="s">
        <v>852</v>
      </c>
      <c r="B53" t="s">
        <v>17</v>
      </c>
      <c r="C53">
        <f>YEAR(IPL_Matches_2008_2020___New[[#This Row],[Date ]])</f>
        <v>2008</v>
      </c>
      <c r="D53" s="1">
        <v>39571</v>
      </c>
      <c r="E53" t="s">
        <v>129</v>
      </c>
      <c r="F53" t="s">
        <v>795</v>
      </c>
      <c r="G53" t="s">
        <v>21</v>
      </c>
      <c r="H53" t="s">
        <v>56</v>
      </c>
      <c r="I53" t="s">
        <v>56</v>
      </c>
      <c r="J53" t="s">
        <v>23</v>
      </c>
      <c r="K53" t="s">
        <v>21</v>
      </c>
      <c r="L53" t="s">
        <v>24</v>
      </c>
      <c r="M53">
        <v>3</v>
      </c>
      <c r="N53" t="s">
        <v>25</v>
      </c>
      <c r="O53" t="s">
        <v>796</v>
      </c>
      <c r="P53" t="s">
        <v>88</v>
      </c>
      <c r="Q53" t="s">
        <v>37</v>
      </c>
      <c r="R53">
        <v>2008</v>
      </c>
      <c r="S53" t="s">
        <v>797</v>
      </c>
      <c r="T53">
        <f>IF(IPL_Matches_2008_2020___New[[#This Row],[Toss Winner]]=IPL_Matches_2008_2020___New[[#This Row],[Winner]],1,0)</f>
        <v>0</v>
      </c>
      <c r="U53" t="s">
        <v>798</v>
      </c>
    </row>
    <row r="54" spans="1:21" x14ac:dyDescent="0.3">
      <c r="A54" t="s">
        <v>853</v>
      </c>
      <c r="B54" t="s">
        <v>53</v>
      </c>
      <c r="C54">
        <f>YEAR(IPL_Matches_2008_2020___New[[#This Row],[Date ]])</f>
        <v>2008</v>
      </c>
      <c r="D54" s="1">
        <v>39593</v>
      </c>
      <c r="E54" t="s">
        <v>130</v>
      </c>
      <c r="F54" t="s">
        <v>55</v>
      </c>
      <c r="G54" t="s">
        <v>22</v>
      </c>
      <c r="H54" t="s">
        <v>800</v>
      </c>
      <c r="I54" t="s">
        <v>800</v>
      </c>
      <c r="J54" t="s">
        <v>35</v>
      </c>
      <c r="K54" t="s">
        <v>22</v>
      </c>
      <c r="L54" t="s">
        <v>43</v>
      </c>
      <c r="M54">
        <v>3</v>
      </c>
      <c r="N54" t="s">
        <v>25</v>
      </c>
      <c r="O54" t="s">
        <v>796</v>
      </c>
      <c r="P54" t="s">
        <v>51</v>
      </c>
      <c r="Q54" t="s">
        <v>85</v>
      </c>
      <c r="R54">
        <v>2008</v>
      </c>
      <c r="S54" t="s">
        <v>803</v>
      </c>
      <c r="T54">
        <f>IF(IPL_Matches_2008_2020___New[[#This Row],[Toss Winner]]=IPL_Matches_2008_2020___New[[#This Row],[Winner]],1,0)</f>
        <v>0</v>
      </c>
      <c r="U54" t="s">
        <v>798</v>
      </c>
    </row>
    <row r="55" spans="1:21" x14ac:dyDescent="0.3">
      <c r="A55" t="s">
        <v>854</v>
      </c>
      <c r="B55" t="s">
        <v>59</v>
      </c>
      <c r="C55">
        <f>YEAR(IPL_Matches_2008_2020___New[[#This Row],[Date ]])</f>
        <v>2008</v>
      </c>
      <c r="D55" s="1">
        <v>39594</v>
      </c>
      <c r="E55" t="s">
        <v>99</v>
      </c>
      <c r="F55" t="s">
        <v>62</v>
      </c>
      <c r="G55" t="s">
        <v>42</v>
      </c>
      <c r="H55" t="s">
        <v>50</v>
      </c>
      <c r="I55" t="s">
        <v>42</v>
      </c>
      <c r="J55" t="s">
        <v>23</v>
      </c>
      <c r="K55" t="s">
        <v>42</v>
      </c>
      <c r="L55" t="s">
        <v>43</v>
      </c>
      <c r="M55">
        <v>5</v>
      </c>
      <c r="N55" t="s">
        <v>25</v>
      </c>
      <c r="O55" t="s">
        <v>796</v>
      </c>
      <c r="P55" t="s">
        <v>57</v>
      </c>
      <c r="Q55" t="s">
        <v>58</v>
      </c>
      <c r="R55">
        <v>2008</v>
      </c>
      <c r="S55" t="s">
        <v>803</v>
      </c>
      <c r="T55">
        <f>IF(IPL_Matches_2008_2020___New[[#This Row],[Toss Winner]]=IPL_Matches_2008_2020___New[[#This Row],[Winner]],1,0)</f>
        <v>1</v>
      </c>
      <c r="U55" t="s">
        <v>801</v>
      </c>
    </row>
    <row r="56" spans="1:21" x14ac:dyDescent="0.3">
      <c r="A56" t="s">
        <v>855</v>
      </c>
      <c r="B56" t="s">
        <v>64</v>
      </c>
      <c r="C56">
        <f>YEAR(IPL_Matches_2008_2020___New[[#This Row],[Date ]])</f>
        <v>2008</v>
      </c>
      <c r="D56" s="1">
        <v>39595</v>
      </c>
      <c r="E56" t="s">
        <v>133</v>
      </c>
      <c r="F56" t="s">
        <v>67</v>
      </c>
      <c r="G56" t="s">
        <v>56</v>
      </c>
      <c r="H56" t="s">
        <v>34</v>
      </c>
      <c r="I56" t="s">
        <v>56</v>
      </c>
      <c r="J56" t="s">
        <v>35</v>
      </c>
      <c r="K56" t="s">
        <v>34</v>
      </c>
      <c r="L56" t="s">
        <v>43</v>
      </c>
      <c r="M56">
        <v>7</v>
      </c>
      <c r="N56" t="s">
        <v>25</v>
      </c>
      <c r="O56" t="s">
        <v>796</v>
      </c>
      <c r="P56" t="s">
        <v>106</v>
      </c>
      <c r="Q56" t="s">
        <v>69</v>
      </c>
      <c r="R56">
        <v>2008</v>
      </c>
      <c r="S56" t="s">
        <v>803</v>
      </c>
      <c r="T56">
        <f>IF(IPL_Matches_2008_2020___New[[#This Row],[Toss Winner]]=IPL_Matches_2008_2020___New[[#This Row],[Winner]],1,0)</f>
        <v>0</v>
      </c>
      <c r="U56" t="s">
        <v>798</v>
      </c>
    </row>
    <row r="57" spans="1:21" x14ac:dyDescent="0.3">
      <c r="A57" t="s">
        <v>856</v>
      </c>
      <c r="B57" t="s">
        <v>46</v>
      </c>
      <c r="C57">
        <f>YEAR(IPL_Matches_2008_2020___New[[#This Row],[Date ]])</f>
        <v>2008</v>
      </c>
      <c r="D57" s="1">
        <v>39598</v>
      </c>
      <c r="E57" t="s">
        <v>61</v>
      </c>
      <c r="F57" t="s">
        <v>49</v>
      </c>
      <c r="G57" t="s">
        <v>692</v>
      </c>
      <c r="H57" t="s">
        <v>42</v>
      </c>
      <c r="I57" t="s">
        <v>692</v>
      </c>
      <c r="J57" t="s">
        <v>23</v>
      </c>
      <c r="K57" t="s">
        <v>42</v>
      </c>
      <c r="L57" t="s">
        <v>24</v>
      </c>
      <c r="M57">
        <v>105</v>
      </c>
      <c r="N57" t="s">
        <v>25</v>
      </c>
      <c r="O57" t="s">
        <v>796</v>
      </c>
      <c r="P57" t="s">
        <v>57</v>
      </c>
      <c r="Q57" t="s">
        <v>28</v>
      </c>
      <c r="R57">
        <v>2008</v>
      </c>
      <c r="S57" t="s">
        <v>797</v>
      </c>
      <c r="T57">
        <f>IF(IPL_Matches_2008_2020___New[[#This Row],[Toss Winner]]=IPL_Matches_2008_2020___New[[#This Row],[Winner]],1,0)</f>
        <v>0</v>
      </c>
      <c r="U57" t="s">
        <v>798</v>
      </c>
    </row>
    <row r="58" spans="1:21" x14ac:dyDescent="0.3">
      <c r="A58" t="s">
        <v>857</v>
      </c>
      <c r="B58" t="s">
        <v>46</v>
      </c>
      <c r="C58">
        <f>YEAR(IPL_Matches_2008_2020___New[[#This Row],[Date ]])</f>
        <v>2008</v>
      </c>
      <c r="D58" s="1">
        <v>39599</v>
      </c>
      <c r="E58" t="s">
        <v>119</v>
      </c>
      <c r="F58" t="s">
        <v>49</v>
      </c>
      <c r="G58" t="s">
        <v>34</v>
      </c>
      <c r="H58" t="s">
        <v>800</v>
      </c>
      <c r="I58" t="s">
        <v>800</v>
      </c>
      <c r="J58" t="s">
        <v>35</v>
      </c>
      <c r="K58" t="s">
        <v>34</v>
      </c>
      <c r="L58" t="s">
        <v>43</v>
      </c>
      <c r="M58">
        <v>9</v>
      </c>
      <c r="N58" t="s">
        <v>25</v>
      </c>
      <c r="O58" t="s">
        <v>796</v>
      </c>
      <c r="P58" t="s">
        <v>27</v>
      </c>
      <c r="Q58" t="s">
        <v>52</v>
      </c>
      <c r="R58">
        <v>2008</v>
      </c>
      <c r="S58" t="s">
        <v>803</v>
      </c>
      <c r="T58">
        <f>IF(IPL_Matches_2008_2020___New[[#This Row],[Toss Winner]]=IPL_Matches_2008_2020___New[[#This Row],[Winner]],1,0)</f>
        <v>0</v>
      </c>
      <c r="U58" t="s">
        <v>798</v>
      </c>
    </row>
    <row r="59" spans="1:21" x14ac:dyDescent="0.3">
      <c r="A59" t="s">
        <v>858</v>
      </c>
      <c r="B59" t="s">
        <v>46</v>
      </c>
      <c r="C59">
        <f>YEAR(IPL_Matches_2008_2020___New[[#This Row],[Date ]])</f>
        <v>2008</v>
      </c>
      <c r="D59" s="1">
        <v>39600</v>
      </c>
      <c r="E59" t="s">
        <v>75</v>
      </c>
      <c r="F59" t="s">
        <v>83</v>
      </c>
      <c r="G59" t="s">
        <v>34</v>
      </c>
      <c r="H59" t="s">
        <v>42</v>
      </c>
      <c r="I59" t="s">
        <v>42</v>
      </c>
      <c r="J59" t="s">
        <v>23</v>
      </c>
      <c r="K59" t="s">
        <v>42</v>
      </c>
      <c r="L59" t="s">
        <v>43</v>
      </c>
      <c r="M59">
        <v>3</v>
      </c>
      <c r="N59" t="s">
        <v>25</v>
      </c>
      <c r="O59" t="s">
        <v>796</v>
      </c>
      <c r="P59" t="s">
        <v>57</v>
      </c>
      <c r="Q59" t="s">
        <v>28</v>
      </c>
      <c r="R59">
        <v>2008</v>
      </c>
      <c r="S59" t="s">
        <v>803</v>
      </c>
      <c r="T59">
        <f>IF(IPL_Matches_2008_2020___New[[#This Row],[Toss Winner]]=IPL_Matches_2008_2020___New[[#This Row],[Winner]],1,0)</f>
        <v>1</v>
      </c>
      <c r="U59" t="s">
        <v>801</v>
      </c>
    </row>
    <row r="60" spans="1:21" x14ac:dyDescent="0.3">
      <c r="A60" t="s">
        <v>859</v>
      </c>
      <c r="B60" t="s">
        <v>136</v>
      </c>
      <c r="C60">
        <f>YEAR(IPL_Matches_2008_2020___New[[#This Row],[Date ]])</f>
        <v>2009</v>
      </c>
      <c r="D60" s="1">
        <v>39921</v>
      </c>
      <c r="E60" t="s">
        <v>138</v>
      </c>
      <c r="F60" t="s">
        <v>139</v>
      </c>
      <c r="G60" t="s">
        <v>34</v>
      </c>
      <c r="H60" t="s">
        <v>50</v>
      </c>
      <c r="I60" t="s">
        <v>34</v>
      </c>
      <c r="J60" t="s">
        <v>23</v>
      </c>
      <c r="K60" t="s">
        <v>50</v>
      </c>
      <c r="L60" t="s">
        <v>24</v>
      </c>
      <c r="M60">
        <v>19</v>
      </c>
      <c r="N60" t="s">
        <v>25</v>
      </c>
      <c r="O60" t="s">
        <v>796</v>
      </c>
      <c r="P60" t="s">
        <v>88</v>
      </c>
      <c r="Q60" t="s">
        <v>58</v>
      </c>
      <c r="R60">
        <v>2009</v>
      </c>
      <c r="S60" t="s">
        <v>797</v>
      </c>
      <c r="T60">
        <f>IF(IPL_Matches_2008_2020___New[[#This Row],[Toss Winner]]=IPL_Matches_2008_2020___New[[#This Row],[Winner]],1,0)</f>
        <v>0</v>
      </c>
      <c r="U60" t="s">
        <v>798</v>
      </c>
    </row>
    <row r="61" spans="1:21" x14ac:dyDescent="0.3">
      <c r="A61" t="s">
        <v>860</v>
      </c>
      <c r="B61" t="s">
        <v>136</v>
      </c>
      <c r="C61">
        <f>YEAR(IPL_Matches_2008_2020___New[[#This Row],[Date ]])</f>
        <v>2009</v>
      </c>
      <c r="D61" s="1">
        <v>39921</v>
      </c>
      <c r="E61" t="s">
        <v>140</v>
      </c>
      <c r="F61" t="s">
        <v>139</v>
      </c>
      <c r="G61" t="s">
        <v>21</v>
      </c>
      <c r="H61" t="s">
        <v>42</v>
      </c>
      <c r="I61" t="s">
        <v>21</v>
      </c>
      <c r="J61" t="s">
        <v>35</v>
      </c>
      <c r="K61" t="s">
        <v>21</v>
      </c>
      <c r="L61" t="s">
        <v>24</v>
      </c>
      <c r="M61">
        <v>75</v>
      </c>
      <c r="N61" t="s">
        <v>25</v>
      </c>
      <c r="O61" t="s">
        <v>796</v>
      </c>
      <c r="P61" t="s">
        <v>88</v>
      </c>
      <c r="Q61" t="s">
        <v>63</v>
      </c>
      <c r="R61">
        <v>2009</v>
      </c>
      <c r="S61" t="s">
        <v>797</v>
      </c>
      <c r="T61">
        <f>IF(IPL_Matches_2008_2020___New[[#This Row],[Toss Winner]]=IPL_Matches_2008_2020___New[[#This Row],[Winner]],1,0)</f>
        <v>1</v>
      </c>
      <c r="U61" t="s">
        <v>801</v>
      </c>
    </row>
    <row r="62" spans="1:21" x14ac:dyDescent="0.3">
      <c r="A62" t="s">
        <v>861</v>
      </c>
      <c r="B62" t="s">
        <v>136</v>
      </c>
      <c r="C62">
        <f>YEAR(IPL_Matches_2008_2020___New[[#This Row],[Date ]])</f>
        <v>2009</v>
      </c>
      <c r="D62" s="1">
        <v>39922</v>
      </c>
      <c r="E62" t="s">
        <v>142</v>
      </c>
      <c r="F62" t="s">
        <v>139</v>
      </c>
      <c r="G62" t="s">
        <v>692</v>
      </c>
      <c r="H62" t="s">
        <v>800</v>
      </c>
      <c r="I62" t="s">
        <v>692</v>
      </c>
      <c r="J62" t="s">
        <v>23</v>
      </c>
      <c r="K62" t="s">
        <v>692</v>
      </c>
      <c r="L62" t="s">
        <v>43</v>
      </c>
      <c r="M62">
        <v>10</v>
      </c>
      <c r="N62" t="s">
        <v>25</v>
      </c>
      <c r="O62" t="s">
        <v>115</v>
      </c>
      <c r="P62" t="s">
        <v>36</v>
      </c>
      <c r="Q62" t="s">
        <v>143</v>
      </c>
      <c r="R62">
        <v>2009</v>
      </c>
      <c r="S62" t="s">
        <v>803</v>
      </c>
      <c r="T62">
        <f>IF(IPL_Matches_2008_2020___New[[#This Row],[Toss Winner]]=IPL_Matches_2008_2020___New[[#This Row],[Winner]],1,0)</f>
        <v>1</v>
      </c>
      <c r="U62" t="s">
        <v>801</v>
      </c>
    </row>
    <row r="63" spans="1:21" x14ac:dyDescent="0.3">
      <c r="A63" t="s">
        <v>862</v>
      </c>
      <c r="B63" t="s">
        <v>136</v>
      </c>
      <c r="C63">
        <f>YEAR(IPL_Matches_2008_2020___New[[#This Row],[Date ]])</f>
        <v>2009</v>
      </c>
      <c r="D63" s="1">
        <v>39922</v>
      </c>
      <c r="E63" t="s">
        <v>144</v>
      </c>
      <c r="F63" t="s">
        <v>139</v>
      </c>
      <c r="G63" t="s">
        <v>56</v>
      </c>
      <c r="H63" t="s">
        <v>22</v>
      </c>
      <c r="I63" t="s">
        <v>22</v>
      </c>
      <c r="J63" t="s">
        <v>35</v>
      </c>
      <c r="K63" t="s">
        <v>56</v>
      </c>
      <c r="L63" t="s">
        <v>43</v>
      </c>
      <c r="M63">
        <v>8</v>
      </c>
      <c r="N63" t="s">
        <v>25</v>
      </c>
      <c r="O63" t="s">
        <v>796</v>
      </c>
      <c r="P63" t="s">
        <v>36</v>
      </c>
      <c r="Q63" t="s">
        <v>88</v>
      </c>
      <c r="R63">
        <v>2009</v>
      </c>
      <c r="S63" t="s">
        <v>803</v>
      </c>
      <c r="T63">
        <f>IF(IPL_Matches_2008_2020___New[[#This Row],[Toss Winner]]=IPL_Matches_2008_2020___New[[#This Row],[Winner]],1,0)</f>
        <v>0</v>
      </c>
      <c r="U63" t="s">
        <v>798</v>
      </c>
    </row>
    <row r="64" spans="1:21" x14ac:dyDescent="0.3">
      <c r="A64" t="s">
        <v>863</v>
      </c>
      <c r="B64" t="s">
        <v>145</v>
      </c>
      <c r="C64">
        <f>YEAR(IPL_Matches_2008_2020___New[[#This Row],[Date ]])</f>
        <v>2009</v>
      </c>
      <c r="D64" s="1">
        <v>39923</v>
      </c>
      <c r="E64" t="s">
        <v>147</v>
      </c>
      <c r="F64" t="s">
        <v>148</v>
      </c>
      <c r="G64" t="s">
        <v>21</v>
      </c>
      <c r="H64" t="s">
        <v>34</v>
      </c>
      <c r="I64" t="s">
        <v>34</v>
      </c>
      <c r="J64" t="s">
        <v>35</v>
      </c>
      <c r="K64" t="s">
        <v>34</v>
      </c>
      <c r="L64" t="s">
        <v>24</v>
      </c>
      <c r="M64">
        <v>92</v>
      </c>
      <c r="N64" t="s">
        <v>25</v>
      </c>
      <c r="O64" t="s">
        <v>796</v>
      </c>
      <c r="P64" t="s">
        <v>106</v>
      </c>
      <c r="Q64" t="s">
        <v>149</v>
      </c>
      <c r="R64">
        <v>2009</v>
      </c>
      <c r="S64" t="s">
        <v>797</v>
      </c>
      <c r="T64">
        <f>IF(IPL_Matches_2008_2020___New[[#This Row],[Toss Winner]]=IPL_Matches_2008_2020___New[[#This Row],[Winner]],1,0)</f>
        <v>1</v>
      </c>
      <c r="U64" t="s">
        <v>801</v>
      </c>
    </row>
    <row r="65" spans="1:21" x14ac:dyDescent="0.3">
      <c r="A65" t="s">
        <v>864</v>
      </c>
      <c r="B65" t="s">
        <v>150</v>
      </c>
      <c r="C65">
        <f>YEAR(IPL_Matches_2008_2020___New[[#This Row],[Date ]])</f>
        <v>2009</v>
      </c>
      <c r="D65" s="1">
        <v>39924</v>
      </c>
      <c r="E65" t="s">
        <v>152</v>
      </c>
      <c r="F65" t="s">
        <v>153</v>
      </c>
      <c r="G65" t="s">
        <v>800</v>
      </c>
      <c r="H65" t="s">
        <v>22</v>
      </c>
      <c r="I65" t="s">
        <v>22</v>
      </c>
      <c r="J65" t="s">
        <v>23</v>
      </c>
      <c r="K65" t="s">
        <v>22</v>
      </c>
      <c r="L65" t="s">
        <v>24</v>
      </c>
      <c r="M65">
        <v>11</v>
      </c>
      <c r="N65" t="s">
        <v>25</v>
      </c>
      <c r="O65" t="s">
        <v>115</v>
      </c>
      <c r="P65" t="s">
        <v>52</v>
      </c>
      <c r="Q65" t="s">
        <v>143</v>
      </c>
      <c r="R65">
        <v>2009</v>
      </c>
      <c r="S65" t="s">
        <v>797</v>
      </c>
      <c r="T65">
        <f>IF(IPL_Matches_2008_2020___New[[#This Row],[Toss Winner]]=IPL_Matches_2008_2020___New[[#This Row],[Winner]],1,0)</f>
        <v>1</v>
      </c>
      <c r="U65" t="s">
        <v>801</v>
      </c>
    </row>
    <row r="66" spans="1:21" x14ac:dyDescent="0.3">
      <c r="A66" t="s">
        <v>865</v>
      </c>
      <c r="B66" t="s">
        <v>136</v>
      </c>
      <c r="C66">
        <f>YEAR(IPL_Matches_2008_2020___New[[#This Row],[Date ]])</f>
        <v>2009</v>
      </c>
      <c r="D66" s="1">
        <v>39925</v>
      </c>
      <c r="E66" t="s">
        <v>82</v>
      </c>
      <c r="F66" t="s">
        <v>139</v>
      </c>
      <c r="G66" t="s">
        <v>21</v>
      </c>
      <c r="H66" t="s">
        <v>56</v>
      </c>
      <c r="I66" t="s">
        <v>56</v>
      </c>
      <c r="J66" t="s">
        <v>35</v>
      </c>
      <c r="K66" t="s">
        <v>56</v>
      </c>
      <c r="L66" t="s">
        <v>24</v>
      </c>
      <c r="M66">
        <v>24</v>
      </c>
      <c r="N66" t="s">
        <v>25</v>
      </c>
      <c r="O66" t="s">
        <v>796</v>
      </c>
      <c r="P66" t="s">
        <v>155</v>
      </c>
      <c r="Q66" t="s">
        <v>69</v>
      </c>
      <c r="R66">
        <v>2009</v>
      </c>
      <c r="S66" t="s">
        <v>797</v>
      </c>
      <c r="T66">
        <f>IF(IPL_Matches_2008_2020___New[[#This Row],[Toss Winner]]=IPL_Matches_2008_2020___New[[#This Row],[Winner]],1,0)</f>
        <v>1</v>
      </c>
      <c r="U66" t="s">
        <v>801</v>
      </c>
    </row>
    <row r="67" spans="1:21" x14ac:dyDescent="0.3">
      <c r="A67" t="s">
        <v>866</v>
      </c>
      <c r="B67" t="s">
        <v>150</v>
      </c>
      <c r="C67">
        <f>YEAR(IPL_Matches_2008_2020___New[[#This Row],[Date ]])</f>
        <v>2009</v>
      </c>
      <c r="D67" s="1">
        <v>39926</v>
      </c>
      <c r="E67" t="s">
        <v>157</v>
      </c>
      <c r="F67" t="s">
        <v>153</v>
      </c>
      <c r="G67" t="s">
        <v>34</v>
      </c>
      <c r="H67" t="s">
        <v>692</v>
      </c>
      <c r="I67" t="s">
        <v>692</v>
      </c>
      <c r="J67" t="s">
        <v>35</v>
      </c>
      <c r="K67" t="s">
        <v>692</v>
      </c>
      <c r="L67" t="s">
        <v>24</v>
      </c>
      <c r="M67">
        <v>9</v>
      </c>
      <c r="N67" t="s">
        <v>25</v>
      </c>
      <c r="O67" t="s">
        <v>796</v>
      </c>
      <c r="P67" t="s">
        <v>88</v>
      </c>
      <c r="Q67" t="s">
        <v>149</v>
      </c>
      <c r="R67">
        <v>2009</v>
      </c>
      <c r="S67" t="s">
        <v>797</v>
      </c>
      <c r="T67">
        <f>IF(IPL_Matches_2008_2020___New[[#This Row],[Toss Winner]]=IPL_Matches_2008_2020___New[[#This Row],[Winner]],1,0)</f>
        <v>1</v>
      </c>
      <c r="U67" t="s">
        <v>801</v>
      </c>
    </row>
    <row r="68" spans="1:21" x14ac:dyDescent="0.3">
      <c r="A68" t="s">
        <v>867</v>
      </c>
      <c r="B68" t="s">
        <v>150</v>
      </c>
      <c r="C68">
        <f>YEAR(IPL_Matches_2008_2020___New[[#This Row],[Date ]])</f>
        <v>2009</v>
      </c>
      <c r="D68" s="1">
        <v>39927</v>
      </c>
      <c r="E68" t="s">
        <v>161</v>
      </c>
      <c r="F68" t="s">
        <v>153</v>
      </c>
      <c r="G68" t="s">
        <v>21</v>
      </c>
      <c r="H68" t="s">
        <v>800</v>
      </c>
      <c r="I68" t="s">
        <v>21</v>
      </c>
      <c r="J68" t="s">
        <v>35</v>
      </c>
      <c r="K68" t="s">
        <v>800</v>
      </c>
      <c r="L68" t="s">
        <v>43</v>
      </c>
      <c r="M68">
        <v>7</v>
      </c>
      <c r="N68" t="s">
        <v>25</v>
      </c>
      <c r="O68" t="s">
        <v>796</v>
      </c>
      <c r="P68" t="s">
        <v>88</v>
      </c>
      <c r="Q68" t="s">
        <v>162</v>
      </c>
      <c r="R68">
        <v>2009</v>
      </c>
      <c r="S68" t="s">
        <v>803</v>
      </c>
      <c r="T68">
        <f>IF(IPL_Matches_2008_2020___New[[#This Row],[Toss Winner]]=IPL_Matches_2008_2020___New[[#This Row],[Winner]],1,0)</f>
        <v>0</v>
      </c>
      <c r="U68" t="s">
        <v>798</v>
      </c>
    </row>
    <row r="69" spans="1:21" x14ac:dyDescent="0.3">
      <c r="A69" t="s">
        <v>868</v>
      </c>
      <c r="B69" t="s">
        <v>150</v>
      </c>
      <c r="C69">
        <f>YEAR(IPL_Matches_2008_2020___New[[#This Row],[Date ]])</f>
        <v>2009</v>
      </c>
      <c r="D69" s="1">
        <v>39928</v>
      </c>
      <c r="E69" t="s">
        <v>164</v>
      </c>
      <c r="F69" t="s">
        <v>153</v>
      </c>
      <c r="G69" t="s">
        <v>56</v>
      </c>
      <c r="H69" t="s">
        <v>50</v>
      </c>
      <c r="I69" t="s">
        <v>56</v>
      </c>
      <c r="J69" t="s">
        <v>35</v>
      </c>
      <c r="K69" t="s">
        <v>56</v>
      </c>
      <c r="L69" t="s">
        <v>24</v>
      </c>
      <c r="M69">
        <v>12</v>
      </c>
      <c r="N69" t="s">
        <v>25</v>
      </c>
      <c r="O69" t="s">
        <v>796</v>
      </c>
      <c r="P69" t="s">
        <v>165</v>
      </c>
      <c r="Q69" t="s">
        <v>149</v>
      </c>
      <c r="R69">
        <v>2009</v>
      </c>
      <c r="S69" t="s">
        <v>797</v>
      </c>
      <c r="T69">
        <f>IF(IPL_Matches_2008_2020___New[[#This Row],[Toss Winner]]=IPL_Matches_2008_2020___New[[#This Row],[Winner]],1,0)</f>
        <v>1</v>
      </c>
      <c r="U69" t="s">
        <v>801</v>
      </c>
    </row>
    <row r="70" spans="1:21" x14ac:dyDescent="0.3">
      <c r="A70" t="s">
        <v>869</v>
      </c>
      <c r="B70" t="s">
        <v>145</v>
      </c>
      <c r="C70">
        <f>YEAR(IPL_Matches_2008_2020___New[[#This Row],[Date ]])</f>
        <v>2009</v>
      </c>
      <c r="D70" s="1">
        <v>39929</v>
      </c>
      <c r="E70" t="s">
        <v>167</v>
      </c>
      <c r="F70" t="s">
        <v>148</v>
      </c>
      <c r="G70" t="s">
        <v>21</v>
      </c>
      <c r="H70" t="s">
        <v>692</v>
      </c>
      <c r="I70" t="s">
        <v>21</v>
      </c>
      <c r="J70" t="s">
        <v>35</v>
      </c>
      <c r="K70" t="s">
        <v>692</v>
      </c>
      <c r="L70" t="s">
        <v>43</v>
      </c>
      <c r="M70">
        <v>6</v>
      </c>
      <c r="N70" t="s">
        <v>25</v>
      </c>
      <c r="O70" t="s">
        <v>796</v>
      </c>
      <c r="P70" t="s">
        <v>168</v>
      </c>
      <c r="Q70" t="s">
        <v>106</v>
      </c>
      <c r="R70">
        <v>2009</v>
      </c>
      <c r="S70" t="s">
        <v>803</v>
      </c>
      <c r="T70">
        <f>IF(IPL_Matches_2008_2020___New[[#This Row],[Toss Winner]]=IPL_Matches_2008_2020___New[[#This Row],[Winner]],1,0)</f>
        <v>0</v>
      </c>
      <c r="U70" t="s">
        <v>798</v>
      </c>
    </row>
    <row r="71" spans="1:21" x14ac:dyDescent="0.3">
      <c r="A71" t="s">
        <v>870</v>
      </c>
      <c r="B71" t="s">
        <v>136</v>
      </c>
      <c r="C71">
        <f>YEAR(IPL_Matches_2008_2020___New[[#This Row],[Date ]])</f>
        <v>2009</v>
      </c>
      <c r="D71" s="1">
        <v>39929</v>
      </c>
      <c r="E71" t="s">
        <v>77</v>
      </c>
      <c r="F71" t="s">
        <v>139</v>
      </c>
      <c r="G71" t="s">
        <v>800</v>
      </c>
      <c r="H71" t="s">
        <v>42</v>
      </c>
      <c r="I71" t="s">
        <v>800</v>
      </c>
      <c r="J71" t="s">
        <v>35</v>
      </c>
      <c r="K71" t="s">
        <v>800</v>
      </c>
      <c r="L71" t="s">
        <v>24</v>
      </c>
      <c r="M71">
        <v>27</v>
      </c>
      <c r="N71" t="s">
        <v>25</v>
      </c>
      <c r="O71" t="s">
        <v>796</v>
      </c>
      <c r="P71" t="s">
        <v>155</v>
      </c>
      <c r="Q71" t="s">
        <v>58</v>
      </c>
      <c r="R71">
        <v>2009</v>
      </c>
      <c r="S71" t="s">
        <v>797</v>
      </c>
      <c r="T71">
        <f>IF(IPL_Matches_2008_2020___New[[#This Row],[Toss Winner]]=IPL_Matches_2008_2020___New[[#This Row],[Winner]],1,0)</f>
        <v>1</v>
      </c>
      <c r="U71" t="s">
        <v>801</v>
      </c>
    </row>
    <row r="72" spans="1:21" x14ac:dyDescent="0.3">
      <c r="A72" t="s">
        <v>871</v>
      </c>
      <c r="B72" t="s">
        <v>150</v>
      </c>
      <c r="C72">
        <f>YEAR(IPL_Matches_2008_2020___New[[#This Row],[Date ]])</f>
        <v>2009</v>
      </c>
      <c r="D72" s="1">
        <v>39930</v>
      </c>
      <c r="E72" t="s">
        <v>170</v>
      </c>
      <c r="F72" t="s">
        <v>153</v>
      </c>
      <c r="G72" t="s">
        <v>34</v>
      </c>
      <c r="H72" t="s">
        <v>56</v>
      </c>
      <c r="I72" t="s">
        <v>56</v>
      </c>
      <c r="J72" t="s">
        <v>23</v>
      </c>
      <c r="K72" t="s">
        <v>56</v>
      </c>
      <c r="L72" t="s">
        <v>43</v>
      </c>
      <c r="M72">
        <v>6</v>
      </c>
      <c r="N72" t="s">
        <v>25</v>
      </c>
      <c r="O72" t="s">
        <v>796</v>
      </c>
      <c r="P72" t="s">
        <v>68</v>
      </c>
      <c r="Q72" t="s">
        <v>162</v>
      </c>
      <c r="R72">
        <v>2009</v>
      </c>
      <c r="S72" t="s">
        <v>803</v>
      </c>
      <c r="T72">
        <f>IF(IPL_Matches_2008_2020___New[[#This Row],[Toss Winner]]=IPL_Matches_2008_2020___New[[#This Row],[Winner]],1,0)</f>
        <v>1</v>
      </c>
      <c r="U72" t="s">
        <v>801</v>
      </c>
    </row>
    <row r="73" spans="1:21" x14ac:dyDescent="0.3">
      <c r="A73" t="s">
        <v>872</v>
      </c>
      <c r="B73" t="s">
        <v>145</v>
      </c>
      <c r="C73">
        <f>YEAR(IPL_Matches_2008_2020___New[[#This Row],[Date ]])</f>
        <v>2009</v>
      </c>
      <c r="D73" s="1">
        <v>39930</v>
      </c>
      <c r="E73" t="s">
        <v>138</v>
      </c>
      <c r="F73" t="s">
        <v>148</v>
      </c>
      <c r="G73" t="s">
        <v>22</v>
      </c>
      <c r="H73" t="s">
        <v>50</v>
      </c>
      <c r="I73" t="s">
        <v>50</v>
      </c>
      <c r="J73" t="s">
        <v>35</v>
      </c>
      <c r="K73" t="s">
        <v>50</v>
      </c>
      <c r="L73" t="s">
        <v>24</v>
      </c>
      <c r="M73">
        <v>92</v>
      </c>
      <c r="N73" t="s">
        <v>25</v>
      </c>
      <c r="O73" t="s">
        <v>796</v>
      </c>
      <c r="P73" t="s">
        <v>106</v>
      </c>
      <c r="Q73" t="s">
        <v>63</v>
      </c>
      <c r="R73">
        <v>2009</v>
      </c>
      <c r="S73" t="s">
        <v>797</v>
      </c>
      <c r="T73">
        <f>IF(IPL_Matches_2008_2020___New[[#This Row],[Toss Winner]]=IPL_Matches_2008_2020___New[[#This Row],[Winner]],1,0)</f>
        <v>1</v>
      </c>
      <c r="U73" t="s">
        <v>801</v>
      </c>
    </row>
    <row r="74" spans="1:21" x14ac:dyDescent="0.3">
      <c r="A74" t="s">
        <v>873</v>
      </c>
      <c r="B74" t="s">
        <v>171</v>
      </c>
      <c r="C74">
        <f>YEAR(IPL_Matches_2008_2020___New[[#This Row],[Date ]])</f>
        <v>2009</v>
      </c>
      <c r="D74" s="1">
        <v>39931</v>
      </c>
      <c r="E74" t="s">
        <v>75</v>
      </c>
      <c r="F74" t="s">
        <v>173</v>
      </c>
      <c r="G74" t="s">
        <v>692</v>
      </c>
      <c r="H74" t="s">
        <v>42</v>
      </c>
      <c r="I74" t="s">
        <v>692</v>
      </c>
      <c r="J74" t="s">
        <v>35</v>
      </c>
      <c r="K74" t="s">
        <v>42</v>
      </c>
      <c r="L74" t="s">
        <v>43</v>
      </c>
      <c r="M74">
        <v>5</v>
      </c>
      <c r="N74" t="s">
        <v>25</v>
      </c>
      <c r="O74" t="s">
        <v>796</v>
      </c>
      <c r="P74" t="s">
        <v>174</v>
      </c>
      <c r="Q74" t="s">
        <v>28</v>
      </c>
      <c r="R74">
        <v>2009</v>
      </c>
      <c r="S74" t="s">
        <v>803</v>
      </c>
      <c r="T74">
        <f>IF(IPL_Matches_2008_2020___New[[#This Row],[Toss Winner]]=IPL_Matches_2008_2020___New[[#This Row],[Winner]],1,0)</f>
        <v>0</v>
      </c>
      <c r="U74" t="s">
        <v>798</v>
      </c>
    </row>
    <row r="75" spans="1:21" x14ac:dyDescent="0.3">
      <c r="A75" t="s">
        <v>874</v>
      </c>
      <c r="B75" t="s">
        <v>150</v>
      </c>
      <c r="C75">
        <f>YEAR(IPL_Matches_2008_2020___New[[#This Row],[Date ]])</f>
        <v>2009</v>
      </c>
      <c r="D75" s="1">
        <v>39932</v>
      </c>
      <c r="E75" t="s">
        <v>48</v>
      </c>
      <c r="F75" t="s">
        <v>153</v>
      </c>
      <c r="G75" t="s">
        <v>21</v>
      </c>
      <c r="H75" t="s">
        <v>22</v>
      </c>
      <c r="I75" t="s">
        <v>22</v>
      </c>
      <c r="J75" t="s">
        <v>35</v>
      </c>
      <c r="K75" t="s">
        <v>21</v>
      </c>
      <c r="L75" t="s">
        <v>43</v>
      </c>
      <c r="M75">
        <v>5</v>
      </c>
      <c r="N75" t="s">
        <v>25</v>
      </c>
      <c r="O75" t="s">
        <v>796</v>
      </c>
      <c r="P75" t="s">
        <v>36</v>
      </c>
      <c r="Q75" t="s">
        <v>162</v>
      </c>
      <c r="R75">
        <v>2009</v>
      </c>
      <c r="S75" t="s">
        <v>803</v>
      </c>
      <c r="T75">
        <f>IF(IPL_Matches_2008_2020___New[[#This Row],[Toss Winner]]=IPL_Matches_2008_2020___New[[#This Row],[Winner]],1,0)</f>
        <v>0</v>
      </c>
      <c r="U75" t="s">
        <v>798</v>
      </c>
    </row>
    <row r="76" spans="1:21" x14ac:dyDescent="0.3">
      <c r="A76" t="s">
        <v>875</v>
      </c>
      <c r="B76" t="s">
        <v>150</v>
      </c>
      <c r="C76">
        <f>YEAR(IPL_Matches_2008_2020___New[[#This Row],[Date ]])</f>
        <v>2009</v>
      </c>
      <c r="D76" s="1">
        <v>39932</v>
      </c>
      <c r="E76" t="s">
        <v>77</v>
      </c>
      <c r="F76" t="s">
        <v>153</v>
      </c>
      <c r="G76" t="s">
        <v>800</v>
      </c>
      <c r="H76" t="s">
        <v>50</v>
      </c>
      <c r="I76" t="s">
        <v>800</v>
      </c>
      <c r="J76" t="s">
        <v>35</v>
      </c>
      <c r="K76" t="s">
        <v>800</v>
      </c>
      <c r="L76" t="s">
        <v>24</v>
      </c>
      <c r="M76">
        <v>3</v>
      </c>
      <c r="N76" t="s">
        <v>25</v>
      </c>
      <c r="O76" t="s">
        <v>796</v>
      </c>
      <c r="P76" t="s">
        <v>36</v>
      </c>
      <c r="Q76" t="s">
        <v>37</v>
      </c>
      <c r="R76">
        <v>2009</v>
      </c>
      <c r="S76" t="s">
        <v>797</v>
      </c>
      <c r="T76">
        <f>IF(IPL_Matches_2008_2020___New[[#This Row],[Toss Winner]]=IPL_Matches_2008_2020___New[[#This Row],[Winner]],1,0)</f>
        <v>1</v>
      </c>
      <c r="U76" t="s">
        <v>801</v>
      </c>
    </row>
    <row r="77" spans="1:21" x14ac:dyDescent="0.3">
      <c r="A77" t="s">
        <v>876</v>
      </c>
      <c r="B77" t="s">
        <v>171</v>
      </c>
      <c r="C77">
        <f>YEAR(IPL_Matches_2008_2020___New[[#This Row],[Date ]])</f>
        <v>2009</v>
      </c>
      <c r="D77" s="1">
        <v>39933</v>
      </c>
      <c r="E77" t="s">
        <v>177</v>
      </c>
      <c r="F77" t="s">
        <v>173</v>
      </c>
      <c r="G77" t="s">
        <v>56</v>
      </c>
      <c r="H77" t="s">
        <v>692</v>
      </c>
      <c r="I77" t="s">
        <v>692</v>
      </c>
      <c r="J77" t="s">
        <v>23</v>
      </c>
      <c r="K77" t="s">
        <v>692</v>
      </c>
      <c r="L77" t="s">
        <v>43</v>
      </c>
      <c r="M77">
        <v>6</v>
      </c>
      <c r="N77" t="s">
        <v>25</v>
      </c>
      <c r="O77" t="s">
        <v>796</v>
      </c>
      <c r="P77" t="s">
        <v>174</v>
      </c>
      <c r="Q77" t="s">
        <v>69</v>
      </c>
      <c r="R77">
        <v>2009</v>
      </c>
      <c r="S77" t="s">
        <v>803</v>
      </c>
      <c r="T77">
        <f>IF(IPL_Matches_2008_2020___New[[#This Row],[Toss Winner]]=IPL_Matches_2008_2020___New[[#This Row],[Winner]],1,0)</f>
        <v>1</v>
      </c>
      <c r="U77" t="s">
        <v>801</v>
      </c>
    </row>
    <row r="78" spans="1:21" x14ac:dyDescent="0.3">
      <c r="A78" t="s">
        <v>877</v>
      </c>
      <c r="B78" t="s">
        <v>171</v>
      </c>
      <c r="C78">
        <f>YEAR(IPL_Matches_2008_2020___New[[#This Row],[Date ]])</f>
        <v>2009</v>
      </c>
      <c r="D78" s="1">
        <v>39933</v>
      </c>
      <c r="E78" t="s">
        <v>133</v>
      </c>
      <c r="F78" t="s">
        <v>173</v>
      </c>
      <c r="G78" t="s">
        <v>34</v>
      </c>
      <c r="H78" t="s">
        <v>42</v>
      </c>
      <c r="I78" t="s">
        <v>42</v>
      </c>
      <c r="J78" t="s">
        <v>23</v>
      </c>
      <c r="K78" t="s">
        <v>34</v>
      </c>
      <c r="L78" t="s">
        <v>24</v>
      </c>
      <c r="M78">
        <v>38</v>
      </c>
      <c r="N78" t="s">
        <v>25</v>
      </c>
      <c r="O78" t="s">
        <v>796</v>
      </c>
      <c r="P78" t="s">
        <v>174</v>
      </c>
      <c r="Q78" t="s">
        <v>28</v>
      </c>
      <c r="R78">
        <v>2009</v>
      </c>
      <c r="S78" t="s">
        <v>797</v>
      </c>
      <c r="T78">
        <f>IF(IPL_Matches_2008_2020___New[[#This Row],[Toss Winner]]=IPL_Matches_2008_2020___New[[#This Row],[Winner]],1,0)</f>
        <v>0</v>
      </c>
      <c r="U78" t="s">
        <v>798</v>
      </c>
    </row>
    <row r="79" spans="1:21" x14ac:dyDescent="0.3">
      <c r="A79" t="s">
        <v>878</v>
      </c>
      <c r="B79" t="s">
        <v>178</v>
      </c>
      <c r="C79">
        <f>YEAR(IPL_Matches_2008_2020___New[[#This Row],[Date ]])</f>
        <v>2009</v>
      </c>
      <c r="D79" s="1">
        <v>39934</v>
      </c>
      <c r="E79" t="s">
        <v>179</v>
      </c>
      <c r="F79" t="s">
        <v>180</v>
      </c>
      <c r="G79" t="s">
        <v>22</v>
      </c>
      <c r="H79" t="s">
        <v>50</v>
      </c>
      <c r="I79" t="s">
        <v>50</v>
      </c>
      <c r="J79" t="s">
        <v>35</v>
      </c>
      <c r="K79" t="s">
        <v>50</v>
      </c>
      <c r="L79" t="s">
        <v>24</v>
      </c>
      <c r="M79">
        <v>9</v>
      </c>
      <c r="N79" t="s">
        <v>25</v>
      </c>
      <c r="O79" t="s">
        <v>796</v>
      </c>
      <c r="P79" t="s">
        <v>155</v>
      </c>
      <c r="Q79" t="s">
        <v>181</v>
      </c>
      <c r="R79">
        <v>2009</v>
      </c>
      <c r="S79" t="s">
        <v>797</v>
      </c>
      <c r="T79">
        <f>IF(IPL_Matches_2008_2020___New[[#This Row],[Toss Winner]]=IPL_Matches_2008_2020___New[[#This Row],[Winner]],1,0)</f>
        <v>1</v>
      </c>
      <c r="U79" t="s">
        <v>801</v>
      </c>
    </row>
    <row r="80" spans="1:21" x14ac:dyDescent="0.3">
      <c r="A80" t="s">
        <v>879</v>
      </c>
      <c r="B80" t="s">
        <v>150</v>
      </c>
      <c r="C80">
        <f>YEAR(IPL_Matches_2008_2020___New[[#This Row],[Date ]])</f>
        <v>2009</v>
      </c>
      <c r="D80" s="1">
        <v>39934</v>
      </c>
      <c r="E80" t="s">
        <v>182</v>
      </c>
      <c r="F80" t="s">
        <v>153</v>
      </c>
      <c r="G80" t="s">
        <v>21</v>
      </c>
      <c r="H80" t="s">
        <v>800</v>
      </c>
      <c r="I80" t="s">
        <v>21</v>
      </c>
      <c r="J80" t="s">
        <v>35</v>
      </c>
      <c r="K80" t="s">
        <v>21</v>
      </c>
      <c r="L80" t="s">
        <v>24</v>
      </c>
      <c r="M80">
        <v>8</v>
      </c>
      <c r="N80" t="s">
        <v>25</v>
      </c>
      <c r="O80" t="s">
        <v>796</v>
      </c>
      <c r="P80" t="s">
        <v>165</v>
      </c>
      <c r="Q80" t="s">
        <v>183</v>
      </c>
      <c r="R80">
        <v>2009</v>
      </c>
      <c r="S80" t="s">
        <v>797</v>
      </c>
      <c r="T80">
        <f>IF(IPL_Matches_2008_2020___New[[#This Row],[Toss Winner]]=IPL_Matches_2008_2020___New[[#This Row],[Winner]],1,0)</f>
        <v>1</v>
      </c>
      <c r="U80" t="s">
        <v>801</v>
      </c>
    </row>
    <row r="81" spans="1:21" x14ac:dyDescent="0.3">
      <c r="A81" t="s">
        <v>880</v>
      </c>
      <c r="B81" t="s">
        <v>145</v>
      </c>
      <c r="C81">
        <f>YEAR(IPL_Matches_2008_2020___New[[#This Row],[Date ]])</f>
        <v>2009</v>
      </c>
      <c r="D81" s="1">
        <v>39935</v>
      </c>
      <c r="E81" t="s">
        <v>75</v>
      </c>
      <c r="F81" t="s">
        <v>148</v>
      </c>
      <c r="G81" t="s">
        <v>56</v>
      </c>
      <c r="H81" t="s">
        <v>42</v>
      </c>
      <c r="I81" t="s">
        <v>56</v>
      </c>
      <c r="J81" t="s">
        <v>35</v>
      </c>
      <c r="K81" t="s">
        <v>42</v>
      </c>
      <c r="L81" t="s">
        <v>43</v>
      </c>
      <c r="M81">
        <v>3</v>
      </c>
      <c r="N81" t="s">
        <v>25</v>
      </c>
      <c r="O81" t="s">
        <v>796</v>
      </c>
      <c r="P81" t="s">
        <v>168</v>
      </c>
      <c r="Q81" t="s">
        <v>106</v>
      </c>
      <c r="R81">
        <v>2009</v>
      </c>
      <c r="S81" t="s">
        <v>803</v>
      </c>
      <c r="T81">
        <f>IF(IPL_Matches_2008_2020___New[[#This Row],[Toss Winner]]=IPL_Matches_2008_2020___New[[#This Row],[Winner]],1,0)</f>
        <v>0</v>
      </c>
      <c r="U81" t="s">
        <v>798</v>
      </c>
    </row>
    <row r="82" spans="1:21" x14ac:dyDescent="0.3">
      <c r="A82" t="s">
        <v>881</v>
      </c>
      <c r="B82" t="s">
        <v>184</v>
      </c>
      <c r="C82">
        <f>YEAR(IPL_Matches_2008_2020___New[[#This Row],[Date ]])</f>
        <v>2009</v>
      </c>
      <c r="D82" s="1">
        <v>39935</v>
      </c>
      <c r="E82" t="s">
        <v>185</v>
      </c>
      <c r="F82" t="s">
        <v>186</v>
      </c>
      <c r="G82" t="s">
        <v>34</v>
      </c>
      <c r="H82" t="s">
        <v>692</v>
      </c>
      <c r="I82" t="s">
        <v>692</v>
      </c>
      <c r="J82" t="s">
        <v>23</v>
      </c>
      <c r="K82" t="s">
        <v>34</v>
      </c>
      <c r="L82" t="s">
        <v>24</v>
      </c>
      <c r="M82">
        <v>18</v>
      </c>
      <c r="N82" t="s">
        <v>25</v>
      </c>
      <c r="O82" t="s">
        <v>796</v>
      </c>
      <c r="P82" t="s">
        <v>52</v>
      </c>
      <c r="Q82" t="s">
        <v>28</v>
      </c>
      <c r="R82">
        <v>2009</v>
      </c>
      <c r="S82" t="s">
        <v>797</v>
      </c>
      <c r="T82">
        <f>IF(IPL_Matches_2008_2020___New[[#This Row],[Toss Winner]]=IPL_Matches_2008_2020___New[[#This Row],[Winner]],1,0)</f>
        <v>0</v>
      </c>
      <c r="U82" t="s">
        <v>798</v>
      </c>
    </row>
    <row r="83" spans="1:21" x14ac:dyDescent="0.3">
      <c r="A83" t="s">
        <v>882</v>
      </c>
      <c r="B83" t="s">
        <v>145</v>
      </c>
      <c r="C83">
        <f>YEAR(IPL_Matches_2008_2020___New[[#This Row],[Date ]])</f>
        <v>2009</v>
      </c>
      <c r="D83" s="1">
        <v>39936</v>
      </c>
      <c r="E83" t="s">
        <v>114</v>
      </c>
      <c r="F83" t="s">
        <v>148</v>
      </c>
      <c r="G83" t="s">
        <v>800</v>
      </c>
      <c r="H83" t="s">
        <v>22</v>
      </c>
      <c r="I83" t="s">
        <v>22</v>
      </c>
      <c r="J83" t="s">
        <v>35</v>
      </c>
      <c r="K83" t="s">
        <v>800</v>
      </c>
      <c r="L83" t="s">
        <v>43</v>
      </c>
      <c r="M83">
        <v>6</v>
      </c>
      <c r="N83" t="s">
        <v>25</v>
      </c>
      <c r="O83" t="s">
        <v>796</v>
      </c>
      <c r="P83" t="s">
        <v>168</v>
      </c>
      <c r="Q83" t="s">
        <v>36</v>
      </c>
      <c r="R83">
        <v>2009</v>
      </c>
      <c r="S83" t="s">
        <v>803</v>
      </c>
      <c r="T83">
        <f>IF(IPL_Matches_2008_2020___New[[#This Row],[Toss Winner]]=IPL_Matches_2008_2020___New[[#This Row],[Winner]],1,0)</f>
        <v>0</v>
      </c>
      <c r="U83" t="s">
        <v>798</v>
      </c>
    </row>
    <row r="84" spans="1:21" x14ac:dyDescent="0.3">
      <c r="A84" t="s">
        <v>883</v>
      </c>
      <c r="B84" t="s">
        <v>184</v>
      </c>
      <c r="C84">
        <f>YEAR(IPL_Matches_2008_2020___New[[#This Row],[Date ]])</f>
        <v>2009</v>
      </c>
      <c r="D84" s="1">
        <v>39936</v>
      </c>
      <c r="E84" t="s">
        <v>187</v>
      </c>
      <c r="F84" t="s">
        <v>186</v>
      </c>
      <c r="G84" t="s">
        <v>21</v>
      </c>
      <c r="H84" t="s">
        <v>50</v>
      </c>
      <c r="I84" t="s">
        <v>50</v>
      </c>
      <c r="J84" t="s">
        <v>35</v>
      </c>
      <c r="K84" t="s">
        <v>21</v>
      </c>
      <c r="L84" t="s">
        <v>43</v>
      </c>
      <c r="M84">
        <v>9</v>
      </c>
      <c r="N84" t="s">
        <v>25</v>
      </c>
      <c r="O84" t="s">
        <v>796</v>
      </c>
      <c r="P84" t="s">
        <v>28</v>
      </c>
      <c r="Q84" t="s">
        <v>162</v>
      </c>
      <c r="R84">
        <v>2009</v>
      </c>
      <c r="S84" t="s">
        <v>803</v>
      </c>
      <c r="T84">
        <f>IF(IPL_Matches_2008_2020___New[[#This Row],[Toss Winner]]=IPL_Matches_2008_2020___New[[#This Row],[Winner]],1,0)</f>
        <v>0</v>
      </c>
      <c r="U84" t="s">
        <v>798</v>
      </c>
    </row>
    <row r="85" spans="1:21" x14ac:dyDescent="0.3">
      <c r="A85" t="s">
        <v>884</v>
      </c>
      <c r="B85" t="s">
        <v>178</v>
      </c>
      <c r="C85">
        <f>YEAR(IPL_Matches_2008_2020___New[[#This Row],[Date ]])</f>
        <v>2009</v>
      </c>
      <c r="D85" s="1">
        <v>39937</v>
      </c>
      <c r="E85" t="s">
        <v>87</v>
      </c>
      <c r="F85" t="s">
        <v>180</v>
      </c>
      <c r="G85" t="s">
        <v>34</v>
      </c>
      <c r="H85" t="s">
        <v>56</v>
      </c>
      <c r="I85" t="s">
        <v>34</v>
      </c>
      <c r="J85" t="s">
        <v>35</v>
      </c>
      <c r="K85" t="s">
        <v>34</v>
      </c>
      <c r="L85" t="s">
        <v>24</v>
      </c>
      <c r="M85">
        <v>78</v>
      </c>
      <c r="N85" t="s">
        <v>25</v>
      </c>
      <c r="O85" t="s">
        <v>796</v>
      </c>
      <c r="P85" t="s">
        <v>88</v>
      </c>
      <c r="Q85" t="s">
        <v>155</v>
      </c>
      <c r="R85">
        <v>2009</v>
      </c>
      <c r="S85" t="s">
        <v>797</v>
      </c>
      <c r="T85">
        <f>IF(IPL_Matches_2008_2020___New[[#This Row],[Toss Winner]]=IPL_Matches_2008_2020___New[[#This Row],[Winner]],1,0)</f>
        <v>1</v>
      </c>
      <c r="U85" t="s">
        <v>801</v>
      </c>
    </row>
    <row r="86" spans="1:21" x14ac:dyDescent="0.3">
      <c r="A86" t="s">
        <v>885</v>
      </c>
      <c r="B86" t="s">
        <v>150</v>
      </c>
      <c r="C86">
        <f>YEAR(IPL_Matches_2008_2020___New[[#This Row],[Date ]])</f>
        <v>2009</v>
      </c>
      <c r="D86" s="1">
        <v>39938</v>
      </c>
      <c r="E86" t="s">
        <v>116</v>
      </c>
      <c r="F86" t="s">
        <v>153</v>
      </c>
      <c r="G86" t="s">
        <v>800</v>
      </c>
      <c r="H86" t="s">
        <v>42</v>
      </c>
      <c r="I86" t="s">
        <v>800</v>
      </c>
      <c r="J86" t="s">
        <v>23</v>
      </c>
      <c r="K86" t="s">
        <v>42</v>
      </c>
      <c r="L86" t="s">
        <v>24</v>
      </c>
      <c r="M86">
        <v>78</v>
      </c>
      <c r="N86" t="s">
        <v>25</v>
      </c>
      <c r="O86" t="s">
        <v>796</v>
      </c>
      <c r="P86" t="s">
        <v>188</v>
      </c>
      <c r="Q86" t="s">
        <v>68</v>
      </c>
      <c r="R86">
        <v>2009</v>
      </c>
      <c r="S86" t="s">
        <v>797</v>
      </c>
      <c r="T86">
        <f>IF(IPL_Matches_2008_2020___New[[#This Row],[Toss Winner]]=IPL_Matches_2008_2020___New[[#This Row],[Winner]],1,0)</f>
        <v>0</v>
      </c>
      <c r="U86" t="s">
        <v>798</v>
      </c>
    </row>
    <row r="87" spans="1:21" x14ac:dyDescent="0.3">
      <c r="A87" t="s">
        <v>886</v>
      </c>
      <c r="B87" t="s">
        <v>150</v>
      </c>
      <c r="C87">
        <f>YEAR(IPL_Matches_2008_2020___New[[#This Row],[Date ]])</f>
        <v>2009</v>
      </c>
      <c r="D87" s="1">
        <v>39938</v>
      </c>
      <c r="E87" t="s">
        <v>189</v>
      </c>
      <c r="F87" t="s">
        <v>153</v>
      </c>
      <c r="G87" t="s">
        <v>692</v>
      </c>
      <c r="H87" t="s">
        <v>22</v>
      </c>
      <c r="I87" t="s">
        <v>22</v>
      </c>
      <c r="J87" t="s">
        <v>35</v>
      </c>
      <c r="K87" t="s">
        <v>692</v>
      </c>
      <c r="L87" t="s">
        <v>43</v>
      </c>
      <c r="M87">
        <v>9</v>
      </c>
      <c r="N87" t="s">
        <v>25</v>
      </c>
      <c r="O87" t="s">
        <v>796</v>
      </c>
      <c r="P87" t="s">
        <v>174</v>
      </c>
      <c r="Q87" t="s">
        <v>68</v>
      </c>
      <c r="R87">
        <v>2009</v>
      </c>
      <c r="S87" t="s">
        <v>803</v>
      </c>
      <c r="T87">
        <f>IF(IPL_Matches_2008_2020___New[[#This Row],[Toss Winner]]=IPL_Matches_2008_2020___New[[#This Row],[Winner]],1,0)</f>
        <v>0</v>
      </c>
      <c r="U87" t="s">
        <v>798</v>
      </c>
    </row>
    <row r="88" spans="1:21" x14ac:dyDescent="0.3">
      <c r="A88" t="s">
        <v>887</v>
      </c>
      <c r="B88" t="s">
        <v>171</v>
      </c>
      <c r="C88">
        <f>YEAR(IPL_Matches_2008_2020___New[[#This Row],[Date ]])</f>
        <v>2009</v>
      </c>
      <c r="D88" s="1">
        <v>39939</v>
      </c>
      <c r="E88" t="s">
        <v>190</v>
      </c>
      <c r="F88" t="s">
        <v>173</v>
      </c>
      <c r="G88" t="s">
        <v>56</v>
      </c>
      <c r="H88" t="s">
        <v>50</v>
      </c>
      <c r="I88" t="s">
        <v>56</v>
      </c>
      <c r="J88" t="s">
        <v>35</v>
      </c>
      <c r="K88" t="s">
        <v>56</v>
      </c>
      <c r="L88" t="s">
        <v>24</v>
      </c>
      <c r="M88">
        <v>19</v>
      </c>
      <c r="N88" t="s">
        <v>25</v>
      </c>
      <c r="O88" t="s">
        <v>796</v>
      </c>
      <c r="P88" t="s">
        <v>36</v>
      </c>
      <c r="Q88" t="s">
        <v>165</v>
      </c>
      <c r="R88">
        <v>2009</v>
      </c>
      <c r="S88" t="s">
        <v>797</v>
      </c>
      <c r="T88">
        <f>IF(IPL_Matches_2008_2020___New[[#This Row],[Toss Winner]]=IPL_Matches_2008_2020___New[[#This Row],[Winner]],1,0)</f>
        <v>1</v>
      </c>
      <c r="U88" t="s">
        <v>801</v>
      </c>
    </row>
    <row r="89" spans="1:21" x14ac:dyDescent="0.3">
      <c r="A89" t="s">
        <v>888</v>
      </c>
      <c r="B89" t="s">
        <v>171</v>
      </c>
      <c r="C89">
        <f>YEAR(IPL_Matches_2008_2020___New[[#This Row],[Date ]])</f>
        <v>2009</v>
      </c>
      <c r="D89" s="1">
        <v>39940</v>
      </c>
      <c r="E89" t="s">
        <v>191</v>
      </c>
      <c r="F89" t="s">
        <v>173</v>
      </c>
      <c r="G89" t="s">
        <v>21</v>
      </c>
      <c r="H89" t="s">
        <v>42</v>
      </c>
      <c r="I89" t="s">
        <v>42</v>
      </c>
      <c r="J89" t="s">
        <v>23</v>
      </c>
      <c r="K89" t="s">
        <v>42</v>
      </c>
      <c r="L89" t="s">
        <v>43</v>
      </c>
      <c r="M89">
        <v>7</v>
      </c>
      <c r="N89" t="s">
        <v>25</v>
      </c>
      <c r="O89" t="s">
        <v>796</v>
      </c>
      <c r="P89" t="s">
        <v>58</v>
      </c>
      <c r="Q89" t="s">
        <v>52</v>
      </c>
      <c r="R89">
        <v>2009</v>
      </c>
      <c r="S89" t="s">
        <v>803</v>
      </c>
      <c r="T89">
        <f>IF(IPL_Matches_2008_2020___New[[#This Row],[Toss Winner]]=IPL_Matches_2008_2020___New[[#This Row],[Winner]],1,0)</f>
        <v>1</v>
      </c>
      <c r="U89" t="s">
        <v>801</v>
      </c>
    </row>
    <row r="90" spans="1:21" x14ac:dyDescent="0.3">
      <c r="A90" t="s">
        <v>889</v>
      </c>
      <c r="B90" t="s">
        <v>171</v>
      </c>
      <c r="C90">
        <f>YEAR(IPL_Matches_2008_2020___New[[#This Row],[Date ]])</f>
        <v>2009</v>
      </c>
      <c r="D90" s="1">
        <v>39940</v>
      </c>
      <c r="E90" t="s">
        <v>72</v>
      </c>
      <c r="F90" t="s">
        <v>173</v>
      </c>
      <c r="G90" t="s">
        <v>34</v>
      </c>
      <c r="H90" t="s">
        <v>800</v>
      </c>
      <c r="I90" t="s">
        <v>34</v>
      </c>
      <c r="J90" t="s">
        <v>35</v>
      </c>
      <c r="K90" t="s">
        <v>34</v>
      </c>
      <c r="L90" t="s">
        <v>24</v>
      </c>
      <c r="M90">
        <v>12</v>
      </c>
      <c r="N90" t="s">
        <v>25</v>
      </c>
      <c r="O90" t="s">
        <v>115</v>
      </c>
      <c r="P90" t="s">
        <v>52</v>
      </c>
      <c r="Q90" t="s">
        <v>162</v>
      </c>
      <c r="R90">
        <v>2009</v>
      </c>
      <c r="S90" t="s">
        <v>797</v>
      </c>
      <c r="T90">
        <f>IF(IPL_Matches_2008_2020___New[[#This Row],[Toss Winner]]=IPL_Matches_2008_2020___New[[#This Row],[Winner]],1,0)</f>
        <v>1</v>
      </c>
      <c r="U90" t="s">
        <v>801</v>
      </c>
    </row>
    <row r="91" spans="1:21" x14ac:dyDescent="0.3">
      <c r="A91" t="s">
        <v>890</v>
      </c>
      <c r="B91" t="s">
        <v>178</v>
      </c>
      <c r="C91">
        <f>YEAR(IPL_Matches_2008_2020___New[[#This Row],[Date ]])</f>
        <v>2009</v>
      </c>
      <c r="D91" s="1">
        <v>39941</v>
      </c>
      <c r="E91" t="s">
        <v>101</v>
      </c>
      <c r="F91" t="s">
        <v>180</v>
      </c>
      <c r="G91" t="s">
        <v>692</v>
      </c>
      <c r="H91" t="s">
        <v>50</v>
      </c>
      <c r="I91" t="s">
        <v>50</v>
      </c>
      <c r="J91" t="s">
        <v>35</v>
      </c>
      <c r="K91" t="s">
        <v>692</v>
      </c>
      <c r="L91" t="s">
        <v>43</v>
      </c>
      <c r="M91">
        <v>7</v>
      </c>
      <c r="N91" t="s">
        <v>25</v>
      </c>
      <c r="O91" t="s">
        <v>796</v>
      </c>
      <c r="P91" t="s">
        <v>155</v>
      </c>
      <c r="Q91" t="s">
        <v>181</v>
      </c>
      <c r="R91">
        <v>2009</v>
      </c>
      <c r="S91" t="s">
        <v>803</v>
      </c>
      <c r="T91">
        <f>IF(IPL_Matches_2008_2020___New[[#This Row],[Toss Winner]]=IPL_Matches_2008_2020___New[[#This Row],[Winner]],1,0)</f>
        <v>0</v>
      </c>
      <c r="U91" t="s">
        <v>798</v>
      </c>
    </row>
    <row r="92" spans="1:21" x14ac:dyDescent="0.3">
      <c r="A92" t="s">
        <v>891</v>
      </c>
      <c r="B92" t="s">
        <v>192</v>
      </c>
      <c r="C92">
        <f>YEAR(IPL_Matches_2008_2020___New[[#This Row],[Date ]])</f>
        <v>2009</v>
      </c>
      <c r="D92" s="1">
        <v>39942</v>
      </c>
      <c r="E92" t="s">
        <v>114</v>
      </c>
      <c r="F92" t="s">
        <v>193</v>
      </c>
      <c r="G92" t="s">
        <v>56</v>
      </c>
      <c r="H92" t="s">
        <v>800</v>
      </c>
      <c r="I92" t="s">
        <v>800</v>
      </c>
      <c r="J92" t="s">
        <v>23</v>
      </c>
      <c r="K92" t="s">
        <v>800</v>
      </c>
      <c r="L92" t="s">
        <v>43</v>
      </c>
      <c r="M92">
        <v>3</v>
      </c>
      <c r="N92" t="s">
        <v>25</v>
      </c>
      <c r="O92" t="s">
        <v>796</v>
      </c>
      <c r="P92" t="s">
        <v>174</v>
      </c>
      <c r="Q92" t="s">
        <v>69</v>
      </c>
      <c r="R92">
        <v>2009</v>
      </c>
      <c r="S92" t="s">
        <v>803</v>
      </c>
      <c r="T92">
        <f>IF(IPL_Matches_2008_2020___New[[#This Row],[Toss Winner]]=IPL_Matches_2008_2020___New[[#This Row],[Winner]],1,0)</f>
        <v>1</v>
      </c>
      <c r="U92" t="s">
        <v>801</v>
      </c>
    </row>
    <row r="93" spans="1:21" x14ac:dyDescent="0.3">
      <c r="A93" t="s">
        <v>892</v>
      </c>
      <c r="B93" t="s">
        <v>192</v>
      </c>
      <c r="C93">
        <f>YEAR(IPL_Matches_2008_2020___New[[#This Row],[Date ]])</f>
        <v>2009</v>
      </c>
      <c r="D93" s="1">
        <v>39942</v>
      </c>
      <c r="E93" t="s">
        <v>194</v>
      </c>
      <c r="F93" t="s">
        <v>193</v>
      </c>
      <c r="G93" t="s">
        <v>34</v>
      </c>
      <c r="H93" t="s">
        <v>42</v>
      </c>
      <c r="I93" t="s">
        <v>42</v>
      </c>
      <c r="J93" t="s">
        <v>35</v>
      </c>
      <c r="K93" t="s">
        <v>34</v>
      </c>
      <c r="L93" t="s">
        <v>43</v>
      </c>
      <c r="M93">
        <v>7</v>
      </c>
      <c r="N93" t="s">
        <v>25</v>
      </c>
      <c r="O93" t="s">
        <v>796</v>
      </c>
      <c r="P93" t="s">
        <v>174</v>
      </c>
      <c r="Q93" t="s">
        <v>165</v>
      </c>
      <c r="R93">
        <v>2009</v>
      </c>
      <c r="S93" t="s">
        <v>803</v>
      </c>
      <c r="T93">
        <f>IF(IPL_Matches_2008_2020___New[[#This Row],[Toss Winner]]=IPL_Matches_2008_2020___New[[#This Row],[Winner]],1,0)</f>
        <v>0</v>
      </c>
      <c r="U93" t="s">
        <v>798</v>
      </c>
    </row>
    <row r="94" spans="1:21" x14ac:dyDescent="0.3">
      <c r="A94" t="s">
        <v>893</v>
      </c>
      <c r="B94" t="s">
        <v>145</v>
      </c>
      <c r="C94">
        <f>YEAR(IPL_Matches_2008_2020___New[[#This Row],[Date ]])</f>
        <v>2009</v>
      </c>
      <c r="D94" s="1">
        <v>39943</v>
      </c>
      <c r="E94" t="s">
        <v>179</v>
      </c>
      <c r="F94" t="s">
        <v>148</v>
      </c>
      <c r="G94" t="s">
        <v>21</v>
      </c>
      <c r="H94" t="s">
        <v>50</v>
      </c>
      <c r="I94" t="s">
        <v>50</v>
      </c>
      <c r="J94" t="s">
        <v>35</v>
      </c>
      <c r="K94" t="s">
        <v>50</v>
      </c>
      <c r="L94" t="s">
        <v>24</v>
      </c>
      <c r="M94">
        <v>16</v>
      </c>
      <c r="N94" t="s">
        <v>25</v>
      </c>
      <c r="O94" t="s">
        <v>796</v>
      </c>
      <c r="P94" t="s">
        <v>88</v>
      </c>
      <c r="Q94" t="s">
        <v>106</v>
      </c>
      <c r="R94">
        <v>2009</v>
      </c>
      <c r="S94" t="s">
        <v>797</v>
      </c>
      <c r="T94">
        <f>IF(IPL_Matches_2008_2020___New[[#This Row],[Toss Winner]]=IPL_Matches_2008_2020___New[[#This Row],[Winner]],1,0)</f>
        <v>1</v>
      </c>
      <c r="U94" t="s">
        <v>801</v>
      </c>
    </row>
    <row r="95" spans="1:21" x14ac:dyDescent="0.3">
      <c r="A95" t="s">
        <v>894</v>
      </c>
      <c r="B95" t="s">
        <v>184</v>
      </c>
      <c r="C95">
        <f>YEAR(IPL_Matches_2008_2020___New[[#This Row],[Date ]])</f>
        <v>2009</v>
      </c>
      <c r="D95" s="1">
        <v>39943</v>
      </c>
      <c r="E95" t="s">
        <v>111</v>
      </c>
      <c r="F95" t="s">
        <v>186</v>
      </c>
      <c r="G95" t="s">
        <v>692</v>
      </c>
      <c r="H95" t="s">
        <v>22</v>
      </c>
      <c r="I95" t="s">
        <v>692</v>
      </c>
      <c r="J95" t="s">
        <v>23</v>
      </c>
      <c r="K95" t="s">
        <v>692</v>
      </c>
      <c r="L95" t="s">
        <v>43</v>
      </c>
      <c r="M95">
        <v>7</v>
      </c>
      <c r="N95" t="s">
        <v>25</v>
      </c>
      <c r="O95" t="s">
        <v>796</v>
      </c>
      <c r="P95" t="s">
        <v>37</v>
      </c>
      <c r="Q95" t="s">
        <v>63</v>
      </c>
      <c r="R95">
        <v>2009</v>
      </c>
      <c r="S95" t="s">
        <v>803</v>
      </c>
      <c r="T95">
        <f>IF(IPL_Matches_2008_2020___New[[#This Row],[Toss Winner]]=IPL_Matches_2008_2020___New[[#This Row],[Winner]],1,0)</f>
        <v>1</v>
      </c>
      <c r="U95" t="s">
        <v>801</v>
      </c>
    </row>
    <row r="96" spans="1:21" x14ac:dyDescent="0.3">
      <c r="A96" t="s">
        <v>895</v>
      </c>
      <c r="B96" t="s">
        <v>192</v>
      </c>
      <c r="C96">
        <f>YEAR(IPL_Matches_2008_2020___New[[#This Row],[Date ]])</f>
        <v>2009</v>
      </c>
      <c r="D96" s="1">
        <v>39944</v>
      </c>
      <c r="E96" t="s">
        <v>195</v>
      </c>
      <c r="F96" t="s">
        <v>193</v>
      </c>
      <c r="G96" t="s">
        <v>56</v>
      </c>
      <c r="H96" t="s">
        <v>42</v>
      </c>
      <c r="I96" t="s">
        <v>56</v>
      </c>
      <c r="J96" t="s">
        <v>35</v>
      </c>
      <c r="K96" t="s">
        <v>56</v>
      </c>
      <c r="L96" t="s">
        <v>24</v>
      </c>
      <c r="M96">
        <v>53</v>
      </c>
      <c r="N96" t="s">
        <v>25</v>
      </c>
      <c r="O96" t="s">
        <v>796</v>
      </c>
      <c r="P96" t="s">
        <v>174</v>
      </c>
      <c r="Q96" t="s">
        <v>165</v>
      </c>
      <c r="R96">
        <v>2009</v>
      </c>
      <c r="S96" t="s">
        <v>797</v>
      </c>
      <c r="T96">
        <f>IF(IPL_Matches_2008_2020___New[[#This Row],[Toss Winner]]=IPL_Matches_2008_2020___New[[#This Row],[Winner]],1,0)</f>
        <v>1</v>
      </c>
      <c r="U96" t="s">
        <v>801</v>
      </c>
    </row>
    <row r="97" spans="1:21" x14ac:dyDescent="0.3">
      <c r="A97" t="s">
        <v>896</v>
      </c>
      <c r="B97" t="s">
        <v>171</v>
      </c>
      <c r="C97">
        <f>YEAR(IPL_Matches_2008_2020___New[[#This Row],[Date ]])</f>
        <v>2009</v>
      </c>
      <c r="D97" s="1">
        <v>39945</v>
      </c>
      <c r="E97" t="s">
        <v>196</v>
      </c>
      <c r="F97" t="s">
        <v>173</v>
      </c>
      <c r="G97" t="s">
        <v>21</v>
      </c>
      <c r="H97" t="s">
        <v>22</v>
      </c>
      <c r="I97" t="s">
        <v>21</v>
      </c>
      <c r="J97" t="s">
        <v>23</v>
      </c>
      <c r="K97" t="s">
        <v>21</v>
      </c>
      <c r="L97" t="s">
        <v>43</v>
      </c>
      <c r="M97">
        <v>6</v>
      </c>
      <c r="N97" t="s">
        <v>25</v>
      </c>
      <c r="O97" t="s">
        <v>796</v>
      </c>
      <c r="P97" t="s">
        <v>155</v>
      </c>
      <c r="Q97" t="s">
        <v>188</v>
      </c>
      <c r="R97">
        <v>2009</v>
      </c>
      <c r="S97" t="s">
        <v>803</v>
      </c>
      <c r="T97">
        <f>IF(IPL_Matches_2008_2020___New[[#This Row],[Toss Winner]]=IPL_Matches_2008_2020___New[[#This Row],[Winner]],1,0)</f>
        <v>1</v>
      </c>
      <c r="U97" t="s">
        <v>801</v>
      </c>
    </row>
    <row r="98" spans="1:21" x14ac:dyDescent="0.3">
      <c r="A98" t="s">
        <v>897</v>
      </c>
      <c r="B98" t="s">
        <v>171</v>
      </c>
      <c r="C98">
        <f>YEAR(IPL_Matches_2008_2020___New[[#This Row],[Date ]])</f>
        <v>2009</v>
      </c>
      <c r="D98" s="1">
        <v>39945</v>
      </c>
      <c r="E98" t="s">
        <v>197</v>
      </c>
      <c r="F98" t="s">
        <v>173</v>
      </c>
      <c r="G98" t="s">
        <v>800</v>
      </c>
      <c r="H98" t="s">
        <v>50</v>
      </c>
      <c r="I98" t="s">
        <v>800</v>
      </c>
      <c r="J98" t="s">
        <v>35</v>
      </c>
      <c r="K98" t="s">
        <v>50</v>
      </c>
      <c r="L98" t="s">
        <v>43</v>
      </c>
      <c r="M98">
        <v>8</v>
      </c>
      <c r="N98" t="s">
        <v>25</v>
      </c>
      <c r="O98" t="s">
        <v>796</v>
      </c>
      <c r="P98" t="s">
        <v>188</v>
      </c>
      <c r="Q98" t="s">
        <v>28</v>
      </c>
      <c r="R98">
        <v>2009</v>
      </c>
      <c r="S98" t="s">
        <v>803</v>
      </c>
      <c r="T98">
        <f>IF(IPL_Matches_2008_2020___New[[#This Row],[Toss Winner]]=IPL_Matches_2008_2020___New[[#This Row],[Winner]],1,0)</f>
        <v>0</v>
      </c>
      <c r="U98" t="s">
        <v>798</v>
      </c>
    </row>
    <row r="99" spans="1:21" x14ac:dyDescent="0.3">
      <c r="A99" t="s">
        <v>898</v>
      </c>
      <c r="B99" t="s">
        <v>150</v>
      </c>
      <c r="C99">
        <f>YEAR(IPL_Matches_2008_2020___New[[#This Row],[Date ]])</f>
        <v>2009</v>
      </c>
      <c r="D99" s="1">
        <v>39946</v>
      </c>
      <c r="E99" t="s">
        <v>199</v>
      </c>
      <c r="F99" t="s">
        <v>153</v>
      </c>
      <c r="G99" t="s">
        <v>56</v>
      </c>
      <c r="H99" t="s">
        <v>692</v>
      </c>
      <c r="I99" t="s">
        <v>56</v>
      </c>
      <c r="J99" t="s">
        <v>23</v>
      </c>
      <c r="K99" t="s">
        <v>692</v>
      </c>
      <c r="L99" t="s">
        <v>24</v>
      </c>
      <c r="M99">
        <v>12</v>
      </c>
      <c r="N99" t="s">
        <v>25</v>
      </c>
      <c r="O99" t="s">
        <v>796</v>
      </c>
      <c r="P99" t="s">
        <v>52</v>
      </c>
      <c r="Q99" t="s">
        <v>37</v>
      </c>
      <c r="R99">
        <v>2009</v>
      </c>
      <c r="S99" t="s">
        <v>797</v>
      </c>
      <c r="T99">
        <f>IF(IPL_Matches_2008_2020___New[[#This Row],[Toss Winner]]=IPL_Matches_2008_2020___New[[#This Row],[Winner]],1,0)</f>
        <v>0</v>
      </c>
      <c r="U99" t="s">
        <v>798</v>
      </c>
    </row>
    <row r="100" spans="1:21" x14ac:dyDescent="0.3">
      <c r="A100" t="s">
        <v>899</v>
      </c>
      <c r="B100" t="s">
        <v>150</v>
      </c>
      <c r="C100">
        <f>YEAR(IPL_Matches_2008_2020___New[[#This Row],[Date ]])</f>
        <v>2009</v>
      </c>
      <c r="D100" s="1">
        <v>39947</v>
      </c>
      <c r="E100" t="s">
        <v>196</v>
      </c>
      <c r="F100" t="s">
        <v>153</v>
      </c>
      <c r="G100" t="s">
        <v>21</v>
      </c>
      <c r="H100" t="s">
        <v>34</v>
      </c>
      <c r="I100" t="s">
        <v>34</v>
      </c>
      <c r="J100" t="s">
        <v>35</v>
      </c>
      <c r="K100" t="s">
        <v>21</v>
      </c>
      <c r="L100" t="s">
        <v>43</v>
      </c>
      <c r="M100">
        <v>2</v>
      </c>
      <c r="N100" t="s">
        <v>25</v>
      </c>
      <c r="O100" t="s">
        <v>796</v>
      </c>
      <c r="P100" t="s">
        <v>88</v>
      </c>
      <c r="Q100" t="s">
        <v>52</v>
      </c>
      <c r="R100">
        <v>2009</v>
      </c>
      <c r="S100" t="s">
        <v>803</v>
      </c>
      <c r="T100">
        <f>IF(IPL_Matches_2008_2020___New[[#This Row],[Toss Winner]]=IPL_Matches_2008_2020___New[[#This Row],[Winner]],1,0)</f>
        <v>0</v>
      </c>
      <c r="U100" t="s">
        <v>798</v>
      </c>
    </row>
    <row r="101" spans="1:21" x14ac:dyDescent="0.3">
      <c r="A101" t="s">
        <v>900</v>
      </c>
      <c r="B101" t="s">
        <v>150</v>
      </c>
      <c r="C101">
        <f>YEAR(IPL_Matches_2008_2020___New[[#This Row],[Date ]])</f>
        <v>2009</v>
      </c>
      <c r="D101" s="1">
        <v>39947</v>
      </c>
      <c r="E101" t="s">
        <v>201</v>
      </c>
      <c r="F101" t="s">
        <v>153</v>
      </c>
      <c r="G101" t="s">
        <v>50</v>
      </c>
      <c r="H101" t="s">
        <v>42</v>
      </c>
      <c r="I101" t="s">
        <v>42</v>
      </c>
      <c r="J101" t="s">
        <v>35</v>
      </c>
      <c r="K101" t="s">
        <v>42</v>
      </c>
      <c r="L101" t="s">
        <v>24</v>
      </c>
      <c r="M101">
        <v>2</v>
      </c>
      <c r="N101" t="s">
        <v>25</v>
      </c>
      <c r="O101" t="s">
        <v>796</v>
      </c>
      <c r="P101" t="s">
        <v>88</v>
      </c>
      <c r="Q101" t="s">
        <v>52</v>
      </c>
      <c r="R101">
        <v>2009</v>
      </c>
      <c r="S101" t="s">
        <v>797</v>
      </c>
      <c r="T101">
        <f>IF(IPL_Matches_2008_2020___New[[#This Row],[Toss Winner]]=IPL_Matches_2008_2020___New[[#This Row],[Winner]],1,0)</f>
        <v>1</v>
      </c>
      <c r="U101" t="s">
        <v>801</v>
      </c>
    </row>
    <row r="102" spans="1:21" x14ac:dyDescent="0.3">
      <c r="A102" t="s">
        <v>901</v>
      </c>
      <c r="B102" t="s">
        <v>202</v>
      </c>
      <c r="C102">
        <f>YEAR(IPL_Matches_2008_2020___New[[#This Row],[Date ]])</f>
        <v>2009</v>
      </c>
      <c r="D102" s="1">
        <v>39948</v>
      </c>
      <c r="E102" t="s">
        <v>204</v>
      </c>
      <c r="F102" t="s">
        <v>205</v>
      </c>
      <c r="G102" t="s">
        <v>692</v>
      </c>
      <c r="H102" t="s">
        <v>800</v>
      </c>
      <c r="I102" t="s">
        <v>800</v>
      </c>
      <c r="J102" t="s">
        <v>23</v>
      </c>
      <c r="K102" t="s">
        <v>800</v>
      </c>
      <c r="L102" t="s">
        <v>43</v>
      </c>
      <c r="M102">
        <v>6</v>
      </c>
      <c r="N102" t="s">
        <v>25</v>
      </c>
      <c r="O102" t="s">
        <v>796</v>
      </c>
      <c r="P102" t="s">
        <v>165</v>
      </c>
      <c r="Q102" t="s">
        <v>68</v>
      </c>
      <c r="R102">
        <v>2009</v>
      </c>
      <c r="S102" t="s">
        <v>803</v>
      </c>
      <c r="T102">
        <f>IF(IPL_Matches_2008_2020___New[[#This Row],[Toss Winner]]=IPL_Matches_2008_2020___New[[#This Row],[Winner]],1,0)</f>
        <v>1</v>
      </c>
      <c r="U102" t="s">
        <v>801</v>
      </c>
    </row>
    <row r="103" spans="1:21" x14ac:dyDescent="0.3">
      <c r="A103" t="s">
        <v>902</v>
      </c>
      <c r="B103" t="s">
        <v>145</v>
      </c>
      <c r="C103">
        <f>YEAR(IPL_Matches_2008_2020___New[[#This Row],[Date ]])</f>
        <v>2009</v>
      </c>
      <c r="D103" s="1">
        <v>39949</v>
      </c>
      <c r="E103" t="s">
        <v>72</v>
      </c>
      <c r="F103" t="s">
        <v>148</v>
      </c>
      <c r="G103" t="s">
        <v>34</v>
      </c>
      <c r="H103" t="s">
        <v>50</v>
      </c>
      <c r="I103" t="s">
        <v>50</v>
      </c>
      <c r="J103" t="s">
        <v>35</v>
      </c>
      <c r="K103" t="s">
        <v>34</v>
      </c>
      <c r="L103" t="s">
        <v>43</v>
      </c>
      <c r="M103">
        <v>7</v>
      </c>
      <c r="N103" t="s">
        <v>25</v>
      </c>
      <c r="O103" t="s">
        <v>796</v>
      </c>
      <c r="P103" t="s">
        <v>181</v>
      </c>
      <c r="Q103" t="s">
        <v>149</v>
      </c>
      <c r="R103">
        <v>2009</v>
      </c>
      <c r="S103" t="s">
        <v>803</v>
      </c>
      <c r="T103">
        <f>IF(IPL_Matches_2008_2020___New[[#This Row],[Toss Winner]]=IPL_Matches_2008_2020___New[[#This Row],[Winner]],1,0)</f>
        <v>0</v>
      </c>
      <c r="U103" t="s">
        <v>798</v>
      </c>
    </row>
    <row r="104" spans="1:21" x14ac:dyDescent="0.3">
      <c r="A104" t="s">
        <v>903</v>
      </c>
      <c r="B104" t="s">
        <v>184</v>
      </c>
      <c r="C104">
        <f>YEAR(IPL_Matches_2008_2020___New[[#This Row],[Date ]])</f>
        <v>2009</v>
      </c>
      <c r="D104" s="1">
        <v>39949</v>
      </c>
      <c r="E104" t="s">
        <v>190</v>
      </c>
      <c r="F104" t="s">
        <v>186</v>
      </c>
      <c r="G104" t="s">
        <v>56</v>
      </c>
      <c r="H104" t="s">
        <v>22</v>
      </c>
      <c r="I104" t="s">
        <v>56</v>
      </c>
      <c r="J104" t="s">
        <v>23</v>
      </c>
      <c r="K104" t="s">
        <v>56</v>
      </c>
      <c r="L104" t="s">
        <v>43</v>
      </c>
      <c r="M104">
        <v>6</v>
      </c>
      <c r="N104" t="s">
        <v>25</v>
      </c>
      <c r="O104" t="s">
        <v>796</v>
      </c>
      <c r="P104" t="s">
        <v>28</v>
      </c>
      <c r="Q104" t="s">
        <v>183</v>
      </c>
      <c r="R104">
        <v>2009</v>
      </c>
      <c r="S104" t="s">
        <v>803</v>
      </c>
      <c r="T104">
        <f>IF(IPL_Matches_2008_2020___New[[#This Row],[Toss Winner]]=IPL_Matches_2008_2020___New[[#This Row],[Winner]],1,0)</f>
        <v>1</v>
      </c>
      <c r="U104" t="s">
        <v>801</v>
      </c>
    </row>
    <row r="105" spans="1:21" x14ac:dyDescent="0.3">
      <c r="A105" t="s">
        <v>904</v>
      </c>
      <c r="B105" t="s">
        <v>184</v>
      </c>
      <c r="C105">
        <f>YEAR(IPL_Matches_2008_2020___New[[#This Row],[Date ]])</f>
        <v>2009</v>
      </c>
      <c r="D105" s="1">
        <v>39950</v>
      </c>
      <c r="E105" t="s">
        <v>182</v>
      </c>
      <c r="F105" t="s">
        <v>186</v>
      </c>
      <c r="G105" t="s">
        <v>56</v>
      </c>
      <c r="H105" t="s">
        <v>800</v>
      </c>
      <c r="I105" t="s">
        <v>56</v>
      </c>
      <c r="J105" t="s">
        <v>23</v>
      </c>
      <c r="K105" t="s">
        <v>800</v>
      </c>
      <c r="L105" t="s">
        <v>24</v>
      </c>
      <c r="M105">
        <v>1</v>
      </c>
      <c r="N105" t="s">
        <v>25</v>
      </c>
      <c r="O105" t="s">
        <v>796</v>
      </c>
      <c r="P105" t="s">
        <v>183</v>
      </c>
      <c r="Q105" t="s">
        <v>63</v>
      </c>
      <c r="R105">
        <v>2009</v>
      </c>
      <c r="S105" t="s">
        <v>797</v>
      </c>
      <c r="T105">
        <f>IF(IPL_Matches_2008_2020___New[[#This Row],[Toss Winner]]=IPL_Matches_2008_2020___New[[#This Row],[Winner]],1,0)</f>
        <v>0</v>
      </c>
      <c r="U105" t="s">
        <v>798</v>
      </c>
    </row>
    <row r="106" spans="1:21" x14ac:dyDescent="0.3">
      <c r="A106" t="s">
        <v>905</v>
      </c>
      <c r="B106" t="s">
        <v>202</v>
      </c>
      <c r="C106">
        <f>YEAR(IPL_Matches_2008_2020___New[[#This Row],[Date ]])</f>
        <v>2009</v>
      </c>
      <c r="D106" s="1">
        <v>39950</v>
      </c>
      <c r="E106" t="s">
        <v>157</v>
      </c>
      <c r="F106" t="s">
        <v>205</v>
      </c>
      <c r="G106" t="s">
        <v>692</v>
      </c>
      <c r="H106" t="s">
        <v>42</v>
      </c>
      <c r="I106" t="s">
        <v>692</v>
      </c>
      <c r="J106" t="s">
        <v>35</v>
      </c>
      <c r="K106" t="s">
        <v>692</v>
      </c>
      <c r="L106" t="s">
        <v>24</v>
      </c>
      <c r="M106">
        <v>14</v>
      </c>
      <c r="N106" t="s">
        <v>25</v>
      </c>
      <c r="O106" t="s">
        <v>796</v>
      </c>
      <c r="P106" t="s">
        <v>188</v>
      </c>
      <c r="Q106" t="s">
        <v>68</v>
      </c>
      <c r="R106">
        <v>2009</v>
      </c>
      <c r="S106" t="s">
        <v>797</v>
      </c>
      <c r="T106">
        <f>IF(IPL_Matches_2008_2020___New[[#This Row],[Toss Winner]]=IPL_Matches_2008_2020___New[[#This Row],[Winner]],1,0)</f>
        <v>1</v>
      </c>
      <c r="U106" t="s">
        <v>801</v>
      </c>
    </row>
    <row r="107" spans="1:21" x14ac:dyDescent="0.3">
      <c r="A107" t="s">
        <v>906</v>
      </c>
      <c r="B107" t="s">
        <v>171</v>
      </c>
      <c r="C107">
        <f>YEAR(IPL_Matches_2008_2020___New[[#This Row],[Date ]])</f>
        <v>2009</v>
      </c>
      <c r="D107" s="1">
        <v>39951</v>
      </c>
      <c r="E107" t="s">
        <v>209</v>
      </c>
      <c r="F107" t="s">
        <v>173</v>
      </c>
      <c r="G107" t="s">
        <v>34</v>
      </c>
      <c r="H107" t="s">
        <v>22</v>
      </c>
      <c r="I107" t="s">
        <v>34</v>
      </c>
      <c r="J107" t="s">
        <v>35</v>
      </c>
      <c r="K107" t="s">
        <v>22</v>
      </c>
      <c r="L107" t="s">
        <v>43</v>
      </c>
      <c r="M107">
        <v>7</v>
      </c>
      <c r="N107" t="s">
        <v>25</v>
      </c>
      <c r="O107" t="s">
        <v>796</v>
      </c>
      <c r="P107" t="s">
        <v>149</v>
      </c>
      <c r="Q107" t="s">
        <v>63</v>
      </c>
      <c r="R107">
        <v>2009</v>
      </c>
      <c r="S107" t="s">
        <v>803</v>
      </c>
      <c r="T107">
        <f>IF(IPL_Matches_2008_2020___New[[#This Row],[Toss Winner]]=IPL_Matches_2008_2020___New[[#This Row],[Winner]],1,0)</f>
        <v>0</v>
      </c>
      <c r="U107" t="s">
        <v>798</v>
      </c>
    </row>
    <row r="108" spans="1:21" x14ac:dyDescent="0.3">
      <c r="A108" t="s">
        <v>907</v>
      </c>
      <c r="B108" t="s">
        <v>184</v>
      </c>
      <c r="C108">
        <f>YEAR(IPL_Matches_2008_2020___New[[#This Row],[Date ]])</f>
        <v>2009</v>
      </c>
      <c r="D108" s="1">
        <v>39952</v>
      </c>
      <c r="E108" t="s">
        <v>187</v>
      </c>
      <c r="F108" t="s">
        <v>186</v>
      </c>
      <c r="G108" t="s">
        <v>21</v>
      </c>
      <c r="H108" t="s">
        <v>692</v>
      </c>
      <c r="I108" t="s">
        <v>692</v>
      </c>
      <c r="J108" t="s">
        <v>35</v>
      </c>
      <c r="K108" t="s">
        <v>21</v>
      </c>
      <c r="L108" t="s">
        <v>43</v>
      </c>
      <c r="M108">
        <v>7</v>
      </c>
      <c r="N108" t="s">
        <v>25</v>
      </c>
      <c r="O108" t="s">
        <v>796</v>
      </c>
      <c r="P108" t="s">
        <v>68</v>
      </c>
      <c r="Q108" t="s">
        <v>63</v>
      </c>
      <c r="R108">
        <v>2009</v>
      </c>
      <c r="S108" t="s">
        <v>803</v>
      </c>
      <c r="T108">
        <f>IF(IPL_Matches_2008_2020___New[[#This Row],[Toss Winner]]=IPL_Matches_2008_2020___New[[#This Row],[Winner]],1,0)</f>
        <v>0</v>
      </c>
      <c r="U108" t="s">
        <v>798</v>
      </c>
    </row>
    <row r="109" spans="1:21" x14ac:dyDescent="0.3">
      <c r="A109" t="s">
        <v>908</v>
      </c>
      <c r="B109" t="s">
        <v>150</v>
      </c>
      <c r="C109">
        <f>YEAR(IPL_Matches_2008_2020___New[[#This Row],[Date ]])</f>
        <v>2009</v>
      </c>
      <c r="D109" s="1">
        <v>39953</v>
      </c>
      <c r="E109" t="s">
        <v>212</v>
      </c>
      <c r="F109" t="s">
        <v>153</v>
      </c>
      <c r="G109" t="s">
        <v>22</v>
      </c>
      <c r="H109" t="s">
        <v>42</v>
      </c>
      <c r="I109" t="s">
        <v>22</v>
      </c>
      <c r="J109" t="s">
        <v>23</v>
      </c>
      <c r="K109" t="s">
        <v>22</v>
      </c>
      <c r="L109" t="s">
        <v>43</v>
      </c>
      <c r="M109">
        <v>4</v>
      </c>
      <c r="N109" t="s">
        <v>25</v>
      </c>
      <c r="O109" t="s">
        <v>796</v>
      </c>
      <c r="P109" t="s">
        <v>106</v>
      </c>
      <c r="Q109" t="s">
        <v>149</v>
      </c>
      <c r="R109">
        <v>2009</v>
      </c>
      <c r="S109" t="s">
        <v>803</v>
      </c>
      <c r="T109">
        <f>IF(IPL_Matches_2008_2020___New[[#This Row],[Toss Winner]]=IPL_Matches_2008_2020___New[[#This Row],[Winner]],1,0)</f>
        <v>1</v>
      </c>
      <c r="U109" t="s">
        <v>801</v>
      </c>
    </row>
    <row r="110" spans="1:21" x14ac:dyDescent="0.3">
      <c r="A110" t="s">
        <v>909</v>
      </c>
      <c r="B110" t="s">
        <v>150</v>
      </c>
      <c r="C110">
        <f>YEAR(IPL_Matches_2008_2020___New[[#This Row],[Date ]])</f>
        <v>2009</v>
      </c>
      <c r="D110" s="1">
        <v>39953</v>
      </c>
      <c r="E110" t="s">
        <v>147</v>
      </c>
      <c r="F110" t="s">
        <v>153</v>
      </c>
      <c r="G110" t="s">
        <v>34</v>
      </c>
      <c r="H110" t="s">
        <v>800</v>
      </c>
      <c r="I110" t="s">
        <v>34</v>
      </c>
      <c r="J110" t="s">
        <v>35</v>
      </c>
      <c r="K110" t="s">
        <v>34</v>
      </c>
      <c r="L110" t="s">
        <v>24</v>
      </c>
      <c r="M110">
        <v>24</v>
      </c>
      <c r="N110" t="s">
        <v>25</v>
      </c>
      <c r="O110" t="s">
        <v>796</v>
      </c>
      <c r="P110" t="s">
        <v>106</v>
      </c>
      <c r="Q110" t="s">
        <v>149</v>
      </c>
      <c r="R110">
        <v>2009</v>
      </c>
      <c r="S110" t="s">
        <v>797</v>
      </c>
      <c r="T110">
        <f>IF(IPL_Matches_2008_2020___New[[#This Row],[Toss Winner]]=IPL_Matches_2008_2020___New[[#This Row],[Winner]],1,0)</f>
        <v>1</v>
      </c>
      <c r="U110" t="s">
        <v>801</v>
      </c>
    </row>
    <row r="111" spans="1:21" x14ac:dyDescent="0.3">
      <c r="A111" t="s">
        <v>910</v>
      </c>
      <c r="B111" t="s">
        <v>171</v>
      </c>
      <c r="C111">
        <f>YEAR(IPL_Matches_2008_2020___New[[#This Row],[Date ]])</f>
        <v>2009</v>
      </c>
      <c r="D111" s="1">
        <v>39954</v>
      </c>
      <c r="E111" t="s">
        <v>66</v>
      </c>
      <c r="F111" t="s">
        <v>173</v>
      </c>
      <c r="G111" t="s">
        <v>692</v>
      </c>
      <c r="H111" t="s">
        <v>50</v>
      </c>
      <c r="I111" t="s">
        <v>692</v>
      </c>
      <c r="J111" t="s">
        <v>23</v>
      </c>
      <c r="K111" t="s">
        <v>692</v>
      </c>
      <c r="L111" t="s">
        <v>43</v>
      </c>
      <c r="M111">
        <v>4</v>
      </c>
      <c r="N111" t="s">
        <v>25</v>
      </c>
      <c r="O111" t="s">
        <v>796</v>
      </c>
      <c r="P111" t="s">
        <v>68</v>
      </c>
      <c r="Q111" t="s">
        <v>183</v>
      </c>
      <c r="R111">
        <v>2009</v>
      </c>
      <c r="S111" t="s">
        <v>803</v>
      </c>
      <c r="T111">
        <f>IF(IPL_Matches_2008_2020___New[[#This Row],[Toss Winner]]=IPL_Matches_2008_2020___New[[#This Row],[Winner]],1,0)</f>
        <v>1</v>
      </c>
      <c r="U111" t="s">
        <v>801</v>
      </c>
    </row>
    <row r="112" spans="1:21" x14ac:dyDescent="0.3">
      <c r="A112" t="s">
        <v>911</v>
      </c>
      <c r="B112" t="s">
        <v>171</v>
      </c>
      <c r="C112">
        <f>YEAR(IPL_Matches_2008_2020___New[[#This Row],[Date ]])</f>
        <v>2009</v>
      </c>
      <c r="D112" s="1">
        <v>39954</v>
      </c>
      <c r="E112" t="s">
        <v>214</v>
      </c>
      <c r="F112" t="s">
        <v>173</v>
      </c>
      <c r="G112" t="s">
        <v>21</v>
      </c>
      <c r="H112" t="s">
        <v>56</v>
      </c>
      <c r="I112" t="s">
        <v>21</v>
      </c>
      <c r="J112" t="s">
        <v>35</v>
      </c>
      <c r="K112" t="s">
        <v>21</v>
      </c>
      <c r="L112" t="s">
        <v>24</v>
      </c>
      <c r="M112">
        <v>12</v>
      </c>
      <c r="N112" t="s">
        <v>25</v>
      </c>
      <c r="O112" t="s">
        <v>796</v>
      </c>
      <c r="P112" t="s">
        <v>68</v>
      </c>
      <c r="Q112" t="s">
        <v>183</v>
      </c>
      <c r="R112">
        <v>2009</v>
      </c>
      <c r="S112" t="s">
        <v>797</v>
      </c>
      <c r="T112">
        <f>IF(IPL_Matches_2008_2020___New[[#This Row],[Toss Winner]]=IPL_Matches_2008_2020___New[[#This Row],[Winner]],1,0)</f>
        <v>1</v>
      </c>
      <c r="U112" t="s">
        <v>801</v>
      </c>
    </row>
    <row r="113" spans="1:21" x14ac:dyDescent="0.3">
      <c r="A113" t="s">
        <v>912</v>
      </c>
      <c r="B113" t="s">
        <v>171</v>
      </c>
      <c r="C113">
        <f>YEAR(IPL_Matches_2008_2020___New[[#This Row],[Date ]])</f>
        <v>2009</v>
      </c>
      <c r="D113" s="1">
        <v>39955</v>
      </c>
      <c r="E113" t="s">
        <v>82</v>
      </c>
      <c r="F113" t="s">
        <v>173</v>
      </c>
      <c r="G113" t="s">
        <v>692</v>
      </c>
      <c r="H113" t="s">
        <v>56</v>
      </c>
      <c r="I113" t="s">
        <v>56</v>
      </c>
      <c r="J113" t="s">
        <v>23</v>
      </c>
      <c r="K113" t="s">
        <v>56</v>
      </c>
      <c r="L113" t="s">
        <v>43</v>
      </c>
      <c r="M113">
        <v>6</v>
      </c>
      <c r="N113" t="s">
        <v>25</v>
      </c>
      <c r="O113" t="s">
        <v>796</v>
      </c>
      <c r="P113" t="s">
        <v>88</v>
      </c>
      <c r="Q113" t="s">
        <v>52</v>
      </c>
      <c r="R113">
        <v>2009</v>
      </c>
      <c r="S113" t="s">
        <v>803</v>
      </c>
      <c r="T113">
        <f>IF(IPL_Matches_2008_2020___New[[#This Row],[Toss Winner]]=IPL_Matches_2008_2020___New[[#This Row],[Winner]],1,0)</f>
        <v>1</v>
      </c>
      <c r="U113" t="s">
        <v>801</v>
      </c>
    </row>
    <row r="114" spans="1:21" x14ac:dyDescent="0.3">
      <c r="A114" t="s">
        <v>913</v>
      </c>
      <c r="B114" t="s">
        <v>184</v>
      </c>
      <c r="C114">
        <f>YEAR(IPL_Matches_2008_2020___New[[#This Row],[Date ]])</f>
        <v>2009</v>
      </c>
      <c r="D114" s="1">
        <v>39956</v>
      </c>
      <c r="E114" t="s">
        <v>214</v>
      </c>
      <c r="F114" t="s">
        <v>186</v>
      </c>
      <c r="G114" t="s">
        <v>21</v>
      </c>
      <c r="H114" t="s">
        <v>34</v>
      </c>
      <c r="I114" t="s">
        <v>21</v>
      </c>
      <c r="J114" t="s">
        <v>23</v>
      </c>
      <c r="K114" t="s">
        <v>21</v>
      </c>
      <c r="L114" t="s">
        <v>43</v>
      </c>
      <c r="M114">
        <v>6</v>
      </c>
      <c r="N114" t="s">
        <v>25</v>
      </c>
      <c r="O114" t="s">
        <v>796</v>
      </c>
      <c r="P114" t="s">
        <v>28</v>
      </c>
      <c r="Q114" t="s">
        <v>149</v>
      </c>
      <c r="R114">
        <v>2009</v>
      </c>
      <c r="S114" t="s">
        <v>803</v>
      </c>
      <c r="T114">
        <f>IF(IPL_Matches_2008_2020___New[[#This Row],[Toss Winner]]=IPL_Matches_2008_2020___New[[#This Row],[Winner]],1,0)</f>
        <v>1</v>
      </c>
      <c r="U114" t="s">
        <v>801</v>
      </c>
    </row>
    <row r="115" spans="1:21" x14ac:dyDescent="0.3">
      <c r="A115" t="s">
        <v>914</v>
      </c>
      <c r="B115" t="s">
        <v>184</v>
      </c>
      <c r="C115">
        <f>YEAR(IPL_Matches_2008_2020___New[[#This Row],[Date ]])</f>
        <v>2009</v>
      </c>
      <c r="D115" s="1">
        <v>39957</v>
      </c>
      <c r="E115" t="s">
        <v>124</v>
      </c>
      <c r="F115" t="s">
        <v>186</v>
      </c>
      <c r="G115" t="s">
        <v>21</v>
      </c>
      <c r="H115" t="s">
        <v>56</v>
      </c>
      <c r="I115" t="s">
        <v>21</v>
      </c>
      <c r="J115" t="s">
        <v>23</v>
      </c>
      <c r="K115" t="s">
        <v>56</v>
      </c>
      <c r="L115" t="s">
        <v>24</v>
      </c>
      <c r="M115">
        <v>6</v>
      </c>
      <c r="N115" t="s">
        <v>25</v>
      </c>
      <c r="O115" t="s">
        <v>796</v>
      </c>
      <c r="P115" t="s">
        <v>28</v>
      </c>
      <c r="Q115" t="s">
        <v>149</v>
      </c>
      <c r="R115">
        <v>2009</v>
      </c>
      <c r="S115" t="s">
        <v>797</v>
      </c>
      <c r="T115">
        <f>IF(IPL_Matches_2008_2020___New[[#This Row],[Toss Winner]]=IPL_Matches_2008_2020___New[[#This Row],[Winner]],1,0)</f>
        <v>0</v>
      </c>
      <c r="U115" t="s">
        <v>798</v>
      </c>
    </row>
    <row r="116" spans="1:21" x14ac:dyDescent="0.3">
      <c r="A116" t="s">
        <v>915</v>
      </c>
      <c r="B116" t="s">
        <v>46</v>
      </c>
      <c r="C116">
        <f>YEAR(IPL_Matches_2008_2020___New[[#This Row],[Date ]])</f>
        <v>2010</v>
      </c>
      <c r="D116" s="1">
        <v>40249</v>
      </c>
      <c r="E116" t="s">
        <v>218</v>
      </c>
      <c r="F116" t="s">
        <v>83</v>
      </c>
      <c r="G116" t="s">
        <v>56</v>
      </c>
      <c r="H116" t="s">
        <v>22</v>
      </c>
      <c r="I116" t="s">
        <v>56</v>
      </c>
      <c r="J116" t="s">
        <v>23</v>
      </c>
      <c r="K116" t="s">
        <v>22</v>
      </c>
      <c r="L116" t="s">
        <v>24</v>
      </c>
      <c r="M116">
        <v>11</v>
      </c>
      <c r="N116" t="s">
        <v>25</v>
      </c>
      <c r="O116" t="s">
        <v>796</v>
      </c>
      <c r="P116" t="s">
        <v>28</v>
      </c>
      <c r="Q116" t="s">
        <v>63</v>
      </c>
      <c r="R116">
        <v>2010</v>
      </c>
      <c r="S116" t="s">
        <v>797</v>
      </c>
      <c r="T116">
        <f>IF(IPL_Matches_2008_2020___New[[#This Row],[Toss Winner]]=IPL_Matches_2008_2020___New[[#This Row],[Winner]],1,0)</f>
        <v>0</v>
      </c>
      <c r="U116" t="s">
        <v>798</v>
      </c>
    </row>
    <row r="117" spans="1:21" x14ac:dyDescent="0.3">
      <c r="A117" t="s">
        <v>916</v>
      </c>
      <c r="B117" t="s">
        <v>46</v>
      </c>
      <c r="C117">
        <f>YEAR(IPL_Matches_2008_2020___New[[#This Row],[Date ]])</f>
        <v>2010</v>
      </c>
      <c r="D117" s="1">
        <v>40250</v>
      </c>
      <c r="E117" t="s">
        <v>75</v>
      </c>
      <c r="F117" t="s">
        <v>220</v>
      </c>
      <c r="G117" t="s">
        <v>50</v>
      </c>
      <c r="H117" t="s">
        <v>42</v>
      </c>
      <c r="I117" t="s">
        <v>50</v>
      </c>
      <c r="J117" t="s">
        <v>35</v>
      </c>
      <c r="K117" t="s">
        <v>50</v>
      </c>
      <c r="L117" t="s">
        <v>24</v>
      </c>
      <c r="M117">
        <v>4</v>
      </c>
      <c r="N117" t="s">
        <v>25</v>
      </c>
      <c r="O117" t="s">
        <v>796</v>
      </c>
      <c r="P117" t="s">
        <v>28</v>
      </c>
      <c r="Q117" t="s">
        <v>63</v>
      </c>
      <c r="R117">
        <v>2010</v>
      </c>
      <c r="S117" t="s">
        <v>797</v>
      </c>
      <c r="T117">
        <f>IF(IPL_Matches_2008_2020___New[[#This Row],[Toss Winner]]=IPL_Matches_2008_2020___New[[#This Row],[Winner]],1,0)</f>
        <v>1</v>
      </c>
      <c r="U117" t="s">
        <v>801</v>
      </c>
    </row>
    <row r="118" spans="1:21" x14ac:dyDescent="0.3">
      <c r="A118" t="s">
        <v>917</v>
      </c>
      <c r="B118" t="s">
        <v>29</v>
      </c>
      <c r="C118">
        <f>YEAR(IPL_Matches_2008_2020___New[[#This Row],[Date ]])</f>
        <v>2010</v>
      </c>
      <c r="D118" s="1">
        <v>40250</v>
      </c>
      <c r="E118" t="s">
        <v>189</v>
      </c>
      <c r="F118" t="s">
        <v>32</v>
      </c>
      <c r="G118" t="s">
        <v>800</v>
      </c>
      <c r="H118" t="s">
        <v>692</v>
      </c>
      <c r="I118" t="s">
        <v>692</v>
      </c>
      <c r="J118" t="s">
        <v>23</v>
      </c>
      <c r="K118" t="s">
        <v>692</v>
      </c>
      <c r="L118" t="s">
        <v>43</v>
      </c>
      <c r="M118">
        <v>5</v>
      </c>
      <c r="N118" t="s">
        <v>25</v>
      </c>
      <c r="O118" t="s">
        <v>796</v>
      </c>
      <c r="P118" t="s">
        <v>88</v>
      </c>
      <c r="Q118" t="s">
        <v>183</v>
      </c>
      <c r="R118">
        <v>2010</v>
      </c>
      <c r="S118" t="s">
        <v>803</v>
      </c>
      <c r="T118">
        <f>IF(IPL_Matches_2008_2020___New[[#This Row],[Toss Winner]]=IPL_Matches_2008_2020___New[[#This Row],[Winner]],1,0)</f>
        <v>1</v>
      </c>
      <c r="U118" t="s">
        <v>801</v>
      </c>
    </row>
    <row r="119" spans="1:21" x14ac:dyDescent="0.3">
      <c r="A119" t="s">
        <v>918</v>
      </c>
      <c r="B119" t="s">
        <v>53</v>
      </c>
      <c r="C119">
        <f>YEAR(IPL_Matches_2008_2020___New[[#This Row],[Date ]])</f>
        <v>2010</v>
      </c>
      <c r="D119" s="1">
        <v>40251</v>
      </c>
      <c r="E119" t="s">
        <v>222</v>
      </c>
      <c r="F119" t="s">
        <v>55</v>
      </c>
      <c r="G119" t="s">
        <v>22</v>
      </c>
      <c r="H119" t="s">
        <v>21</v>
      </c>
      <c r="I119" t="s">
        <v>22</v>
      </c>
      <c r="J119" t="s">
        <v>23</v>
      </c>
      <c r="K119" t="s">
        <v>22</v>
      </c>
      <c r="L119" t="s">
        <v>43</v>
      </c>
      <c r="M119">
        <v>7</v>
      </c>
      <c r="N119" t="s">
        <v>25</v>
      </c>
      <c r="O119" t="s">
        <v>796</v>
      </c>
      <c r="P119" t="s">
        <v>165</v>
      </c>
      <c r="Q119" t="s">
        <v>69</v>
      </c>
      <c r="R119">
        <v>2010</v>
      </c>
      <c r="S119" t="s">
        <v>803</v>
      </c>
      <c r="T119">
        <f>IF(IPL_Matches_2008_2020___New[[#This Row],[Toss Winner]]=IPL_Matches_2008_2020___New[[#This Row],[Winner]],1,0)</f>
        <v>1</v>
      </c>
      <c r="U119" t="s">
        <v>801</v>
      </c>
    </row>
    <row r="120" spans="1:21" x14ac:dyDescent="0.3">
      <c r="A120" t="s">
        <v>919</v>
      </c>
      <c r="B120" t="s">
        <v>70</v>
      </c>
      <c r="C120">
        <f>YEAR(IPL_Matches_2008_2020___New[[#This Row],[Date ]])</f>
        <v>2010</v>
      </c>
      <c r="D120" s="1">
        <v>40251</v>
      </c>
      <c r="E120" t="s">
        <v>223</v>
      </c>
      <c r="F120" t="s">
        <v>73</v>
      </c>
      <c r="G120" t="s">
        <v>34</v>
      </c>
      <c r="H120" t="s">
        <v>56</v>
      </c>
      <c r="I120" t="s">
        <v>56</v>
      </c>
      <c r="J120" t="s">
        <v>35</v>
      </c>
      <c r="K120" t="s">
        <v>56</v>
      </c>
      <c r="L120" t="s">
        <v>24</v>
      </c>
      <c r="M120">
        <v>31</v>
      </c>
      <c r="N120" t="s">
        <v>25</v>
      </c>
      <c r="O120" t="s">
        <v>796</v>
      </c>
      <c r="P120" t="s">
        <v>58</v>
      </c>
      <c r="Q120" t="s">
        <v>52</v>
      </c>
      <c r="R120">
        <v>2010</v>
      </c>
      <c r="S120" t="s">
        <v>797</v>
      </c>
      <c r="T120">
        <f>IF(IPL_Matches_2008_2020___New[[#This Row],[Toss Winner]]=IPL_Matches_2008_2020___New[[#This Row],[Winner]],1,0)</f>
        <v>1</v>
      </c>
      <c r="U120" t="s">
        <v>801</v>
      </c>
    </row>
    <row r="121" spans="1:21" x14ac:dyDescent="0.3">
      <c r="A121" t="s">
        <v>920</v>
      </c>
      <c r="B121" t="s">
        <v>224</v>
      </c>
      <c r="C121">
        <f>YEAR(IPL_Matches_2008_2020___New[[#This Row],[Date ]])</f>
        <v>2010</v>
      </c>
      <c r="D121" s="1">
        <v>40252</v>
      </c>
      <c r="E121" t="s">
        <v>66</v>
      </c>
      <c r="F121" t="s">
        <v>226</v>
      </c>
      <c r="G121" t="s">
        <v>42</v>
      </c>
      <c r="H121" t="s">
        <v>692</v>
      </c>
      <c r="I121" t="s">
        <v>692</v>
      </c>
      <c r="J121" t="s">
        <v>23</v>
      </c>
      <c r="K121" t="s">
        <v>692</v>
      </c>
      <c r="L121" t="s">
        <v>43</v>
      </c>
      <c r="M121">
        <v>6</v>
      </c>
      <c r="N121" t="s">
        <v>25</v>
      </c>
      <c r="O121" t="s">
        <v>796</v>
      </c>
      <c r="P121" t="s">
        <v>106</v>
      </c>
      <c r="Q121" t="s">
        <v>28</v>
      </c>
      <c r="R121">
        <v>2010</v>
      </c>
      <c r="S121" t="s">
        <v>803</v>
      </c>
      <c r="T121">
        <f>IF(IPL_Matches_2008_2020___New[[#This Row],[Toss Winner]]=IPL_Matches_2008_2020___New[[#This Row],[Winner]],1,0)</f>
        <v>1</v>
      </c>
      <c r="U121" t="s">
        <v>801</v>
      </c>
    </row>
    <row r="122" spans="1:21" x14ac:dyDescent="0.3">
      <c r="A122" t="s">
        <v>921</v>
      </c>
      <c r="B122" t="s">
        <v>17</v>
      </c>
      <c r="C122">
        <f>YEAR(IPL_Matches_2008_2020___New[[#This Row],[Date ]])</f>
        <v>2010</v>
      </c>
      <c r="D122" s="1">
        <v>40253</v>
      </c>
      <c r="E122" t="s">
        <v>187</v>
      </c>
      <c r="F122" t="s">
        <v>795</v>
      </c>
      <c r="G122" t="s">
        <v>21</v>
      </c>
      <c r="H122" t="s">
        <v>800</v>
      </c>
      <c r="I122" t="s">
        <v>800</v>
      </c>
      <c r="J122" t="s">
        <v>35</v>
      </c>
      <c r="K122" t="s">
        <v>21</v>
      </c>
      <c r="L122" t="s">
        <v>43</v>
      </c>
      <c r="M122">
        <v>8</v>
      </c>
      <c r="N122" t="s">
        <v>25</v>
      </c>
      <c r="O122" t="s">
        <v>796</v>
      </c>
      <c r="P122" t="s">
        <v>228</v>
      </c>
      <c r="Q122" t="s">
        <v>52</v>
      </c>
      <c r="R122">
        <v>2010</v>
      </c>
      <c r="S122" t="s">
        <v>803</v>
      </c>
      <c r="T122">
        <f>IF(IPL_Matches_2008_2020___New[[#This Row],[Toss Winner]]=IPL_Matches_2008_2020___New[[#This Row],[Winner]],1,0)</f>
        <v>0</v>
      </c>
      <c r="U122" t="s">
        <v>798</v>
      </c>
    </row>
    <row r="123" spans="1:21" x14ac:dyDescent="0.3">
      <c r="A123" t="s">
        <v>922</v>
      </c>
      <c r="B123" t="s">
        <v>53</v>
      </c>
      <c r="C123">
        <f>YEAR(IPL_Matches_2008_2020___New[[#This Row],[Date ]])</f>
        <v>2010</v>
      </c>
      <c r="D123" s="1">
        <v>40253</v>
      </c>
      <c r="E123" t="s">
        <v>87</v>
      </c>
      <c r="F123" t="s">
        <v>55</v>
      </c>
      <c r="G123" t="s">
        <v>22</v>
      </c>
      <c r="H123" t="s">
        <v>34</v>
      </c>
      <c r="I123" t="s">
        <v>34</v>
      </c>
      <c r="J123" t="s">
        <v>35</v>
      </c>
      <c r="K123" t="s">
        <v>34</v>
      </c>
      <c r="L123" t="s">
        <v>24</v>
      </c>
      <c r="M123">
        <v>55</v>
      </c>
      <c r="N123" t="s">
        <v>25</v>
      </c>
      <c r="O123" t="s">
        <v>796</v>
      </c>
      <c r="P123" t="s">
        <v>165</v>
      </c>
      <c r="Q123" t="s">
        <v>69</v>
      </c>
      <c r="R123">
        <v>2010</v>
      </c>
      <c r="S123" t="s">
        <v>797</v>
      </c>
      <c r="T123">
        <f>IF(IPL_Matches_2008_2020___New[[#This Row],[Toss Winner]]=IPL_Matches_2008_2020___New[[#This Row],[Winner]],1,0)</f>
        <v>1</v>
      </c>
      <c r="U123" t="s">
        <v>801</v>
      </c>
    </row>
    <row r="124" spans="1:21" x14ac:dyDescent="0.3">
      <c r="A124" t="s">
        <v>923</v>
      </c>
      <c r="B124" t="s">
        <v>38</v>
      </c>
      <c r="C124">
        <f>YEAR(IPL_Matches_2008_2020___New[[#This Row],[Date ]])</f>
        <v>2010</v>
      </c>
      <c r="D124" s="1">
        <v>40254</v>
      </c>
      <c r="E124" t="s">
        <v>138</v>
      </c>
      <c r="F124" t="s">
        <v>40</v>
      </c>
      <c r="G124" t="s">
        <v>692</v>
      </c>
      <c r="H124" t="s">
        <v>50</v>
      </c>
      <c r="I124" t="s">
        <v>692</v>
      </c>
      <c r="J124" t="s">
        <v>23</v>
      </c>
      <c r="K124" t="s">
        <v>50</v>
      </c>
      <c r="L124" t="s">
        <v>24</v>
      </c>
      <c r="M124">
        <v>98</v>
      </c>
      <c r="N124" t="s">
        <v>25</v>
      </c>
      <c r="O124" t="s">
        <v>796</v>
      </c>
      <c r="P124" t="s">
        <v>88</v>
      </c>
      <c r="Q124" t="s">
        <v>181</v>
      </c>
      <c r="R124">
        <v>2010</v>
      </c>
      <c r="S124" t="s">
        <v>797</v>
      </c>
      <c r="T124">
        <f>IF(IPL_Matches_2008_2020___New[[#This Row],[Toss Winner]]=IPL_Matches_2008_2020___New[[#This Row],[Winner]],1,0)</f>
        <v>0</v>
      </c>
      <c r="U124" t="s">
        <v>798</v>
      </c>
    </row>
    <row r="125" spans="1:21" x14ac:dyDescent="0.3">
      <c r="A125" t="s">
        <v>924</v>
      </c>
      <c r="B125" t="s">
        <v>17</v>
      </c>
      <c r="C125">
        <f>YEAR(IPL_Matches_2008_2020___New[[#This Row],[Date ]])</f>
        <v>2010</v>
      </c>
      <c r="D125" s="1">
        <v>40255</v>
      </c>
      <c r="E125" t="s">
        <v>187</v>
      </c>
      <c r="F125" t="s">
        <v>795</v>
      </c>
      <c r="G125" t="s">
        <v>21</v>
      </c>
      <c r="H125" t="s">
        <v>42</v>
      </c>
      <c r="I125" t="s">
        <v>21</v>
      </c>
      <c r="J125" t="s">
        <v>23</v>
      </c>
      <c r="K125" t="s">
        <v>21</v>
      </c>
      <c r="L125" t="s">
        <v>43</v>
      </c>
      <c r="M125">
        <v>10</v>
      </c>
      <c r="N125" t="s">
        <v>25</v>
      </c>
      <c r="O125" t="s">
        <v>796</v>
      </c>
      <c r="P125" t="s">
        <v>58</v>
      </c>
      <c r="Q125" t="s">
        <v>52</v>
      </c>
      <c r="R125">
        <v>2010</v>
      </c>
      <c r="S125" t="s">
        <v>803</v>
      </c>
      <c r="T125">
        <f>IF(IPL_Matches_2008_2020___New[[#This Row],[Toss Winner]]=IPL_Matches_2008_2020___New[[#This Row],[Winner]],1,0)</f>
        <v>1</v>
      </c>
      <c r="U125" t="s">
        <v>801</v>
      </c>
    </row>
    <row r="126" spans="1:21" x14ac:dyDescent="0.3">
      <c r="A126" t="s">
        <v>925</v>
      </c>
      <c r="B126" t="s">
        <v>38</v>
      </c>
      <c r="C126">
        <f>YEAR(IPL_Matches_2008_2020___New[[#This Row],[Date ]])</f>
        <v>2010</v>
      </c>
      <c r="D126" s="1">
        <v>40256</v>
      </c>
      <c r="E126" t="s">
        <v>72</v>
      </c>
      <c r="F126" t="s">
        <v>40</v>
      </c>
      <c r="G126" t="s">
        <v>692</v>
      </c>
      <c r="H126" t="s">
        <v>34</v>
      </c>
      <c r="I126" t="s">
        <v>692</v>
      </c>
      <c r="J126" t="s">
        <v>35</v>
      </c>
      <c r="K126" t="s">
        <v>34</v>
      </c>
      <c r="L126" t="s">
        <v>43</v>
      </c>
      <c r="M126">
        <v>5</v>
      </c>
      <c r="N126" t="s">
        <v>25</v>
      </c>
      <c r="O126" t="s">
        <v>796</v>
      </c>
      <c r="P126" t="s">
        <v>88</v>
      </c>
      <c r="Q126" t="s">
        <v>181</v>
      </c>
      <c r="R126">
        <v>2010</v>
      </c>
      <c r="S126" t="s">
        <v>803</v>
      </c>
      <c r="T126">
        <f>IF(IPL_Matches_2008_2020___New[[#This Row],[Toss Winner]]=IPL_Matches_2008_2020___New[[#This Row],[Winner]],1,0)</f>
        <v>0</v>
      </c>
      <c r="U126" t="s">
        <v>798</v>
      </c>
    </row>
    <row r="127" spans="1:21" x14ac:dyDescent="0.3">
      <c r="A127" t="s">
        <v>926</v>
      </c>
      <c r="B127" t="s">
        <v>232</v>
      </c>
      <c r="C127">
        <f>YEAR(IPL_Matches_2008_2020___New[[#This Row],[Date ]])</f>
        <v>2010</v>
      </c>
      <c r="D127" s="1">
        <v>40256</v>
      </c>
      <c r="E127" t="s">
        <v>233</v>
      </c>
      <c r="F127" t="s">
        <v>234</v>
      </c>
      <c r="G127" t="s">
        <v>56</v>
      </c>
      <c r="H127" t="s">
        <v>800</v>
      </c>
      <c r="I127" t="s">
        <v>800</v>
      </c>
      <c r="J127" t="s">
        <v>23</v>
      </c>
      <c r="K127" t="s">
        <v>56</v>
      </c>
      <c r="L127" t="s">
        <v>24</v>
      </c>
      <c r="M127">
        <v>6</v>
      </c>
      <c r="N127" t="s">
        <v>25</v>
      </c>
      <c r="O127" t="s">
        <v>796</v>
      </c>
      <c r="P127" t="s">
        <v>57</v>
      </c>
      <c r="Q127" t="s">
        <v>155</v>
      </c>
      <c r="R127">
        <v>2010</v>
      </c>
      <c r="S127" t="s">
        <v>797</v>
      </c>
      <c r="T127">
        <f>IF(IPL_Matches_2008_2020___New[[#This Row],[Toss Winner]]=IPL_Matches_2008_2020___New[[#This Row],[Winner]],1,0)</f>
        <v>0</v>
      </c>
      <c r="U127" t="s">
        <v>798</v>
      </c>
    </row>
    <row r="128" spans="1:21" x14ac:dyDescent="0.3">
      <c r="A128" t="s">
        <v>927</v>
      </c>
      <c r="B128" t="s">
        <v>224</v>
      </c>
      <c r="C128">
        <f>YEAR(IPL_Matches_2008_2020___New[[#This Row],[Date ]])</f>
        <v>2010</v>
      </c>
      <c r="D128" s="1">
        <v>40257</v>
      </c>
      <c r="E128" t="s">
        <v>236</v>
      </c>
      <c r="F128" t="s">
        <v>226</v>
      </c>
      <c r="G128" t="s">
        <v>42</v>
      </c>
      <c r="H128" t="s">
        <v>22</v>
      </c>
      <c r="I128" t="s">
        <v>42</v>
      </c>
      <c r="J128" t="s">
        <v>35</v>
      </c>
      <c r="K128" t="s">
        <v>42</v>
      </c>
      <c r="L128" t="s">
        <v>24</v>
      </c>
      <c r="M128">
        <v>34</v>
      </c>
      <c r="N128" t="s">
        <v>25</v>
      </c>
      <c r="O128" t="s">
        <v>796</v>
      </c>
      <c r="P128" t="s">
        <v>28</v>
      </c>
      <c r="Q128" t="s">
        <v>63</v>
      </c>
      <c r="R128">
        <v>2010</v>
      </c>
      <c r="S128" t="s">
        <v>797</v>
      </c>
      <c r="T128">
        <f>IF(IPL_Matches_2008_2020___New[[#This Row],[Toss Winner]]=IPL_Matches_2008_2020___New[[#This Row],[Winner]],1,0)</f>
        <v>1</v>
      </c>
      <c r="U128" t="s">
        <v>801</v>
      </c>
    </row>
    <row r="129" spans="1:21" x14ac:dyDescent="0.3">
      <c r="A129" t="s">
        <v>928</v>
      </c>
      <c r="B129" t="s">
        <v>46</v>
      </c>
      <c r="C129">
        <f>YEAR(IPL_Matches_2008_2020___New[[#This Row],[Date ]])</f>
        <v>2010</v>
      </c>
      <c r="D129" s="1">
        <v>40257</v>
      </c>
      <c r="E129" t="s">
        <v>187</v>
      </c>
      <c r="F129" t="s">
        <v>220</v>
      </c>
      <c r="G129" t="s">
        <v>50</v>
      </c>
      <c r="H129" t="s">
        <v>21</v>
      </c>
      <c r="I129" t="s">
        <v>50</v>
      </c>
      <c r="J129" t="s">
        <v>35</v>
      </c>
      <c r="K129" t="s">
        <v>21</v>
      </c>
      <c r="L129" t="s">
        <v>43</v>
      </c>
      <c r="M129">
        <v>7</v>
      </c>
      <c r="N129" t="s">
        <v>25</v>
      </c>
      <c r="O129" t="s">
        <v>796</v>
      </c>
      <c r="P129" t="s">
        <v>165</v>
      </c>
      <c r="Q129" t="s">
        <v>188</v>
      </c>
      <c r="R129">
        <v>2010</v>
      </c>
      <c r="S129" t="s">
        <v>803</v>
      </c>
      <c r="T129">
        <f>IF(IPL_Matches_2008_2020___New[[#This Row],[Toss Winner]]=IPL_Matches_2008_2020___New[[#This Row],[Winner]],1,0)</f>
        <v>0</v>
      </c>
      <c r="U129" t="s">
        <v>798</v>
      </c>
    </row>
    <row r="130" spans="1:21" x14ac:dyDescent="0.3">
      <c r="A130" t="s">
        <v>929</v>
      </c>
      <c r="B130" t="s">
        <v>232</v>
      </c>
      <c r="C130">
        <f>YEAR(IPL_Matches_2008_2020___New[[#This Row],[Date ]])</f>
        <v>2010</v>
      </c>
      <c r="D130" s="1">
        <v>40258</v>
      </c>
      <c r="E130" t="s">
        <v>233</v>
      </c>
      <c r="F130" t="s">
        <v>234</v>
      </c>
      <c r="G130" t="s">
        <v>56</v>
      </c>
      <c r="H130" t="s">
        <v>692</v>
      </c>
      <c r="I130" t="s">
        <v>56</v>
      </c>
      <c r="J130" t="s">
        <v>35</v>
      </c>
      <c r="K130" t="s">
        <v>56</v>
      </c>
      <c r="L130" t="s">
        <v>24</v>
      </c>
      <c r="M130">
        <v>10</v>
      </c>
      <c r="N130" t="s">
        <v>25</v>
      </c>
      <c r="O130" t="s">
        <v>796</v>
      </c>
      <c r="P130" t="s">
        <v>57</v>
      </c>
      <c r="Q130" t="s">
        <v>155</v>
      </c>
      <c r="R130">
        <v>2010</v>
      </c>
      <c r="S130" t="s">
        <v>797</v>
      </c>
      <c r="T130">
        <f>IF(IPL_Matches_2008_2020___New[[#This Row],[Toss Winner]]=IPL_Matches_2008_2020___New[[#This Row],[Winner]],1,0)</f>
        <v>1</v>
      </c>
      <c r="U130" t="s">
        <v>801</v>
      </c>
    </row>
    <row r="131" spans="1:21" x14ac:dyDescent="0.3">
      <c r="A131" t="s">
        <v>930</v>
      </c>
      <c r="B131" t="s">
        <v>46</v>
      </c>
      <c r="C131">
        <f>YEAR(IPL_Matches_2008_2020___New[[#This Row],[Date ]])</f>
        <v>2010</v>
      </c>
      <c r="D131" s="1">
        <v>40259</v>
      </c>
      <c r="E131" t="s">
        <v>138</v>
      </c>
      <c r="F131" t="s">
        <v>220</v>
      </c>
      <c r="G131" t="s">
        <v>50</v>
      </c>
      <c r="H131" t="s">
        <v>22</v>
      </c>
      <c r="I131" t="s">
        <v>22</v>
      </c>
      <c r="J131" t="s">
        <v>35</v>
      </c>
      <c r="K131" t="s">
        <v>50</v>
      </c>
      <c r="L131" t="s">
        <v>43</v>
      </c>
      <c r="M131">
        <v>7</v>
      </c>
      <c r="N131" t="s">
        <v>25</v>
      </c>
      <c r="O131" t="s">
        <v>796</v>
      </c>
      <c r="P131" t="s">
        <v>188</v>
      </c>
      <c r="Q131" t="s">
        <v>149</v>
      </c>
      <c r="R131">
        <v>2010</v>
      </c>
      <c r="S131" t="s">
        <v>803</v>
      </c>
      <c r="T131">
        <f>IF(IPL_Matches_2008_2020___New[[#This Row],[Toss Winner]]=IPL_Matches_2008_2020___New[[#This Row],[Winner]],1,0)</f>
        <v>0</v>
      </c>
      <c r="U131" t="s">
        <v>798</v>
      </c>
    </row>
    <row r="132" spans="1:21" x14ac:dyDescent="0.3">
      <c r="A132" t="s">
        <v>931</v>
      </c>
      <c r="B132" t="s">
        <v>17</v>
      </c>
      <c r="C132">
        <f>YEAR(IPL_Matches_2008_2020___New[[#This Row],[Date ]])</f>
        <v>2010</v>
      </c>
      <c r="D132" s="1">
        <v>40260</v>
      </c>
      <c r="E132" t="s">
        <v>241</v>
      </c>
      <c r="F132" t="s">
        <v>795</v>
      </c>
      <c r="G132" t="s">
        <v>21</v>
      </c>
      <c r="H132" t="s">
        <v>34</v>
      </c>
      <c r="I132" t="s">
        <v>34</v>
      </c>
      <c r="J132" t="s">
        <v>23</v>
      </c>
      <c r="K132" t="s">
        <v>21</v>
      </c>
      <c r="L132" t="s">
        <v>24</v>
      </c>
      <c r="M132">
        <v>36</v>
      </c>
      <c r="N132" t="s">
        <v>25</v>
      </c>
      <c r="O132" t="s">
        <v>796</v>
      </c>
      <c r="P132" t="s">
        <v>28</v>
      </c>
      <c r="Q132" t="s">
        <v>63</v>
      </c>
      <c r="R132">
        <v>2010</v>
      </c>
      <c r="S132" t="s">
        <v>797</v>
      </c>
      <c r="T132">
        <f>IF(IPL_Matches_2008_2020___New[[#This Row],[Toss Winner]]=IPL_Matches_2008_2020___New[[#This Row],[Winner]],1,0)</f>
        <v>0</v>
      </c>
      <c r="U132" t="s">
        <v>798</v>
      </c>
    </row>
    <row r="133" spans="1:21" x14ac:dyDescent="0.3">
      <c r="A133" t="s">
        <v>932</v>
      </c>
      <c r="B133" t="s">
        <v>29</v>
      </c>
      <c r="C133">
        <f>YEAR(IPL_Matches_2008_2020___New[[#This Row],[Date ]])</f>
        <v>2010</v>
      </c>
      <c r="D133" s="1">
        <v>40261</v>
      </c>
      <c r="E133" t="s">
        <v>243</v>
      </c>
      <c r="F133" t="s">
        <v>32</v>
      </c>
      <c r="G133" t="s">
        <v>800</v>
      </c>
      <c r="H133" t="s">
        <v>42</v>
      </c>
      <c r="I133" t="s">
        <v>800</v>
      </c>
      <c r="J133" t="s">
        <v>23</v>
      </c>
      <c r="K133" t="s">
        <v>42</v>
      </c>
      <c r="L133" t="s">
        <v>24</v>
      </c>
      <c r="M133">
        <v>31</v>
      </c>
      <c r="N133" t="s">
        <v>25</v>
      </c>
      <c r="O133" t="s">
        <v>796</v>
      </c>
      <c r="P133" t="s">
        <v>88</v>
      </c>
      <c r="Q133" t="s">
        <v>181</v>
      </c>
      <c r="R133">
        <v>2010</v>
      </c>
      <c r="S133" t="s">
        <v>797</v>
      </c>
      <c r="T133">
        <f>IF(IPL_Matches_2008_2020___New[[#This Row],[Toss Winner]]=IPL_Matches_2008_2020___New[[#This Row],[Winner]],1,0)</f>
        <v>0</v>
      </c>
      <c r="U133" t="s">
        <v>798</v>
      </c>
    </row>
    <row r="134" spans="1:21" x14ac:dyDescent="0.3">
      <c r="A134" t="s">
        <v>933</v>
      </c>
      <c r="B134" t="s">
        <v>46</v>
      </c>
      <c r="C134">
        <f>YEAR(IPL_Matches_2008_2020___New[[#This Row],[Date ]])</f>
        <v>2010</v>
      </c>
      <c r="D134" s="1">
        <v>40262</v>
      </c>
      <c r="E134" t="s">
        <v>138</v>
      </c>
      <c r="F134" t="s">
        <v>220</v>
      </c>
      <c r="G134" t="s">
        <v>50</v>
      </c>
      <c r="H134" t="s">
        <v>34</v>
      </c>
      <c r="I134" t="s">
        <v>50</v>
      </c>
      <c r="J134" t="s">
        <v>23</v>
      </c>
      <c r="K134" t="s">
        <v>50</v>
      </c>
      <c r="L134" t="s">
        <v>43</v>
      </c>
      <c r="M134">
        <v>5</v>
      </c>
      <c r="N134" t="s">
        <v>25</v>
      </c>
      <c r="O134" t="s">
        <v>796</v>
      </c>
      <c r="P134" t="s">
        <v>57</v>
      </c>
      <c r="Q134" t="s">
        <v>69</v>
      </c>
      <c r="R134">
        <v>2010</v>
      </c>
      <c r="S134" t="s">
        <v>803</v>
      </c>
      <c r="T134">
        <f>IF(IPL_Matches_2008_2020___New[[#This Row],[Toss Winner]]=IPL_Matches_2008_2020___New[[#This Row],[Winner]],1,0)</f>
        <v>1</v>
      </c>
      <c r="U134" t="s">
        <v>801</v>
      </c>
    </row>
    <row r="135" spans="1:21" x14ac:dyDescent="0.3">
      <c r="A135" t="s">
        <v>934</v>
      </c>
      <c r="B135" t="s">
        <v>224</v>
      </c>
      <c r="C135">
        <f>YEAR(IPL_Matches_2008_2020___New[[#This Row],[Date ]])</f>
        <v>2010</v>
      </c>
      <c r="D135" s="1">
        <v>40263</v>
      </c>
      <c r="E135" t="s">
        <v>75</v>
      </c>
      <c r="F135" t="s">
        <v>226</v>
      </c>
      <c r="G135" t="s">
        <v>42</v>
      </c>
      <c r="H135" t="s">
        <v>56</v>
      </c>
      <c r="I135" t="s">
        <v>56</v>
      </c>
      <c r="J135" t="s">
        <v>35</v>
      </c>
      <c r="K135" t="s">
        <v>42</v>
      </c>
      <c r="L135" t="s">
        <v>43</v>
      </c>
      <c r="M135">
        <v>8</v>
      </c>
      <c r="N135" t="s">
        <v>25</v>
      </c>
      <c r="O135" t="s">
        <v>796</v>
      </c>
      <c r="P135" t="s">
        <v>165</v>
      </c>
      <c r="Q135" t="s">
        <v>149</v>
      </c>
      <c r="R135">
        <v>2010</v>
      </c>
      <c r="S135" t="s">
        <v>803</v>
      </c>
      <c r="T135">
        <f>IF(IPL_Matches_2008_2020___New[[#This Row],[Toss Winner]]=IPL_Matches_2008_2020___New[[#This Row],[Winner]],1,0)</f>
        <v>0</v>
      </c>
      <c r="U135" t="s">
        <v>798</v>
      </c>
    </row>
    <row r="136" spans="1:21" x14ac:dyDescent="0.3">
      <c r="A136" t="s">
        <v>935</v>
      </c>
      <c r="B136" t="s">
        <v>29</v>
      </c>
      <c r="C136">
        <f>YEAR(IPL_Matches_2008_2020___New[[#This Row],[Date ]])</f>
        <v>2010</v>
      </c>
      <c r="D136" s="1">
        <v>40264</v>
      </c>
      <c r="E136" t="s">
        <v>222</v>
      </c>
      <c r="F136" t="s">
        <v>32</v>
      </c>
      <c r="G136" t="s">
        <v>800</v>
      </c>
      <c r="H136" t="s">
        <v>22</v>
      </c>
      <c r="I136" t="s">
        <v>22</v>
      </c>
      <c r="J136" t="s">
        <v>35</v>
      </c>
      <c r="K136" t="s">
        <v>22</v>
      </c>
      <c r="L136" t="s">
        <v>24</v>
      </c>
      <c r="M136">
        <v>39</v>
      </c>
      <c r="N136" t="s">
        <v>25</v>
      </c>
      <c r="O136" t="s">
        <v>796</v>
      </c>
      <c r="P136" t="s">
        <v>88</v>
      </c>
      <c r="Q136" t="s">
        <v>183</v>
      </c>
      <c r="R136">
        <v>2010</v>
      </c>
      <c r="S136" t="s">
        <v>797</v>
      </c>
      <c r="T136">
        <f>IF(IPL_Matches_2008_2020___New[[#This Row],[Toss Winner]]=IPL_Matches_2008_2020___New[[#This Row],[Winner]],1,0)</f>
        <v>1</v>
      </c>
      <c r="U136" t="s">
        <v>801</v>
      </c>
    </row>
    <row r="137" spans="1:21" x14ac:dyDescent="0.3">
      <c r="A137" t="s">
        <v>936</v>
      </c>
      <c r="B137" t="s">
        <v>17</v>
      </c>
      <c r="C137">
        <f>YEAR(IPL_Matches_2008_2020___New[[#This Row],[Date ]])</f>
        <v>2010</v>
      </c>
      <c r="D137" s="1">
        <v>40262</v>
      </c>
      <c r="E137" t="s">
        <v>247</v>
      </c>
      <c r="F137" t="s">
        <v>795</v>
      </c>
      <c r="G137" t="s">
        <v>21</v>
      </c>
      <c r="H137" t="s">
        <v>692</v>
      </c>
      <c r="I137" t="s">
        <v>21</v>
      </c>
      <c r="J137" t="s">
        <v>23</v>
      </c>
      <c r="K137" t="s">
        <v>692</v>
      </c>
      <c r="L137" t="s">
        <v>24</v>
      </c>
      <c r="M137">
        <v>17</v>
      </c>
      <c r="N137" t="s">
        <v>25</v>
      </c>
      <c r="O137" t="s">
        <v>796</v>
      </c>
      <c r="P137" t="s">
        <v>106</v>
      </c>
      <c r="Q137" t="s">
        <v>28</v>
      </c>
      <c r="R137">
        <v>2010</v>
      </c>
      <c r="S137" t="s">
        <v>797</v>
      </c>
      <c r="T137">
        <f>IF(IPL_Matches_2008_2020___New[[#This Row],[Toss Winner]]=IPL_Matches_2008_2020___New[[#This Row],[Winner]],1,0)</f>
        <v>0</v>
      </c>
      <c r="U137" t="s">
        <v>798</v>
      </c>
    </row>
    <row r="138" spans="1:21" x14ac:dyDescent="0.3">
      <c r="A138" t="s">
        <v>937</v>
      </c>
      <c r="B138" t="s">
        <v>224</v>
      </c>
      <c r="C138">
        <f>YEAR(IPL_Matches_2008_2020___New[[#This Row],[Date ]])</f>
        <v>2010</v>
      </c>
      <c r="D138" s="1">
        <v>40265</v>
      </c>
      <c r="E138" t="s">
        <v>249</v>
      </c>
      <c r="F138" t="s">
        <v>226</v>
      </c>
      <c r="G138" t="s">
        <v>42</v>
      </c>
      <c r="H138" t="s">
        <v>34</v>
      </c>
      <c r="I138" t="s">
        <v>42</v>
      </c>
      <c r="J138" t="s">
        <v>35</v>
      </c>
      <c r="K138" t="s">
        <v>42</v>
      </c>
      <c r="L138" t="s">
        <v>24</v>
      </c>
      <c r="M138">
        <v>17</v>
      </c>
      <c r="N138" t="s">
        <v>25</v>
      </c>
      <c r="O138" t="s">
        <v>796</v>
      </c>
      <c r="P138" t="s">
        <v>188</v>
      </c>
      <c r="Q138" t="s">
        <v>149</v>
      </c>
      <c r="R138">
        <v>2010</v>
      </c>
      <c r="S138" t="s">
        <v>797</v>
      </c>
      <c r="T138">
        <f>IF(IPL_Matches_2008_2020___New[[#This Row],[Toss Winner]]=IPL_Matches_2008_2020___New[[#This Row],[Winner]],1,0)</f>
        <v>1</v>
      </c>
      <c r="U138" t="s">
        <v>801</v>
      </c>
    </row>
    <row r="139" spans="1:21" x14ac:dyDescent="0.3">
      <c r="A139" t="s">
        <v>938</v>
      </c>
      <c r="B139" t="s">
        <v>46</v>
      </c>
      <c r="C139">
        <f>YEAR(IPL_Matches_2008_2020___New[[#This Row],[Date ]])</f>
        <v>2010</v>
      </c>
      <c r="D139" s="1">
        <v>40265</v>
      </c>
      <c r="E139" t="s">
        <v>197</v>
      </c>
      <c r="F139" t="s">
        <v>83</v>
      </c>
      <c r="G139" t="s">
        <v>56</v>
      </c>
      <c r="H139" t="s">
        <v>50</v>
      </c>
      <c r="I139" t="s">
        <v>56</v>
      </c>
      <c r="J139" t="s">
        <v>23</v>
      </c>
      <c r="K139" t="s">
        <v>50</v>
      </c>
      <c r="L139" t="s">
        <v>24</v>
      </c>
      <c r="M139">
        <v>41</v>
      </c>
      <c r="N139" t="s">
        <v>25</v>
      </c>
      <c r="O139" t="s">
        <v>796</v>
      </c>
      <c r="P139" t="s">
        <v>228</v>
      </c>
      <c r="Q139" t="s">
        <v>58</v>
      </c>
      <c r="R139">
        <v>2010</v>
      </c>
      <c r="S139" t="s">
        <v>797</v>
      </c>
      <c r="T139">
        <f>IF(IPL_Matches_2008_2020___New[[#This Row],[Toss Winner]]=IPL_Matches_2008_2020___New[[#This Row],[Winner]],1,0)</f>
        <v>0</v>
      </c>
      <c r="U139" t="s">
        <v>798</v>
      </c>
    </row>
    <row r="140" spans="1:21" x14ac:dyDescent="0.3">
      <c r="A140" t="s">
        <v>939</v>
      </c>
      <c r="B140" t="s">
        <v>38</v>
      </c>
      <c r="C140">
        <f>YEAR(IPL_Matches_2008_2020___New[[#This Row],[Date ]])</f>
        <v>2010</v>
      </c>
      <c r="D140" s="1">
        <v>40266</v>
      </c>
      <c r="E140" t="s">
        <v>251</v>
      </c>
      <c r="F140" t="s">
        <v>40</v>
      </c>
      <c r="G140" t="s">
        <v>692</v>
      </c>
      <c r="H140" t="s">
        <v>22</v>
      </c>
      <c r="I140" t="s">
        <v>692</v>
      </c>
      <c r="J140" t="s">
        <v>35</v>
      </c>
      <c r="K140" t="s">
        <v>692</v>
      </c>
      <c r="L140" t="s">
        <v>24</v>
      </c>
      <c r="M140">
        <v>40</v>
      </c>
      <c r="N140" t="s">
        <v>25</v>
      </c>
      <c r="O140" t="s">
        <v>796</v>
      </c>
      <c r="P140" t="s">
        <v>188</v>
      </c>
      <c r="Q140" t="s">
        <v>149</v>
      </c>
      <c r="R140">
        <v>2010</v>
      </c>
      <c r="S140" t="s">
        <v>797</v>
      </c>
      <c r="T140">
        <f>IF(IPL_Matches_2008_2020___New[[#This Row],[Toss Winner]]=IPL_Matches_2008_2020___New[[#This Row],[Winner]],1,0)</f>
        <v>1</v>
      </c>
      <c r="U140" t="s">
        <v>801</v>
      </c>
    </row>
    <row r="141" spans="1:21" x14ac:dyDescent="0.3">
      <c r="A141" t="s">
        <v>940</v>
      </c>
      <c r="B141" t="s">
        <v>46</v>
      </c>
      <c r="C141">
        <f>YEAR(IPL_Matches_2008_2020___New[[#This Row],[Date ]])</f>
        <v>2010</v>
      </c>
      <c r="D141" s="1">
        <v>40267</v>
      </c>
      <c r="E141" t="s">
        <v>253</v>
      </c>
      <c r="F141" t="s">
        <v>220</v>
      </c>
      <c r="G141" t="s">
        <v>50</v>
      </c>
      <c r="H141" t="s">
        <v>800</v>
      </c>
      <c r="I141" t="s">
        <v>50</v>
      </c>
      <c r="J141" t="s">
        <v>23</v>
      </c>
      <c r="K141" t="s">
        <v>50</v>
      </c>
      <c r="L141" t="s">
        <v>43</v>
      </c>
      <c r="M141">
        <v>4</v>
      </c>
      <c r="N141" t="s">
        <v>25</v>
      </c>
      <c r="O141" t="s">
        <v>796</v>
      </c>
      <c r="P141" t="s">
        <v>88</v>
      </c>
      <c r="Q141" t="s">
        <v>181</v>
      </c>
      <c r="R141">
        <v>2010</v>
      </c>
      <c r="S141" t="s">
        <v>803</v>
      </c>
      <c r="T141">
        <f>IF(IPL_Matches_2008_2020___New[[#This Row],[Toss Winner]]=IPL_Matches_2008_2020___New[[#This Row],[Winner]],1,0)</f>
        <v>1</v>
      </c>
      <c r="U141" t="s">
        <v>801</v>
      </c>
    </row>
    <row r="142" spans="1:21" x14ac:dyDescent="0.3">
      <c r="A142" t="s">
        <v>941</v>
      </c>
      <c r="B142" t="s">
        <v>70</v>
      </c>
      <c r="C142">
        <f>YEAR(IPL_Matches_2008_2020___New[[#This Row],[Date ]])</f>
        <v>2010</v>
      </c>
      <c r="D142" s="1">
        <v>40268</v>
      </c>
      <c r="E142" t="s">
        <v>255</v>
      </c>
      <c r="F142" t="s">
        <v>73</v>
      </c>
      <c r="G142" t="s">
        <v>34</v>
      </c>
      <c r="H142" t="s">
        <v>21</v>
      </c>
      <c r="I142" t="s">
        <v>21</v>
      </c>
      <c r="J142" t="s">
        <v>35</v>
      </c>
      <c r="K142" t="s">
        <v>34</v>
      </c>
      <c r="L142" t="s">
        <v>43</v>
      </c>
      <c r="M142">
        <v>5</v>
      </c>
      <c r="N142" t="s">
        <v>25</v>
      </c>
      <c r="O142" t="s">
        <v>796</v>
      </c>
      <c r="P142" t="s">
        <v>106</v>
      </c>
      <c r="Q142" t="s">
        <v>28</v>
      </c>
      <c r="R142">
        <v>2010</v>
      </c>
      <c r="S142" t="s">
        <v>803</v>
      </c>
      <c r="T142">
        <f>IF(IPL_Matches_2008_2020___New[[#This Row],[Toss Winner]]=IPL_Matches_2008_2020___New[[#This Row],[Winner]],1,0)</f>
        <v>0</v>
      </c>
      <c r="U142" t="s">
        <v>798</v>
      </c>
    </row>
    <row r="143" spans="1:21" x14ac:dyDescent="0.3">
      <c r="A143" t="s">
        <v>942</v>
      </c>
      <c r="B143" t="s">
        <v>38</v>
      </c>
      <c r="C143">
        <f>YEAR(IPL_Matches_2008_2020___New[[#This Row],[Date ]])</f>
        <v>2010</v>
      </c>
      <c r="D143" s="1">
        <v>40268</v>
      </c>
      <c r="E143" t="s">
        <v>127</v>
      </c>
      <c r="F143" t="s">
        <v>40</v>
      </c>
      <c r="G143" t="s">
        <v>692</v>
      </c>
      <c r="H143" t="s">
        <v>42</v>
      </c>
      <c r="I143" t="s">
        <v>692</v>
      </c>
      <c r="J143" t="s">
        <v>35</v>
      </c>
      <c r="K143" t="s">
        <v>692</v>
      </c>
      <c r="L143" t="s">
        <v>24</v>
      </c>
      <c r="M143">
        <v>67</v>
      </c>
      <c r="N143" t="s">
        <v>25</v>
      </c>
      <c r="O143" t="s">
        <v>796</v>
      </c>
      <c r="P143" t="s">
        <v>165</v>
      </c>
      <c r="Q143" t="s">
        <v>149</v>
      </c>
      <c r="R143">
        <v>2010</v>
      </c>
      <c r="S143" t="s">
        <v>797</v>
      </c>
      <c r="T143">
        <f>IF(IPL_Matches_2008_2020___New[[#This Row],[Toss Winner]]=IPL_Matches_2008_2020___New[[#This Row],[Winner]],1,0)</f>
        <v>1</v>
      </c>
      <c r="U143" t="s">
        <v>801</v>
      </c>
    </row>
    <row r="144" spans="1:21" x14ac:dyDescent="0.3">
      <c r="A144" t="s">
        <v>943</v>
      </c>
      <c r="B144" t="s">
        <v>53</v>
      </c>
      <c r="C144">
        <f>YEAR(IPL_Matches_2008_2020___New[[#This Row],[Date ]])</f>
        <v>2010</v>
      </c>
      <c r="D144" s="1">
        <v>40269</v>
      </c>
      <c r="E144" t="s">
        <v>102</v>
      </c>
      <c r="F144" t="s">
        <v>55</v>
      </c>
      <c r="G144" t="s">
        <v>22</v>
      </c>
      <c r="H144" t="s">
        <v>56</v>
      </c>
      <c r="I144" t="s">
        <v>22</v>
      </c>
      <c r="J144" t="s">
        <v>35</v>
      </c>
      <c r="K144" t="s">
        <v>22</v>
      </c>
      <c r="L144" t="s">
        <v>24</v>
      </c>
      <c r="M144">
        <v>24</v>
      </c>
      <c r="N144" t="s">
        <v>25</v>
      </c>
      <c r="O144" t="s">
        <v>796</v>
      </c>
      <c r="P144" t="s">
        <v>58</v>
      </c>
      <c r="Q144" t="s">
        <v>52</v>
      </c>
      <c r="R144">
        <v>2010</v>
      </c>
      <c r="S144" t="s">
        <v>797</v>
      </c>
      <c r="T144">
        <f>IF(IPL_Matches_2008_2020___New[[#This Row],[Toss Winner]]=IPL_Matches_2008_2020___New[[#This Row],[Winner]],1,0)</f>
        <v>1</v>
      </c>
      <c r="U144" t="s">
        <v>801</v>
      </c>
    </row>
    <row r="145" spans="1:21" x14ac:dyDescent="0.3">
      <c r="A145" t="s">
        <v>944</v>
      </c>
      <c r="B145" t="s">
        <v>29</v>
      </c>
      <c r="C145">
        <f>YEAR(IPL_Matches_2008_2020___New[[#This Row],[Date ]])</f>
        <v>2010</v>
      </c>
      <c r="D145" s="1">
        <v>40270</v>
      </c>
      <c r="E145" t="s">
        <v>256</v>
      </c>
      <c r="F145" t="s">
        <v>32</v>
      </c>
      <c r="G145" t="s">
        <v>800</v>
      </c>
      <c r="H145" t="s">
        <v>21</v>
      </c>
      <c r="I145" t="s">
        <v>800</v>
      </c>
      <c r="J145" t="s">
        <v>35</v>
      </c>
      <c r="K145" t="s">
        <v>21</v>
      </c>
      <c r="L145" t="s">
        <v>43</v>
      </c>
      <c r="M145">
        <v>6</v>
      </c>
      <c r="N145" t="s">
        <v>25</v>
      </c>
      <c r="O145" t="s">
        <v>796</v>
      </c>
      <c r="P145" t="s">
        <v>57</v>
      </c>
      <c r="Q145" t="s">
        <v>155</v>
      </c>
      <c r="R145">
        <v>2010</v>
      </c>
      <c r="S145" t="s">
        <v>803</v>
      </c>
      <c r="T145">
        <f>IF(IPL_Matches_2008_2020___New[[#This Row],[Toss Winner]]=IPL_Matches_2008_2020___New[[#This Row],[Winner]],1,0)</f>
        <v>0</v>
      </c>
      <c r="U145" t="s">
        <v>798</v>
      </c>
    </row>
    <row r="146" spans="1:21" x14ac:dyDescent="0.3">
      <c r="A146" t="s">
        <v>945</v>
      </c>
      <c r="B146" t="s">
        <v>70</v>
      </c>
      <c r="C146">
        <f>YEAR(IPL_Matches_2008_2020___New[[#This Row],[Date ]])</f>
        <v>2010</v>
      </c>
      <c r="D146" s="1">
        <v>40271</v>
      </c>
      <c r="E146" t="s">
        <v>255</v>
      </c>
      <c r="F146" t="s">
        <v>73</v>
      </c>
      <c r="G146" t="s">
        <v>34</v>
      </c>
      <c r="H146" t="s">
        <v>42</v>
      </c>
      <c r="I146" t="s">
        <v>34</v>
      </c>
      <c r="J146" t="s">
        <v>35</v>
      </c>
      <c r="K146" t="s">
        <v>34</v>
      </c>
      <c r="L146" t="s">
        <v>24</v>
      </c>
      <c r="M146">
        <v>23</v>
      </c>
      <c r="N146" t="s">
        <v>25</v>
      </c>
      <c r="O146" t="s">
        <v>796</v>
      </c>
      <c r="P146" t="s">
        <v>28</v>
      </c>
      <c r="Q146" t="s">
        <v>63</v>
      </c>
      <c r="R146">
        <v>2010</v>
      </c>
      <c r="S146" t="s">
        <v>797</v>
      </c>
      <c r="T146">
        <f>IF(IPL_Matches_2008_2020___New[[#This Row],[Toss Winner]]=IPL_Matches_2008_2020___New[[#This Row],[Winner]],1,0)</f>
        <v>1</v>
      </c>
      <c r="U146" t="s">
        <v>801</v>
      </c>
    </row>
    <row r="147" spans="1:21" x14ac:dyDescent="0.3">
      <c r="A147" t="s">
        <v>946</v>
      </c>
      <c r="B147" t="s">
        <v>46</v>
      </c>
      <c r="C147">
        <f>YEAR(IPL_Matches_2008_2020___New[[#This Row],[Date ]])</f>
        <v>2010</v>
      </c>
      <c r="D147" s="1">
        <v>40271</v>
      </c>
      <c r="E147" t="s">
        <v>257</v>
      </c>
      <c r="F147" t="s">
        <v>220</v>
      </c>
      <c r="G147" t="s">
        <v>50</v>
      </c>
      <c r="H147" t="s">
        <v>56</v>
      </c>
      <c r="I147" t="s">
        <v>50</v>
      </c>
      <c r="J147" t="s">
        <v>35</v>
      </c>
      <c r="K147" t="s">
        <v>50</v>
      </c>
      <c r="L147" t="s">
        <v>24</v>
      </c>
      <c r="M147">
        <v>63</v>
      </c>
      <c r="N147" t="s">
        <v>25</v>
      </c>
      <c r="O147" t="s">
        <v>796</v>
      </c>
      <c r="P147" t="s">
        <v>88</v>
      </c>
      <c r="Q147" t="s">
        <v>183</v>
      </c>
      <c r="R147">
        <v>2010</v>
      </c>
      <c r="S147" t="s">
        <v>797</v>
      </c>
      <c r="T147">
        <f>IF(IPL_Matches_2008_2020___New[[#This Row],[Toss Winner]]=IPL_Matches_2008_2020___New[[#This Row],[Winner]],1,0)</f>
        <v>1</v>
      </c>
      <c r="U147" t="s">
        <v>801</v>
      </c>
    </row>
    <row r="148" spans="1:21" x14ac:dyDescent="0.3">
      <c r="A148" t="s">
        <v>947</v>
      </c>
      <c r="B148" t="s">
        <v>53</v>
      </c>
      <c r="C148">
        <f>YEAR(IPL_Matches_2008_2020___New[[#This Row],[Date ]])</f>
        <v>2010</v>
      </c>
      <c r="D148" s="1">
        <v>40272</v>
      </c>
      <c r="E148" t="s">
        <v>114</v>
      </c>
      <c r="F148" t="s">
        <v>55</v>
      </c>
      <c r="G148" t="s">
        <v>22</v>
      </c>
      <c r="H148" t="s">
        <v>800</v>
      </c>
      <c r="I148" t="s">
        <v>22</v>
      </c>
      <c r="J148" t="s">
        <v>35</v>
      </c>
      <c r="K148" t="s">
        <v>800</v>
      </c>
      <c r="L148" t="s">
        <v>43</v>
      </c>
      <c r="M148">
        <v>8</v>
      </c>
      <c r="N148" t="s">
        <v>25</v>
      </c>
      <c r="O148" t="s">
        <v>796</v>
      </c>
      <c r="P148" t="s">
        <v>168</v>
      </c>
      <c r="Q148" t="s">
        <v>52</v>
      </c>
      <c r="R148">
        <v>2010</v>
      </c>
      <c r="S148" t="s">
        <v>803</v>
      </c>
      <c r="T148">
        <f>IF(IPL_Matches_2008_2020___New[[#This Row],[Toss Winner]]=IPL_Matches_2008_2020___New[[#This Row],[Winner]],1,0)</f>
        <v>0</v>
      </c>
      <c r="U148" t="s">
        <v>798</v>
      </c>
    </row>
    <row r="149" spans="1:21" x14ac:dyDescent="0.3">
      <c r="A149" t="s">
        <v>948</v>
      </c>
      <c r="B149" t="s">
        <v>38</v>
      </c>
      <c r="C149">
        <f>YEAR(IPL_Matches_2008_2020___New[[#This Row],[Date ]])</f>
        <v>2010</v>
      </c>
      <c r="D149" s="1">
        <v>40272</v>
      </c>
      <c r="E149" t="s">
        <v>258</v>
      </c>
      <c r="F149" t="s">
        <v>40</v>
      </c>
      <c r="G149" t="s">
        <v>692</v>
      </c>
      <c r="H149" t="s">
        <v>21</v>
      </c>
      <c r="I149" t="s">
        <v>692</v>
      </c>
      <c r="J149" t="s">
        <v>35</v>
      </c>
      <c r="K149" t="s">
        <v>692</v>
      </c>
      <c r="L149" t="s">
        <v>24</v>
      </c>
      <c r="M149">
        <v>37</v>
      </c>
      <c r="N149" t="s">
        <v>25</v>
      </c>
      <c r="O149" t="s">
        <v>796</v>
      </c>
      <c r="P149" t="s">
        <v>57</v>
      </c>
      <c r="Q149" t="s">
        <v>155</v>
      </c>
      <c r="R149">
        <v>2010</v>
      </c>
      <c r="S149" t="s">
        <v>797</v>
      </c>
      <c r="T149">
        <f>IF(IPL_Matches_2008_2020___New[[#This Row],[Toss Winner]]=IPL_Matches_2008_2020___New[[#This Row],[Winner]],1,0)</f>
        <v>1</v>
      </c>
      <c r="U149" t="s">
        <v>801</v>
      </c>
    </row>
    <row r="150" spans="1:21" x14ac:dyDescent="0.3">
      <c r="A150" t="s">
        <v>949</v>
      </c>
      <c r="B150" t="s">
        <v>259</v>
      </c>
      <c r="C150">
        <f>YEAR(IPL_Matches_2008_2020___New[[#This Row],[Date ]])</f>
        <v>2010</v>
      </c>
      <c r="D150" s="1">
        <v>40273</v>
      </c>
      <c r="E150" t="s">
        <v>201</v>
      </c>
      <c r="F150" t="s">
        <v>260</v>
      </c>
      <c r="G150" t="s">
        <v>56</v>
      </c>
      <c r="H150" t="s">
        <v>42</v>
      </c>
      <c r="I150" t="s">
        <v>42</v>
      </c>
      <c r="J150" t="s">
        <v>35</v>
      </c>
      <c r="K150" t="s">
        <v>42</v>
      </c>
      <c r="L150" t="s">
        <v>24</v>
      </c>
      <c r="M150">
        <v>2</v>
      </c>
      <c r="N150" t="s">
        <v>25</v>
      </c>
      <c r="O150" t="s">
        <v>796</v>
      </c>
      <c r="P150" t="s">
        <v>165</v>
      </c>
      <c r="Q150" t="s">
        <v>149</v>
      </c>
      <c r="R150">
        <v>2010</v>
      </c>
      <c r="S150" t="s">
        <v>797</v>
      </c>
      <c r="T150">
        <f>IF(IPL_Matches_2008_2020___New[[#This Row],[Toss Winner]]=IPL_Matches_2008_2020___New[[#This Row],[Winner]],1,0)</f>
        <v>1</v>
      </c>
      <c r="U150" t="s">
        <v>801</v>
      </c>
    </row>
    <row r="151" spans="1:21" x14ac:dyDescent="0.3">
      <c r="A151" t="s">
        <v>950</v>
      </c>
      <c r="B151" t="s">
        <v>70</v>
      </c>
      <c r="C151">
        <f>YEAR(IPL_Matches_2008_2020___New[[#This Row],[Date ]])</f>
        <v>2010</v>
      </c>
      <c r="D151" s="1">
        <v>40274</v>
      </c>
      <c r="E151" t="s">
        <v>133</v>
      </c>
      <c r="F151" t="s">
        <v>73</v>
      </c>
      <c r="G151" t="s">
        <v>34</v>
      </c>
      <c r="H151" t="s">
        <v>50</v>
      </c>
      <c r="I151" t="s">
        <v>34</v>
      </c>
      <c r="J151" t="s">
        <v>35</v>
      </c>
      <c r="K151" t="s">
        <v>34</v>
      </c>
      <c r="L151" t="s">
        <v>24</v>
      </c>
      <c r="M151">
        <v>24</v>
      </c>
      <c r="N151" t="s">
        <v>25</v>
      </c>
      <c r="O151" t="s">
        <v>796</v>
      </c>
      <c r="P151" t="s">
        <v>168</v>
      </c>
      <c r="Q151" t="s">
        <v>52</v>
      </c>
      <c r="R151">
        <v>2010</v>
      </c>
      <c r="S151" t="s">
        <v>797</v>
      </c>
      <c r="T151">
        <f>IF(IPL_Matches_2008_2020___New[[#This Row],[Toss Winner]]=IPL_Matches_2008_2020___New[[#This Row],[Winner]],1,0)</f>
        <v>1</v>
      </c>
      <c r="U151" t="s">
        <v>801</v>
      </c>
    </row>
    <row r="152" spans="1:21" x14ac:dyDescent="0.3">
      <c r="A152" t="s">
        <v>951</v>
      </c>
      <c r="B152" t="s">
        <v>59</v>
      </c>
      <c r="C152">
        <f>YEAR(IPL_Matches_2008_2020___New[[#This Row],[Date ]])</f>
        <v>2010</v>
      </c>
      <c r="D152" s="1">
        <v>40275</v>
      </c>
      <c r="E152" t="s">
        <v>261</v>
      </c>
      <c r="F152" t="s">
        <v>62</v>
      </c>
      <c r="G152" t="s">
        <v>42</v>
      </c>
      <c r="H152" t="s">
        <v>800</v>
      </c>
      <c r="I152" t="s">
        <v>800</v>
      </c>
      <c r="J152" t="s">
        <v>35</v>
      </c>
      <c r="K152" t="s">
        <v>42</v>
      </c>
      <c r="L152" t="s">
        <v>43</v>
      </c>
      <c r="M152">
        <v>9</v>
      </c>
      <c r="N152" t="s">
        <v>25</v>
      </c>
      <c r="O152" t="s">
        <v>796</v>
      </c>
      <c r="P152" t="s">
        <v>183</v>
      </c>
      <c r="Q152" t="s">
        <v>181</v>
      </c>
      <c r="R152">
        <v>2010</v>
      </c>
      <c r="S152" t="s">
        <v>803</v>
      </c>
      <c r="T152">
        <f>IF(IPL_Matches_2008_2020___New[[#This Row],[Toss Winner]]=IPL_Matches_2008_2020___New[[#This Row],[Winner]],1,0)</f>
        <v>0</v>
      </c>
      <c r="U152" t="s">
        <v>798</v>
      </c>
    </row>
    <row r="153" spans="1:21" x14ac:dyDescent="0.3">
      <c r="A153" t="s">
        <v>952</v>
      </c>
      <c r="B153" t="s">
        <v>53</v>
      </c>
      <c r="C153">
        <f>YEAR(IPL_Matches_2008_2020___New[[#This Row],[Date ]])</f>
        <v>2010</v>
      </c>
      <c r="D153" s="1">
        <v>40275</v>
      </c>
      <c r="E153" t="s">
        <v>102</v>
      </c>
      <c r="F153" t="s">
        <v>55</v>
      </c>
      <c r="G153" t="s">
        <v>22</v>
      </c>
      <c r="H153" t="s">
        <v>692</v>
      </c>
      <c r="I153" t="s">
        <v>22</v>
      </c>
      <c r="J153" t="s">
        <v>35</v>
      </c>
      <c r="K153" t="s">
        <v>22</v>
      </c>
      <c r="L153" t="s">
        <v>24</v>
      </c>
      <c r="M153">
        <v>14</v>
      </c>
      <c r="N153" t="s">
        <v>25</v>
      </c>
      <c r="O153" t="s">
        <v>796</v>
      </c>
      <c r="P153" t="s">
        <v>106</v>
      </c>
      <c r="Q153" t="s">
        <v>28</v>
      </c>
      <c r="R153">
        <v>2010</v>
      </c>
      <c r="S153" t="s">
        <v>797</v>
      </c>
      <c r="T153">
        <f>IF(IPL_Matches_2008_2020___New[[#This Row],[Toss Winner]]=IPL_Matches_2008_2020___New[[#This Row],[Winner]],1,0)</f>
        <v>1</v>
      </c>
      <c r="U153" t="s">
        <v>801</v>
      </c>
    </row>
    <row r="154" spans="1:21" x14ac:dyDescent="0.3">
      <c r="A154" t="s">
        <v>953</v>
      </c>
      <c r="B154" t="s">
        <v>17</v>
      </c>
      <c r="C154">
        <f>YEAR(IPL_Matches_2008_2020___New[[#This Row],[Date ]])</f>
        <v>2010</v>
      </c>
      <c r="D154" s="1">
        <v>40276</v>
      </c>
      <c r="E154" t="s">
        <v>262</v>
      </c>
      <c r="F154" t="s">
        <v>795</v>
      </c>
      <c r="G154" t="s">
        <v>21</v>
      </c>
      <c r="H154" t="s">
        <v>56</v>
      </c>
      <c r="I154" t="s">
        <v>56</v>
      </c>
      <c r="J154" t="s">
        <v>23</v>
      </c>
      <c r="K154" t="s">
        <v>56</v>
      </c>
      <c r="L154" t="s">
        <v>43</v>
      </c>
      <c r="M154">
        <v>7</v>
      </c>
      <c r="N154" t="s">
        <v>25</v>
      </c>
      <c r="O154" t="s">
        <v>796</v>
      </c>
      <c r="P154" t="s">
        <v>168</v>
      </c>
      <c r="Q154" t="s">
        <v>52</v>
      </c>
      <c r="R154">
        <v>2010</v>
      </c>
      <c r="S154" t="s">
        <v>803</v>
      </c>
      <c r="T154">
        <f>IF(IPL_Matches_2008_2020___New[[#This Row],[Toss Winner]]=IPL_Matches_2008_2020___New[[#This Row],[Winner]],1,0)</f>
        <v>1</v>
      </c>
      <c r="U154" t="s">
        <v>801</v>
      </c>
    </row>
    <row r="155" spans="1:21" x14ac:dyDescent="0.3">
      <c r="A155" t="s">
        <v>954</v>
      </c>
      <c r="B155" t="s">
        <v>29</v>
      </c>
      <c r="C155">
        <f>YEAR(IPL_Matches_2008_2020___New[[#This Row],[Date ]])</f>
        <v>2010</v>
      </c>
      <c r="D155" s="1">
        <v>40277</v>
      </c>
      <c r="E155" t="s">
        <v>77</v>
      </c>
      <c r="F155" t="s">
        <v>32</v>
      </c>
      <c r="G155" t="s">
        <v>800</v>
      </c>
      <c r="H155" t="s">
        <v>50</v>
      </c>
      <c r="I155" t="s">
        <v>50</v>
      </c>
      <c r="J155" t="s">
        <v>35</v>
      </c>
      <c r="K155" t="s">
        <v>800</v>
      </c>
      <c r="L155" t="s">
        <v>43</v>
      </c>
      <c r="M155">
        <v>6</v>
      </c>
      <c r="N155" t="s">
        <v>25</v>
      </c>
      <c r="O155" t="s">
        <v>796</v>
      </c>
      <c r="P155" t="s">
        <v>155</v>
      </c>
      <c r="Q155" t="s">
        <v>69</v>
      </c>
      <c r="R155">
        <v>2010</v>
      </c>
      <c r="S155" t="s">
        <v>803</v>
      </c>
      <c r="T155">
        <f>IF(IPL_Matches_2008_2020___New[[#This Row],[Toss Winner]]=IPL_Matches_2008_2020___New[[#This Row],[Winner]],1,0)</f>
        <v>0</v>
      </c>
      <c r="U155" t="s">
        <v>798</v>
      </c>
    </row>
    <row r="156" spans="1:21" x14ac:dyDescent="0.3">
      <c r="A156" t="s">
        <v>955</v>
      </c>
      <c r="B156" t="s">
        <v>259</v>
      </c>
      <c r="C156">
        <f>YEAR(IPL_Matches_2008_2020___New[[#This Row],[Date ]])</f>
        <v>2010</v>
      </c>
      <c r="D156" s="1">
        <v>40278</v>
      </c>
      <c r="E156" t="s">
        <v>263</v>
      </c>
      <c r="F156" t="s">
        <v>260</v>
      </c>
      <c r="G156" t="s">
        <v>56</v>
      </c>
      <c r="H156" t="s">
        <v>34</v>
      </c>
      <c r="I156" t="s">
        <v>34</v>
      </c>
      <c r="J156" t="s">
        <v>35</v>
      </c>
      <c r="K156" t="s">
        <v>56</v>
      </c>
      <c r="L156" t="s">
        <v>43</v>
      </c>
      <c r="M156">
        <v>6</v>
      </c>
      <c r="N156" t="s">
        <v>25</v>
      </c>
      <c r="O156" t="s">
        <v>796</v>
      </c>
      <c r="P156" t="s">
        <v>165</v>
      </c>
      <c r="Q156" t="s">
        <v>149</v>
      </c>
      <c r="R156">
        <v>2010</v>
      </c>
      <c r="S156" t="s">
        <v>803</v>
      </c>
      <c r="T156">
        <f>IF(IPL_Matches_2008_2020___New[[#This Row],[Toss Winner]]=IPL_Matches_2008_2020___New[[#This Row],[Winner]],1,0)</f>
        <v>0</v>
      </c>
      <c r="U156" t="s">
        <v>798</v>
      </c>
    </row>
    <row r="157" spans="1:21" x14ac:dyDescent="0.3">
      <c r="A157" t="s">
        <v>956</v>
      </c>
      <c r="B157" t="s">
        <v>17</v>
      </c>
      <c r="C157">
        <f>YEAR(IPL_Matches_2008_2020___New[[#This Row],[Date ]])</f>
        <v>2010</v>
      </c>
      <c r="D157" s="1">
        <v>40278</v>
      </c>
      <c r="E157" t="s">
        <v>96</v>
      </c>
      <c r="F157" t="s">
        <v>795</v>
      </c>
      <c r="G157" t="s">
        <v>21</v>
      </c>
      <c r="H157" t="s">
        <v>22</v>
      </c>
      <c r="I157" t="s">
        <v>21</v>
      </c>
      <c r="J157" t="s">
        <v>23</v>
      </c>
      <c r="K157" t="s">
        <v>21</v>
      </c>
      <c r="L157" t="s">
        <v>43</v>
      </c>
      <c r="M157">
        <v>7</v>
      </c>
      <c r="N157" t="s">
        <v>25</v>
      </c>
      <c r="O157" t="s">
        <v>796</v>
      </c>
      <c r="P157" t="s">
        <v>58</v>
      </c>
      <c r="Q157" t="s">
        <v>52</v>
      </c>
      <c r="R157">
        <v>2010</v>
      </c>
      <c r="S157" t="s">
        <v>803</v>
      </c>
      <c r="T157">
        <f>IF(IPL_Matches_2008_2020___New[[#This Row],[Toss Winner]]=IPL_Matches_2008_2020___New[[#This Row],[Winner]],1,0)</f>
        <v>1</v>
      </c>
      <c r="U157" t="s">
        <v>801</v>
      </c>
    </row>
    <row r="158" spans="1:21" x14ac:dyDescent="0.3">
      <c r="A158" t="s">
        <v>957</v>
      </c>
      <c r="B158" t="s">
        <v>38</v>
      </c>
      <c r="C158">
        <f>YEAR(IPL_Matches_2008_2020___New[[#This Row],[Date ]])</f>
        <v>2010</v>
      </c>
      <c r="D158" s="1">
        <v>40279</v>
      </c>
      <c r="E158" t="s">
        <v>264</v>
      </c>
      <c r="F158" t="s">
        <v>40</v>
      </c>
      <c r="G158" t="s">
        <v>692</v>
      </c>
      <c r="H158" t="s">
        <v>800</v>
      </c>
      <c r="I158" t="s">
        <v>692</v>
      </c>
      <c r="J158" t="s">
        <v>35</v>
      </c>
      <c r="K158" t="s">
        <v>800</v>
      </c>
      <c r="L158" t="s">
        <v>43</v>
      </c>
      <c r="M158">
        <v>7</v>
      </c>
      <c r="N158" t="s">
        <v>25</v>
      </c>
      <c r="O158" t="s">
        <v>796</v>
      </c>
      <c r="P158" t="s">
        <v>57</v>
      </c>
      <c r="Q158" t="s">
        <v>69</v>
      </c>
      <c r="R158">
        <v>2010</v>
      </c>
      <c r="S158" t="s">
        <v>803</v>
      </c>
      <c r="T158">
        <f>IF(IPL_Matches_2008_2020___New[[#This Row],[Toss Winner]]=IPL_Matches_2008_2020___New[[#This Row],[Winner]],1,0)</f>
        <v>0</v>
      </c>
      <c r="U158" t="s">
        <v>798</v>
      </c>
    </row>
    <row r="159" spans="1:21" x14ac:dyDescent="0.3">
      <c r="A159" t="s">
        <v>958</v>
      </c>
      <c r="B159" t="s">
        <v>59</v>
      </c>
      <c r="C159">
        <f>YEAR(IPL_Matches_2008_2020___New[[#This Row],[Date ]])</f>
        <v>2010</v>
      </c>
      <c r="D159" s="1">
        <v>40279</v>
      </c>
      <c r="E159" t="s">
        <v>138</v>
      </c>
      <c r="F159" t="s">
        <v>62</v>
      </c>
      <c r="G159" t="s">
        <v>42</v>
      </c>
      <c r="H159" t="s">
        <v>50</v>
      </c>
      <c r="I159" t="s">
        <v>42</v>
      </c>
      <c r="J159" t="s">
        <v>23</v>
      </c>
      <c r="K159" t="s">
        <v>50</v>
      </c>
      <c r="L159" t="s">
        <v>24</v>
      </c>
      <c r="M159">
        <v>37</v>
      </c>
      <c r="N159" t="s">
        <v>25</v>
      </c>
      <c r="O159" t="s">
        <v>796</v>
      </c>
      <c r="P159" t="s">
        <v>88</v>
      </c>
      <c r="Q159" t="s">
        <v>181</v>
      </c>
      <c r="R159">
        <v>2010</v>
      </c>
      <c r="S159" t="s">
        <v>797</v>
      </c>
      <c r="T159">
        <f>IF(IPL_Matches_2008_2020___New[[#This Row],[Toss Winner]]=IPL_Matches_2008_2020___New[[#This Row],[Winner]],1,0)</f>
        <v>0</v>
      </c>
      <c r="U159" t="s">
        <v>798</v>
      </c>
    </row>
    <row r="160" spans="1:21" x14ac:dyDescent="0.3">
      <c r="A160" t="s">
        <v>959</v>
      </c>
      <c r="B160" t="s">
        <v>259</v>
      </c>
      <c r="C160">
        <f>YEAR(IPL_Matches_2008_2020___New[[#This Row],[Date ]])</f>
        <v>2010</v>
      </c>
      <c r="D160" s="1">
        <v>40280</v>
      </c>
      <c r="E160" t="s">
        <v>265</v>
      </c>
      <c r="F160" t="s">
        <v>260</v>
      </c>
      <c r="G160" t="s">
        <v>56</v>
      </c>
      <c r="H160" t="s">
        <v>21</v>
      </c>
      <c r="I160" t="s">
        <v>21</v>
      </c>
      <c r="J160" t="s">
        <v>23</v>
      </c>
      <c r="K160" t="s">
        <v>56</v>
      </c>
      <c r="L160" t="s">
        <v>24</v>
      </c>
      <c r="M160">
        <v>13</v>
      </c>
      <c r="N160" t="s">
        <v>25</v>
      </c>
      <c r="O160" t="s">
        <v>796</v>
      </c>
      <c r="P160" t="s">
        <v>28</v>
      </c>
      <c r="Q160" t="s">
        <v>63</v>
      </c>
      <c r="R160">
        <v>2010</v>
      </c>
      <c r="S160" t="s">
        <v>797</v>
      </c>
      <c r="T160">
        <f>IF(IPL_Matches_2008_2020___New[[#This Row],[Toss Winner]]=IPL_Matches_2008_2020___New[[#This Row],[Winner]],1,0)</f>
        <v>0</v>
      </c>
      <c r="U160" t="s">
        <v>798</v>
      </c>
    </row>
    <row r="161" spans="1:21" x14ac:dyDescent="0.3">
      <c r="A161" t="s">
        <v>960</v>
      </c>
      <c r="B161" t="s">
        <v>46</v>
      </c>
      <c r="C161">
        <f>YEAR(IPL_Matches_2008_2020___New[[#This Row],[Date ]])</f>
        <v>2010</v>
      </c>
      <c r="D161" s="1">
        <v>40281</v>
      </c>
      <c r="E161" t="s">
        <v>267</v>
      </c>
      <c r="F161" t="s">
        <v>220</v>
      </c>
      <c r="G161" t="s">
        <v>50</v>
      </c>
      <c r="H161" t="s">
        <v>692</v>
      </c>
      <c r="I161" t="s">
        <v>50</v>
      </c>
      <c r="J161" t="s">
        <v>35</v>
      </c>
      <c r="K161" t="s">
        <v>50</v>
      </c>
      <c r="L161" t="s">
        <v>24</v>
      </c>
      <c r="M161">
        <v>39</v>
      </c>
      <c r="N161" t="s">
        <v>25</v>
      </c>
      <c r="O161" t="s">
        <v>796</v>
      </c>
      <c r="P161" t="s">
        <v>168</v>
      </c>
      <c r="Q161" t="s">
        <v>52</v>
      </c>
      <c r="R161">
        <v>2010</v>
      </c>
      <c r="S161" t="s">
        <v>797</v>
      </c>
      <c r="T161">
        <f>IF(IPL_Matches_2008_2020___New[[#This Row],[Toss Winner]]=IPL_Matches_2008_2020___New[[#This Row],[Winner]],1,0)</f>
        <v>1</v>
      </c>
      <c r="U161" t="s">
        <v>801</v>
      </c>
    </row>
    <row r="162" spans="1:21" x14ac:dyDescent="0.3">
      <c r="A162" t="s">
        <v>961</v>
      </c>
      <c r="B162" t="s">
        <v>70</v>
      </c>
      <c r="C162">
        <f>YEAR(IPL_Matches_2008_2020___New[[#This Row],[Date ]])</f>
        <v>2010</v>
      </c>
      <c r="D162" s="1">
        <v>40281</v>
      </c>
      <c r="E162" t="s">
        <v>268</v>
      </c>
      <c r="F162" t="s">
        <v>73</v>
      </c>
      <c r="G162" t="s">
        <v>34</v>
      </c>
      <c r="H162" t="s">
        <v>22</v>
      </c>
      <c r="I162" t="s">
        <v>22</v>
      </c>
      <c r="J162" t="s">
        <v>35</v>
      </c>
      <c r="K162" t="s">
        <v>34</v>
      </c>
      <c r="L162" t="s">
        <v>43</v>
      </c>
      <c r="M162">
        <v>9</v>
      </c>
      <c r="N162" t="s">
        <v>25</v>
      </c>
      <c r="O162" t="s">
        <v>796</v>
      </c>
      <c r="P162" t="s">
        <v>188</v>
      </c>
      <c r="Q162" t="s">
        <v>149</v>
      </c>
      <c r="R162">
        <v>2010</v>
      </c>
      <c r="S162" t="s">
        <v>803</v>
      </c>
      <c r="T162">
        <f>IF(IPL_Matches_2008_2020___New[[#This Row],[Toss Winner]]=IPL_Matches_2008_2020___New[[#This Row],[Winner]],1,0)</f>
        <v>0</v>
      </c>
      <c r="U162" t="s">
        <v>798</v>
      </c>
    </row>
    <row r="163" spans="1:21" x14ac:dyDescent="0.3">
      <c r="A163" t="s">
        <v>962</v>
      </c>
      <c r="B163" t="s">
        <v>59</v>
      </c>
      <c r="C163">
        <f>YEAR(IPL_Matches_2008_2020___New[[#This Row],[Date ]])</f>
        <v>2010</v>
      </c>
      <c r="D163" s="1">
        <v>40282</v>
      </c>
      <c r="E163" t="s">
        <v>256</v>
      </c>
      <c r="F163" t="s">
        <v>62</v>
      </c>
      <c r="G163" t="s">
        <v>42</v>
      </c>
      <c r="H163" t="s">
        <v>21</v>
      </c>
      <c r="I163" t="s">
        <v>42</v>
      </c>
      <c r="J163" t="s">
        <v>35</v>
      </c>
      <c r="K163" t="s">
        <v>21</v>
      </c>
      <c r="L163" t="s">
        <v>43</v>
      </c>
      <c r="M163">
        <v>5</v>
      </c>
      <c r="N163" t="s">
        <v>25</v>
      </c>
      <c r="O163" t="s">
        <v>796</v>
      </c>
      <c r="P163" t="s">
        <v>88</v>
      </c>
      <c r="Q163" t="s">
        <v>183</v>
      </c>
      <c r="R163">
        <v>2010</v>
      </c>
      <c r="S163" t="s">
        <v>803</v>
      </c>
      <c r="T163">
        <f>IF(IPL_Matches_2008_2020___New[[#This Row],[Toss Winner]]=IPL_Matches_2008_2020___New[[#This Row],[Winner]],1,0)</f>
        <v>0</v>
      </c>
      <c r="U163" t="s">
        <v>798</v>
      </c>
    </row>
    <row r="164" spans="1:21" x14ac:dyDescent="0.3">
      <c r="A164" t="s">
        <v>963</v>
      </c>
      <c r="B164" t="s">
        <v>70</v>
      </c>
      <c r="C164">
        <f>YEAR(IPL_Matches_2008_2020___New[[#This Row],[Date ]])</f>
        <v>2010</v>
      </c>
      <c r="D164" s="1">
        <v>40283</v>
      </c>
      <c r="E164" t="s">
        <v>189</v>
      </c>
      <c r="F164" t="s">
        <v>73</v>
      </c>
      <c r="G164" t="s">
        <v>34</v>
      </c>
      <c r="H164" t="s">
        <v>692</v>
      </c>
      <c r="I164" t="s">
        <v>34</v>
      </c>
      <c r="J164" t="s">
        <v>35</v>
      </c>
      <c r="K164" t="s">
        <v>692</v>
      </c>
      <c r="L164" t="s">
        <v>43</v>
      </c>
      <c r="M164">
        <v>6</v>
      </c>
      <c r="N164" t="s">
        <v>25</v>
      </c>
      <c r="O164" t="s">
        <v>796</v>
      </c>
      <c r="P164" t="s">
        <v>165</v>
      </c>
      <c r="Q164" t="s">
        <v>188</v>
      </c>
      <c r="R164">
        <v>2010</v>
      </c>
      <c r="S164" t="s">
        <v>803</v>
      </c>
      <c r="T164">
        <f>IF(IPL_Matches_2008_2020___New[[#This Row],[Toss Winner]]=IPL_Matches_2008_2020___New[[#This Row],[Winner]],1,0)</f>
        <v>0</v>
      </c>
      <c r="U164" t="s">
        <v>798</v>
      </c>
    </row>
    <row r="165" spans="1:21" x14ac:dyDescent="0.3">
      <c r="A165" t="s">
        <v>964</v>
      </c>
      <c r="B165" t="s">
        <v>271</v>
      </c>
      <c r="C165">
        <f>YEAR(IPL_Matches_2008_2020___New[[#This Row],[Date ]])</f>
        <v>2010</v>
      </c>
      <c r="D165" s="1">
        <v>40284</v>
      </c>
      <c r="E165" t="s">
        <v>190</v>
      </c>
      <c r="F165" t="s">
        <v>273</v>
      </c>
      <c r="G165" t="s">
        <v>800</v>
      </c>
      <c r="H165" t="s">
        <v>56</v>
      </c>
      <c r="I165" t="s">
        <v>56</v>
      </c>
      <c r="J165" t="s">
        <v>23</v>
      </c>
      <c r="K165" t="s">
        <v>56</v>
      </c>
      <c r="L165" t="s">
        <v>43</v>
      </c>
      <c r="M165">
        <v>5</v>
      </c>
      <c r="N165" t="s">
        <v>25</v>
      </c>
      <c r="O165" t="s">
        <v>796</v>
      </c>
      <c r="P165" t="s">
        <v>155</v>
      </c>
      <c r="Q165" t="s">
        <v>69</v>
      </c>
      <c r="R165">
        <v>2010</v>
      </c>
      <c r="S165" t="s">
        <v>803</v>
      </c>
      <c r="T165">
        <f>IF(IPL_Matches_2008_2020___New[[#This Row],[Toss Winner]]=IPL_Matches_2008_2020___New[[#This Row],[Winner]],1,0)</f>
        <v>1</v>
      </c>
      <c r="U165" t="s">
        <v>801</v>
      </c>
    </row>
    <row r="166" spans="1:21" x14ac:dyDescent="0.3">
      <c r="A166" t="s">
        <v>965</v>
      </c>
      <c r="B166" t="s">
        <v>17</v>
      </c>
      <c r="C166">
        <f>YEAR(IPL_Matches_2008_2020___New[[#This Row],[Date ]])</f>
        <v>2010</v>
      </c>
      <c r="D166" s="1">
        <v>40285</v>
      </c>
      <c r="E166" t="s">
        <v>275</v>
      </c>
      <c r="F166" t="s">
        <v>795</v>
      </c>
      <c r="G166" t="s">
        <v>21</v>
      </c>
      <c r="H166" t="s">
        <v>50</v>
      </c>
      <c r="I166" t="s">
        <v>21</v>
      </c>
      <c r="J166" t="s">
        <v>23</v>
      </c>
      <c r="K166" t="s">
        <v>50</v>
      </c>
      <c r="L166" t="s">
        <v>24</v>
      </c>
      <c r="M166">
        <v>57</v>
      </c>
      <c r="N166" t="s">
        <v>25</v>
      </c>
      <c r="O166" t="s">
        <v>796</v>
      </c>
      <c r="P166" t="s">
        <v>165</v>
      </c>
      <c r="Q166" t="s">
        <v>149</v>
      </c>
      <c r="R166">
        <v>2010</v>
      </c>
      <c r="S166" t="s">
        <v>797</v>
      </c>
      <c r="T166">
        <f>IF(IPL_Matches_2008_2020___New[[#This Row],[Toss Winner]]=IPL_Matches_2008_2020___New[[#This Row],[Winner]],1,0)</f>
        <v>0</v>
      </c>
      <c r="U166" t="s">
        <v>798</v>
      </c>
    </row>
    <row r="167" spans="1:21" x14ac:dyDescent="0.3">
      <c r="A167" t="s">
        <v>966</v>
      </c>
      <c r="B167" t="s">
        <v>53</v>
      </c>
      <c r="C167">
        <f>YEAR(IPL_Matches_2008_2020___New[[#This Row],[Date ]])</f>
        <v>2010</v>
      </c>
      <c r="D167" s="1">
        <v>40285</v>
      </c>
      <c r="E167" t="s">
        <v>276</v>
      </c>
      <c r="F167" t="s">
        <v>55</v>
      </c>
      <c r="G167" t="s">
        <v>22</v>
      </c>
      <c r="H167" t="s">
        <v>42</v>
      </c>
      <c r="I167" t="s">
        <v>42</v>
      </c>
      <c r="J167" t="s">
        <v>35</v>
      </c>
      <c r="K167" t="s">
        <v>22</v>
      </c>
      <c r="L167" t="s">
        <v>43</v>
      </c>
      <c r="M167">
        <v>8</v>
      </c>
      <c r="N167" t="s">
        <v>25</v>
      </c>
      <c r="O167" t="s">
        <v>796</v>
      </c>
      <c r="P167" t="s">
        <v>106</v>
      </c>
      <c r="Q167" t="s">
        <v>63</v>
      </c>
      <c r="R167">
        <v>2010</v>
      </c>
      <c r="S167" t="s">
        <v>803</v>
      </c>
      <c r="T167">
        <f>IF(IPL_Matches_2008_2020___New[[#This Row],[Toss Winner]]=IPL_Matches_2008_2020___New[[#This Row],[Winner]],1,0)</f>
        <v>0</v>
      </c>
      <c r="U167" t="s">
        <v>798</v>
      </c>
    </row>
    <row r="168" spans="1:21" x14ac:dyDescent="0.3">
      <c r="A168" t="s">
        <v>967</v>
      </c>
      <c r="B168" t="s">
        <v>271</v>
      </c>
      <c r="C168">
        <f>YEAR(IPL_Matches_2008_2020___New[[#This Row],[Date ]])</f>
        <v>2010</v>
      </c>
      <c r="D168" s="1">
        <v>40286</v>
      </c>
      <c r="E168" t="s">
        <v>87</v>
      </c>
      <c r="F168" t="s">
        <v>273</v>
      </c>
      <c r="G168" t="s">
        <v>800</v>
      </c>
      <c r="H168" t="s">
        <v>34</v>
      </c>
      <c r="I168" t="s">
        <v>34</v>
      </c>
      <c r="J168" t="s">
        <v>23</v>
      </c>
      <c r="K168" t="s">
        <v>34</v>
      </c>
      <c r="L168" t="s">
        <v>43</v>
      </c>
      <c r="M168">
        <v>6</v>
      </c>
      <c r="N168" t="s">
        <v>25</v>
      </c>
      <c r="O168" t="s">
        <v>796</v>
      </c>
      <c r="P168" t="s">
        <v>57</v>
      </c>
      <c r="Q168" t="s">
        <v>69</v>
      </c>
      <c r="R168">
        <v>2010</v>
      </c>
      <c r="S168" t="s">
        <v>803</v>
      </c>
      <c r="T168">
        <f>IF(IPL_Matches_2008_2020___New[[#This Row],[Toss Winner]]=IPL_Matches_2008_2020___New[[#This Row],[Winner]],1,0)</f>
        <v>1</v>
      </c>
      <c r="U168" t="s">
        <v>801</v>
      </c>
    </row>
    <row r="169" spans="1:21" x14ac:dyDescent="0.3">
      <c r="A169" t="s">
        <v>968</v>
      </c>
      <c r="B169" t="s">
        <v>38</v>
      </c>
      <c r="C169">
        <f>YEAR(IPL_Matches_2008_2020___New[[#This Row],[Date ]])</f>
        <v>2010</v>
      </c>
      <c r="D169" s="1">
        <v>40286</v>
      </c>
      <c r="E169" t="s">
        <v>233</v>
      </c>
      <c r="F169" t="s">
        <v>40</v>
      </c>
      <c r="G169" t="s">
        <v>692</v>
      </c>
      <c r="H169" t="s">
        <v>56</v>
      </c>
      <c r="I169" t="s">
        <v>56</v>
      </c>
      <c r="J169" t="s">
        <v>35</v>
      </c>
      <c r="K169" t="s">
        <v>56</v>
      </c>
      <c r="L169" t="s">
        <v>24</v>
      </c>
      <c r="M169">
        <v>11</v>
      </c>
      <c r="N169" t="s">
        <v>25</v>
      </c>
      <c r="O169" t="s">
        <v>796</v>
      </c>
      <c r="P169" t="s">
        <v>88</v>
      </c>
      <c r="Q169" t="s">
        <v>181</v>
      </c>
      <c r="R169">
        <v>2010</v>
      </c>
      <c r="S169" t="s">
        <v>797</v>
      </c>
      <c r="T169">
        <f>IF(IPL_Matches_2008_2020___New[[#This Row],[Toss Winner]]=IPL_Matches_2008_2020___New[[#This Row],[Winner]],1,0)</f>
        <v>1</v>
      </c>
      <c r="U169" t="s">
        <v>801</v>
      </c>
    </row>
    <row r="170" spans="1:21" x14ac:dyDescent="0.3">
      <c r="A170" t="s">
        <v>969</v>
      </c>
      <c r="B170" t="s">
        <v>53</v>
      </c>
      <c r="C170">
        <f>YEAR(IPL_Matches_2008_2020___New[[#This Row],[Date ]])</f>
        <v>2010</v>
      </c>
      <c r="D170" s="1">
        <v>40287</v>
      </c>
      <c r="E170" t="s">
        <v>279</v>
      </c>
      <c r="F170" t="s">
        <v>55</v>
      </c>
      <c r="G170" t="s">
        <v>22</v>
      </c>
      <c r="H170" t="s">
        <v>50</v>
      </c>
      <c r="I170" t="s">
        <v>50</v>
      </c>
      <c r="J170" t="s">
        <v>35</v>
      </c>
      <c r="K170" t="s">
        <v>22</v>
      </c>
      <c r="L170" t="s">
        <v>43</v>
      </c>
      <c r="M170">
        <v>9</v>
      </c>
      <c r="N170" t="s">
        <v>25</v>
      </c>
      <c r="O170" t="s">
        <v>796</v>
      </c>
      <c r="P170" t="s">
        <v>106</v>
      </c>
      <c r="Q170" t="s">
        <v>28</v>
      </c>
      <c r="R170">
        <v>2010</v>
      </c>
      <c r="S170" t="s">
        <v>803</v>
      </c>
      <c r="T170">
        <f>IF(IPL_Matches_2008_2020___New[[#This Row],[Toss Winner]]=IPL_Matches_2008_2020___New[[#This Row],[Winner]],1,0)</f>
        <v>0</v>
      </c>
      <c r="U170" t="s">
        <v>798</v>
      </c>
    </row>
    <row r="171" spans="1:21" x14ac:dyDescent="0.3">
      <c r="A171" t="s">
        <v>970</v>
      </c>
      <c r="B171" t="s">
        <v>46</v>
      </c>
      <c r="C171">
        <f>YEAR(IPL_Matches_2008_2020___New[[#This Row],[Date ]])</f>
        <v>2010</v>
      </c>
      <c r="D171" s="1">
        <v>40289</v>
      </c>
      <c r="E171" t="s">
        <v>267</v>
      </c>
      <c r="F171" t="s">
        <v>83</v>
      </c>
      <c r="G171" t="s">
        <v>21</v>
      </c>
      <c r="H171" t="s">
        <v>50</v>
      </c>
      <c r="I171" t="s">
        <v>50</v>
      </c>
      <c r="J171" t="s">
        <v>35</v>
      </c>
      <c r="K171" t="s">
        <v>50</v>
      </c>
      <c r="L171" t="s">
        <v>24</v>
      </c>
      <c r="M171">
        <v>35</v>
      </c>
      <c r="N171" t="s">
        <v>25</v>
      </c>
      <c r="O171" t="s">
        <v>796</v>
      </c>
      <c r="P171" t="s">
        <v>88</v>
      </c>
      <c r="Q171" t="s">
        <v>63</v>
      </c>
      <c r="R171">
        <v>2010</v>
      </c>
      <c r="S171" t="s">
        <v>797</v>
      </c>
      <c r="T171">
        <f>IF(IPL_Matches_2008_2020___New[[#This Row],[Toss Winner]]=IPL_Matches_2008_2020___New[[#This Row],[Winner]],1,0)</f>
        <v>1</v>
      </c>
      <c r="U171" t="s">
        <v>801</v>
      </c>
    </row>
    <row r="172" spans="1:21" x14ac:dyDescent="0.3">
      <c r="A172" t="s">
        <v>971</v>
      </c>
      <c r="B172" t="s">
        <v>46</v>
      </c>
      <c r="C172">
        <f>YEAR(IPL_Matches_2008_2020___New[[#This Row],[Date ]])</f>
        <v>2010</v>
      </c>
      <c r="D172" s="1">
        <v>40290</v>
      </c>
      <c r="E172" t="s">
        <v>282</v>
      </c>
      <c r="F172" t="s">
        <v>83</v>
      </c>
      <c r="G172" t="s">
        <v>34</v>
      </c>
      <c r="H172" t="s">
        <v>56</v>
      </c>
      <c r="I172" t="s">
        <v>34</v>
      </c>
      <c r="J172" t="s">
        <v>35</v>
      </c>
      <c r="K172" t="s">
        <v>34</v>
      </c>
      <c r="L172" t="s">
        <v>24</v>
      </c>
      <c r="M172">
        <v>38</v>
      </c>
      <c r="N172" t="s">
        <v>25</v>
      </c>
      <c r="O172" t="s">
        <v>796</v>
      </c>
      <c r="P172" t="s">
        <v>88</v>
      </c>
      <c r="Q172" t="s">
        <v>63</v>
      </c>
      <c r="R172">
        <v>2010</v>
      </c>
      <c r="S172" t="s">
        <v>797</v>
      </c>
      <c r="T172">
        <f>IF(IPL_Matches_2008_2020___New[[#This Row],[Toss Winner]]=IPL_Matches_2008_2020___New[[#This Row],[Winner]],1,0)</f>
        <v>1</v>
      </c>
      <c r="U172" t="s">
        <v>801</v>
      </c>
    </row>
    <row r="173" spans="1:21" x14ac:dyDescent="0.3">
      <c r="A173" t="s">
        <v>972</v>
      </c>
      <c r="B173" t="s">
        <v>46</v>
      </c>
      <c r="C173">
        <f>YEAR(IPL_Matches_2008_2020___New[[#This Row],[Date ]])</f>
        <v>2010</v>
      </c>
      <c r="D173" s="1">
        <v>40292</v>
      </c>
      <c r="E173" t="s">
        <v>124</v>
      </c>
      <c r="F173" t="s">
        <v>83</v>
      </c>
      <c r="G173" t="s">
        <v>21</v>
      </c>
      <c r="H173" t="s">
        <v>56</v>
      </c>
      <c r="I173" t="s">
        <v>56</v>
      </c>
      <c r="J173" t="s">
        <v>35</v>
      </c>
      <c r="K173" t="s">
        <v>21</v>
      </c>
      <c r="L173" t="s">
        <v>43</v>
      </c>
      <c r="M173">
        <v>9</v>
      </c>
      <c r="N173" t="s">
        <v>25</v>
      </c>
      <c r="O173" t="s">
        <v>796</v>
      </c>
      <c r="P173" t="s">
        <v>28</v>
      </c>
      <c r="Q173" t="s">
        <v>149</v>
      </c>
      <c r="R173">
        <v>2010</v>
      </c>
      <c r="S173" t="s">
        <v>803</v>
      </c>
      <c r="T173">
        <f>IF(IPL_Matches_2008_2020___New[[#This Row],[Toss Winner]]=IPL_Matches_2008_2020___New[[#This Row],[Winner]],1,0)</f>
        <v>0</v>
      </c>
      <c r="U173" t="s">
        <v>798</v>
      </c>
    </row>
    <row r="174" spans="1:21" x14ac:dyDescent="0.3">
      <c r="A174" t="s">
        <v>973</v>
      </c>
      <c r="B174" t="s">
        <v>46</v>
      </c>
      <c r="C174">
        <f>YEAR(IPL_Matches_2008_2020___New[[#This Row],[Date ]])</f>
        <v>2010</v>
      </c>
      <c r="D174" s="1">
        <v>40293</v>
      </c>
      <c r="E174" t="s">
        <v>133</v>
      </c>
      <c r="F174" t="s">
        <v>83</v>
      </c>
      <c r="G174" t="s">
        <v>34</v>
      </c>
      <c r="H174" t="s">
        <v>50</v>
      </c>
      <c r="I174" t="s">
        <v>34</v>
      </c>
      <c r="J174" t="s">
        <v>35</v>
      </c>
      <c r="K174" t="s">
        <v>34</v>
      </c>
      <c r="L174" t="s">
        <v>24</v>
      </c>
      <c r="M174">
        <v>22</v>
      </c>
      <c r="N174" t="s">
        <v>25</v>
      </c>
      <c r="O174" t="s">
        <v>796</v>
      </c>
      <c r="P174" t="s">
        <v>28</v>
      </c>
      <c r="Q174" t="s">
        <v>149</v>
      </c>
      <c r="R174">
        <v>2010</v>
      </c>
      <c r="S174" t="s">
        <v>797</v>
      </c>
      <c r="T174">
        <f>IF(IPL_Matches_2008_2020___New[[#This Row],[Toss Winner]]=IPL_Matches_2008_2020___New[[#This Row],[Winner]],1,0)</f>
        <v>1</v>
      </c>
      <c r="U174" t="s">
        <v>801</v>
      </c>
    </row>
    <row r="175" spans="1:21" x14ac:dyDescent="0.3">
      <c r="A175" t="s">
        <v>974</v>
      </c>
      <c r="B175" t="s">
        <v>70</v>
      </c>
      <c r="C175">
        <f>YEAR(IPL_Matches_2008_2020___New[[#This Row],[Date ]])</f>
        <v>2011</v>
      </c>
      <c r="D175" s="1">
        <v>40641</v>
      </c>
      <c r="E175" t="s">
        <v>285</v>
      </c>
      <c r="F175" t="s">
        <v>73</v>
      </c>
      <c r="G175" t="s">
        <v>34</v>
      </c>
      <c r="H175" t="s">
        <v>22</v>
      </c>
      <c r="I175" t="s">
        <v>34</v>
      </c>
      <c r="J175" t="s">
        <v>35</v>
      </c>
      <c r="K175" t="s">
        <v>34</v>
      </c>
      <c r="L175" t="s">
        <v>24</v>
      </c>
      <c r="M175">
        <v>2</v>
      </c>
      <c r="N175" t="s">
        <v>25</v>
      </c>
      <c r="O175" t="s">
        <v>796</v>
      </c>
      <c r="P175" t="s">
        <v>88</v>
      </c>
      <c r="Q175" t="s">
        <v>286</v>
      </c>
      <c r="R175">
        <v>2011</v>
      </c>
      <c r="S175" t="s">
        <v>797</v>
      </c>
      <c r="T175">
        <f>IF(IPL_Matches_2008_2020___New[[#This Row],[Toss Winner]]=IPL_Matches_2008_2020___New[[#This Row],[Winner]],1,0)</f>
        <v>1</v>
      </c>
      <c r="U175" t="s">
        <v>801</v>
      </c>
    </row>
    <row r="176" spans="1:21" x14ac:dyDescent="0.3">
      <c r="A176" t="s">
        <v>975</v>
      </c>
      <c r="B176" t="s">
        <v>64</v>
      </c>
      <c r="C176">
        <f>YEAR(IPL_Matches_2008_2020___New[[#This Row],[Date ]])</f>
        <v>2011</v>
      </c>
      <c r="D176" s="1">
        <v>40642</v>
      </c>
      <c r="E176" t="s">
        <v>287</v>
      </c>
      <c r="F176" t="s">
        <v>67</v>
      </c>
      <c r="G176" t="s">
        <v>56</v>
      </c>
      <c r="H176" t="s">
        <v>42</v>
      </c>
      <c r="I176" t="s">
        <v>42</v>
      </c>
      <c r="J176" t="s">
        <v>23</v>
      </c>
      <c r="K176" t="s">
        <v>42</v>
      </c>
      <c r="L176" t="s">
        <v>43</v>
      </c>
      <c r="M176">
        <v>8</v>
      </c>
      <c r="N176" t="s">
        <v>25</v>
      </c>
      <c r="O176" t="s">
        <v>796</v>
      </c>
      <c r="P176" t="s">
        <v>28</v>
      </c>
      <c r="Q176" t="s">
        <v>181</v>
      </c>
      <c r="R176">
        <v>2011</v>
      </c>
      <c r="S176" t="s">
        <v>803</v>
      </c>
      <c r="T176">
        <f>IF(IPL_Matches_2008_2020___New[[#This Row],[Toss Winner]]=IPL_Matches_2008_2020___New[[#This Row],[Winner]],1,0)</f>
        <v>1</v>
      </c>
      <c r="U176" t="s">
        <v>801</v>
      </c>
    </row>
    <row r="177" spans="1:21" x14ac:dyDescent="0.3">
      <c r="A177" t="s">
        <v>976</v>
      </c>
      <c r="B177" t="s">
        <v>288</v>
      </c>
      <c r="C177">
        <f>YEAR(IPL_Matches_2008_2020___New[[#This Row],[Date ]])</f>
        <v>2011</v>
      </c>
      <c r="D177" s="1">
        <v>40642</v>
      </c>
      <c r="E177" t="s">
        <v>157</v>
      </c>
      <c r="F177" t="s">
        <v>289</v>
      </c>
      <c r="G177" t="s">
        <v>290</v>
      </c>
      <c r="H177" t="s">
        <v>21</v>
      </c>
      <c r="I177" t="s">
        <v>290</v>
      </c>
      <c r="J177" t="s">
        <v>35</v>
      </c>
      <c r="K177" t="s">
        <v>21</v>
      </c>
      <c r="L177" t="s">
        <v>43</v>
      </c>
      <c r="M177">
        <v>6</v>
      </c>
      <c r="N177" t="s">
        <v>25</v>
      </c>
      <c r="O177" t="s">
        <v>796</v>
      </c>
      <c r="P177" t="s">
        <v>165</v>
      </c>
      <c r="Q177" t="s">
        <v>58</v>
      </c>
      <c r="R177">
        <v>2011</v>
      </c>
      <c r="S177" t="s">
        <v>803</v>
      </c>
      <c r="T177">
        <f>IF(IPL_Matches_2008_2020___New[[#This Row],[Toss Winner]]=IPL_Matches_2008_2020___New[[#This Row],[Winner]],1,0)</f>
        <v>0</v>
      </c>
      <c r="U177" t="s">
        <v>798</v>
      </c>
    </row>
    <row r="178" spans="1:21" x14ac:dyDescent="0.3">
      <c r="A178" t="s">
        <v>977</v>
      </c>
      <c r="B178" t="s">
        <v>38</v>
      </c>
      <c r="C178">
        <f>YEAR(IPL_Matches_2008_2020___New[[#This Row],[Date ]])</f>
        <v>2011</v>
      </c>
      <c r="D178" s="1">
        <v>40643</v>
      </c>
      <c r="E178" t="s">
        <v>253</v>
      </c>
      <c r="F178" t="s">
        <v>40</v>
      </c>
      <c r="G178" t="s">
        <v>692</v>
      </c>
      <c r="H178" t="s">
        <v>50</v>
      </c>
      <c r="I178" t="s">
        <v>692</v>
      </c>
      <c r="J178" t="s">
        <v>35</v>
      </c>
      <c r="K178" t="s">
        <v>50</v>
      </c>
      <c r="L178" t="s">
        <v>43</v>
      </c>
      <c r="M178">
        <v>8</v>
      </c>
      <c r="N178" t="s">
        <v>25</v>
      </c>
      <c r="O178" t="s">
        <v>796</v>
      </c>
      <c r="P178" t="s">
        <v>69</v>
      </c>
      <c r="Q178" t="s">
        <v>63</v>
      </c>
      <c r="R178">
        <v>2011</v>
      </c>
      <c r="S178" t="s">
        <v>803</v>
      </c>
      <c r="T178">
        <f>IF(IPL_Matches_2008_2020___New[[#This Row],[Toss Winner]]=IPL_Matches_2008_2020___New[[#This Row],[Winner]],1,0)</f>
        <v>0</v>
      </c>
      <c r="U178" t="s">
        <v>798</v>
      </c>
    </row>
    <row r="179" spans="1:21" x14ac:dyDescent="0.3">
      <c r="A179" t="s">
        <v>978</v>
      </c>
      <c r="B179" t="s">
        <v>46</v>
      </c>
      <c r="C179">
        <f>YEAR(IPL_Matches_2008_2020___New[[#This Row],[Date ]])</f>
        <v>2011</v>
      </c>
      <c r="D179" s="1">
        <v>40643</v>
      </c>
      <c r="E179" t="s">
        <v>291</v>
      </c>
      <c r="F179" t="s">
        <v>83</v>
      </c>
      <c r="G179" t="s">
        <v>292</v>
      </c>
      <c r="H179" t="s">
        <v>800</v>
      </c>
      <c r="I179" t="s">
        <v>800</v>
      </c>
      <c r="J179" t="s">
        <v>35</v>
      </c>
      <c r="K179" t="s">
        <v>292</v>
      </c>
      <c r="L179" t="s">
        <v>43</v>
      </c>
      <c r="M179">
        <v>7</v>
      </c>
      <c r="N179" t="s">
        <v>25</v>
      </c>
      <c r="O179" t="s">
        <v>796</v>
      </c>
      <c r="P179" t="s">
        <v>88</v>
      </c>
      <c r="Q179" t="s">
        <v>286</v>
      </c>
      <c r="R179">
        <v>2011</v>
      </c>
      <c r="S179" t="s">
        <v>803</v>
      </c>
      <c r="T179">
        <f>IF(IPL_Matches_2008_2020___New[[#This Row],[Toss Winner]]=IPL_Matches_2008_2020___New[[#This Row],[Winner]],1,0)</f>
        <v>0</v>
      </c>
      <c r="U179" t="s">
        <v>798</v>
      </c>
    </row>
    <row r="180" spans="1:21" x14ac:dyDescent="0.3">
      <c r="A180" t="s">
        <v>979</v>
      </c>
      <c r="B180" t="s">
        <v>53</v>
      </c>
      <c r="C180">
        <f>YEAR(IPL_Matches_2008_2020___New[[#This Row],[Date ]])</f>
        <v>2011</v>
      </c>
      <c r="D180" s="1">
        <v>40644</v>
      </c>
      <c r="E180" t="s">
        <v>187</v>
      </c>
      <c r="F180" t="s">
        <v>55</v>
      </c>
      <c r="G180" t="s">
        <v>22</v>
      </c>
      <c r="H180" t="s">
        <v>56</v>
      </c>
      <c r="I180" t="s">
        <v>22</v>
      </c>
      <c r="J180" t="s">
        <v>35</v>
      </c>
      <c r="K180" t="s">
        <v>22</v>
      </c>
      <c r="L180" t="s">
        <v>24</v>
      </c>
      <c r="M180">
        <v>9</v>
      </c>
      <c r="N180" t="s">
        <v>25</v>
      </c>
      <c r="O180" t="s">
        <v>796</v>
      </c>
      <c r="P180" t="s">
        <v>28</v>
      </c>
      <c r="Q180" t="s">
        <v>181</v>
      </c>
      <c r="R180">
        <v>2011</v>
      </c>
      <c r="S180" t="s">
        <v>797</v>
      </c>
      <c r="T180">
        <f>IF(IPL_Matches_2008_2020___New[[#This Row],[Toss Winner]]=IPL_Matches_2008_2020___New[[#This Row],[Winner]],1,0)</f>
        <v>1</v>
      </c>
      <c r="U180" t="s">
        <v>801</v>
      </c>
    </row>
    <row r="181" spans="1:21" x14ac:dyDescent="0.3">
      <c r="A181" t="s">
        <v>980</v>
      </c>
      <c r="B181" t="s">
        <v>59</v>
      </c>
      <c r="C181">
        <f>YEAR(IPL_Matches_2008_2020___New[[#This Row],[Date ]])</f>
        <v>2011</v>
      </c>
      <c r="D181" s="1">
        <v>40645</v>
      </c>
      <c r="E181" t="s">
        <v>201</v>
      </c>
      <c r="F181" t="s">
        <v>62</v>
      </c>
      <c r="G181" t="s">
        <v>42</v>
      </c>
      <c r="H181" t="s">
        <v>692</v>
      </c>
      <c r="I181" t="s">
        <v>692</v>
      </c>
      <c r="J181" t="s">
        <v>35</v>
      </c>
      <c r="K181" t="s">
        <v>42</v>
      </c>
      <c r="L181" t="s">
        <v>43</v>
      </c>
      <c r="M181">
        <v>6</v>
      </c>
      <c r="N181" t="s">
        <v>25</v>
      </c>
      <c r="O181" t="s">
        <v>796</v>
      </c>
      <c r="P181" t="s">
        <v>44</v>
      </c>
      <c r="Q181" t="s">
        <v>63</v>
      </c>
      <c r="R181">
        <v>2011</v>
      </c>
      <c r="S181" t="s">
        <v>803</v>
      </c>
      <c r="T181">
        <f>IF(IPL_Matches_2008_2020___New[[#This Row],[Toss Winner]]=IPL_Matches_2008_2020___New[[#This Row],[Winner]],1,0)</f>
        <v>0</v>
      </c>
      <c r="U181" t="s">
        <v>798</v>
      </c>
    </row>
    <row r="182" spans="1:21" x14ac:dyDescent="0.3">
      <c r="A182" t="s">
        <v>981</v>
      </c>
      <c r="B182" t="s">
        <v>17</v>
      </c>
      <c r="C182">
        <f>YEAR(IPL_Matches_2008_2020___New[[#This Row],[Date ]])</f>
        <v>2011</v>
      </c>
      <c r="D182" s="1">
        <v>40645</v>
      </c>
      <c r="E182" t="s">
        <v>138</v>
      </c>
      <c r="F182" t="s">
        <v>795</v>
      </c>
      <c r="G182" t="s">
        <v>21</v>
      </c>
      <c r="H182" t="s">
        <v>50</v>
      </c>
      <c r="I182" t="s">
        <v>50</v>
      </c>
      <c r="J182" t="s">
        <v>23</v>
      </c>
      <c r="K182" t="s">
        <v>50</v>
      </c>
      <c r="L182" t="s">
        <v>43</v>
      </c>
      <c r="M182">
        <v>9</v>
      </c>
      <c r="N182" t="s">
        <v>25</v>
      </c>
      <c r="O182" t="s">
        <v>796</v>
      </c>
      <c r="P182" t="s">
        <v>165</v>
      </c>
      <c r="Q182" t="s">
        <v>293</v>
      </c>
      <c r="R182">
        <v>2011</v>
      </c>
      <c r="S182" t="s">
        <v>803</v>
      </c>
      <c r="T182">
        <f>IF(IPL_Matches_2008_2020___New[[#This Row],[Toss Winner]]=IPL_Matches_2008_2020___New[[#This Row],[Winner]],1,0)</f>
        <v>1</v>
      </c>
      <c r="U182" t="s">
        <v>801</v>
      </c>
    </row>
    <row r="183" spans="1:21" x14ac:dyDescent="0.3">
      <c r="A183" t="s">
        <v>982</v>
      </c>
      <c r="B183" t="s">
        <v>29</v>
      </c>
      <c r="C183">
        <f>YEAR(IPL_Matches_2008_2020___New[[#This Row],[Date ]])</f>
        <v>2011</v>
      </c>
      <c r="D183" s="1">
        <v>40646</v>
      </c>
      <c r="E183" t="s">
        <v>295</v>
      </c>
      <c r="F183" t="s">
        <v>32</v>
      </c>
      <c r="G183" t="s">
        <v>800</v>
      </c>
      <c r="H183" t="s">
        <v>34</v>
      </c>
      <c r="I183" t="s">
        <v>800</v>
      </c>
      <c r="J183" t="s">
        <v>23</v>
      </c>
      <c r="K183" t="s">
        <v>800</v>
      </c>
      <c r="L183" t="s">
        <v>43</v>
      </c>
      <c r="M183">
        <v>6</v>
      </c>
      <c r="N183" t="s">
        <v>25</v>
      </c>
      <c r="O183" t="s">
        <v>796</v>
      </c>
      <c r="P183" t="s">
        <v>27</v>
      </c>
      <c r="Q183" t="s">
        <v>37</v>
      </c>
      <c r="R183">
        <v>2011</v>
      </c>
      <c r="S183" t="s">
        <v>803</v>
      </c>
      <c r="T183">
        <f>IF(IPL_Matches_2008_2020___New[[#This Row],[Toss Winner]]=IPL_Matches_2008_2020___New[[#This Row],[Winner]],1,0)</f>
        <v>1</v>
      </c>
      <c r="U183" t="s">
        <v>801</v>
      </c>
    </row>
    <row r="184" spans="1:21" x14ac:dyDescent="0.3">
      <c r="A184" t="s">
        <v>983</v>
      </c>
      <c r="B184" t="s">
        <v>46</v>
      </c>
      <c r="C184">
        <f>YEAR(IPL_Matches_2008_2020___New[[#This Row],[Date ]])</f>
        <v>2011</v>
      </c>
      <c r="D184" s="1">
        <v>40646</v>
      </c>
      <c r="E184" t="s">
        <v>296</v>
      </c>
      <c r="F184" t="s">
        <v>83</v>
      </c>
      <c r="G184" t="s">
        <v>292</v>
      </c>
      <c r="H184" t="s">
        <v>290</v>
      </c>
      <c r="I184" t="s">
        <v>290</v>
      </c>
      <c r="J184" t="s">
        <v>35</v>
      </c>
      <c r="K184" t="s">
        <v>292</v>
      </c>
      <c r="L184" t="s">
        <v>43</v>
      </c>
      <c r="M184">
        <v>4</v>
      </c>
      <c r="N184" t="s">
        <v>25</v>
      </c>
      <c r="O184" t="s">
        <v>796</v>
      </c>
      <c r="P184" t="s">
        <v>168</v>
      </c>
      <c r="Q184" t="s">
        <v>286</v>
      </c>
      <c r="R184">
        <v>2011</v>
      </c>
      <c r="S184" t="s">
        <v>803</v>
      </c>
      <c r="T184">
        <f>IF(IPL_Matches_2008_2020___New[[#This Row],[Toss Winner]]=IPL_Matches_2008_2020___New[[#This Row],[Winner]],1,0)</f>
        <v>0</v>
      </c>
      <c r="U184" t="s">
        <v>798</v>
      </c>
    </row>
    <row r="185" spans="1:21" x14ac:dyDescent="0.3">
      <c r="A185" t="s">
        <v>984</v>
      </c>
      <c r="B185" t="s">
        <v>64</v>
      </c>
      <c r="C185">
        <f>YEAR(IPL_Matches_2008_2020___New[[#This Row],[Date ]])</f>
        <v>2011</v>
      </c>
      <c r="D185" s="1">
        <v>40647</v>
      </c>
      <c r="E185" t="s">
        <v>298</v>
      </c>
      <c r="F185" t="s">
        <v>67</v>
      </c>
      <c r="G185" t="s">
        <v>56</v>
      </c>
      <c r="H185" t="s">
        <v>21</v>
      </c>
      <c r="I185" t="s">
        <v>21</v>
      </c>
      <c r="J185" t="s">
        <v>23</v>
      </c>
      <c r="K185" t="s">
        <v>56</v>
      </c>
      <c r="L185" t="s">
        <v>24</v>
      </c>
      <c r="M185">
        <v>33</v>
      </c>
      <c r="N185" t="s">
        <v>25</v>
      </c>
      <c r="O185" t="s">
        <v>796</v>
      </c>
      <c r="P185" t="s">
        <v>28</v>
      </c>
      <c r="Q185" t="s">
        <v>183</v>
      </c>
      <c r="R185">
        <v>2011</v>
      </c>
      <c r="S185" t="s">
        <v>797</v>
      </c>
      <c r="T185">
        <f>IF(IPL_Matches_2008_2020___New[[#This Row],[Toss Winner]]=IPL_Matches_2008_2020___New[[#This Row],[Winner]],1,0)</f>
        <v>0</v>
      </c>
      <c r="U185" t="s">
        <v>798</v>
      </c>
    </row>
    <row r="186" spans="1:21" x14ac:dyDescent="0.3">
      <c r="A186" t="s">
        <v>985</v>
      </c>
      <c r="B186" t="s">
        <v>59</v>
      </c>
      <c r="C186">
        <f>YEAR(IPL_Matches_2008_2020___New[[#This Row],[Date ]])</f>
        <v>2011</v>
      </c>
      <c r="D186" s="1">
        <v>40648</v>
      </c>
      <c r="E186" t="s">
        <v>189</v>
      </c>
      <c r="F186" t="s">
        <v>62</v>
      </c>
      <c r="G186" t="s">
        <v>42</v>
      </c>
      <c r="H186" t="s">
        <v>22</v>
      </c>
      <c r="I186" t="s">
        <v>22</v>
      </c>
      <c r="J186" t="s">
        <v>23</v>
      </c>
      <c r="K186" t="s">
        <v>22</v>
      </c>
      <c r="L186" t="s">
        <v>43</v>
      </c>
      <c r="M186">
        <v>9</v>
      </c>
      <c r="N186" t="s">
        <v>25</v>
      </c>
      <c r="O186" t="s">
        <v>796</v>
      </c>
      <c r="P186" t="s">
        <v>44</v>
      </c>
      <c r="Q186" t="s">
        <v>188</v>
      </c>
      <c r="R186">
        <v>2011</v>
      </c>
      <c r="S186" t="s">
        <v>803</v>
      </c>
      <c r="T186">
        <f>IF(IPL_Matches_2008_2020___New[[#This Row],[Toss Winner]]=IPL_Matches_2008_2020___New[[#This Row],[Winner]],1,0)</f>
        <v>1</v>
      </c>
      <c r="U186" t="s">
        <v>801</v>
      </c>
    </row>
    <row r="187" spans="1:21" x14ac:dyDescent="0.3">
      <c r="A187" t="s">
        <v>986</v>
      </c>
      <c r="B187" t="s">
        <v>46</v>
      </c>
      <c r="C187">
        <f>YEAR(IPL_Matches_2008_2020___New[[#This Row],[Date ]])</f>
        <v>2011</v>
      </c>
      <c r="D187" s="1">
        <v>40648</v>
      </c>
      <c r="E187" t="s">
        <v>19</v>
      </c>
      <c r="F187" t="s">
        <v>49</v>
      </c>
      <c r="G187" t="s">
        <v>50</v>
      </c>
      <c r="H187" t="s">
        <v>290</v>
      </c>
      <c r="I187" t="s">
        <v>290</v>
      </c>
      <c r="J187" t="s">
        <v>23</v>
      </c>
      <c r="K187" t="s">
        <v>290</v>
      </c>
      <c r="L187" t="s">
        <v>43</v>
      </c>
      <c r="M187">
        <v>8</v>
      </c>
      <c r="N187" t="s">
        <v>25</v>
      </c>
      <c r="O187" t="s">
        <v>796</v>
      </c>
      <c r="P187" t="s">
        <v>88</v>
      </c>
      <c r="Q187" t="s">
        <v>286</v>
      </c>
      <c r="R187">
        <v>2011</v>
      </c>
      <c r="S187" t="s">
        <v>803</v>
      </c>
      <c r="T187">
        <f>IF(IPL_Matches_2008_2020___New[[#This Row],[Toss Winner]]=IPL_Matches_2008_2020___New[[#This Row],[Winner]],1,0)</f>
        <v>1</v>
      </c>
      <c r="U187" t="s">
        <v>801</v>
      </c>
    </row>
    <row r="188" spans="1:21" x14ac:dyDescent="0.3">
      <c r="A188" t="s">
        <v>987</v>
      </c>
      <c r="B188" t="s">
        <v>70</v>
      </c>
      <c r="C188">
        <f>YEAR(IPL_Matches_2008_2020___New[[#This Row],[Date ]])</f>
        <v>2011</v>
      </c>
      <c r="D188" s="1">
        <v>40649</v>
      </c>
      <c r="E188" t="s">
        <v>31</v>
      </c>
      <c r="F188" t="s">
        <v>73</v>
      </c>
      <c r="G188" t="s">
        <v>34</v>
      </c>
      <c r="H188" t="s">
        <v>21</v>
      </c>
      <c r="I188" t="s">
        <v>34</v>
      </c>
      <c r="J188" t="s">
        <v>35</v>
      </c>
      <c r="K188" t="s">
        <v>34</v>
      </c>
      <c r="L188" t="s">
        <v>24</v>
      </c>
      <c r="M188">
        <v>21</v>
      </c>
      <c r="N188" t="s">
        <v>25</v>
      </c>
      <c r="O188" t="s">
        <v>796</v>
      </c>
      <c r="P188" t="s">
        <v>165</v>
      </c>
      <c r="Q188" t="s">
        <v>293</v>
      </c>
      <c r="R188">
        <v>2011</v>
      </c>
      <c r="S188" t="s">
        <v>797</v>
      </c>
      <c r="T188">
        <f>IF(IPL_Matches_2008_2020___New[[#This Row],[Toss Winner]]=IPL_Matches_2008_2020___New[[#This Row],[Winner]],1,0)</f>
        <v>1</v>
      </c>
      <c r="U188" t="s">
        <v>801</v>
      </c>
    </row>
    <row r="189" spans="1:21" x14ac:dyDescent="0.3">
      <c r="A189" t="s">
        <v>988</v>
      </c>
      <c r="B189" t="s">
        <v>64</v>
      </c>
      <c r="C189">
        <f>YEAR(IPL_Matches_2008_2020___New[[#This Row],[Date ]])</f>
        <v>2011</v>
      </c>
      <c r="D189" s="1">
        <v>40649</v>
      </c>
      <c r="E189" t="s">
        <v>295</v>
      </c>
      <c r="F189" t="s">
        <v>67</v>
      </c>
      <c r="G189" t="s">
        <v>56</v>
      </c>
      <c r="H189" t="s">
        <v>800</v>
      </c>
      <c r="I189" t="s">
        <v>800</v>
      </c>
      <c r="J189" t="s">
        <v>23</v>
      </c>
      <c r="K189" t="s">
        <v>800</v>
      </c>
      <c r="L189" t="s">
        <v>43</v>
      </c>
      <c r="M189">
        <v>8</v>
      </c>
      <c r="N189" t="s">
        <v>25</v>
      </c>
      <c r="O189" t="s">
        <v>796</v>
      </c>
      <c r="P189" t="s">
        <v>28</v>
      </c>
      <c r="Q189" t="s">
        <v>183</v>
      </c>
      <c r="R189">
        <v>2011</v>
      </c>
      <c r="S189" t="s">
        <v>803</v>
      </c>
      <c r="T189">
        <f>IF(IPL_Matches_2008_2020___New[[#This Row],[Toss Winner]]=IPL_Matches_2008_2020___New[[#This Row],[Winner]],1,0)</f>
        <v>1</v>
      </c>
      <c r="U189" t="s">
        <v>801</v>
      </c>
    </row>
    <row r="190" spans="1:21" x14ac:dyDescent="0.3">
      <c r="A190" t="s">
        <v>989</v>
      </c>
      <c r="B190" t="s">
        <v>46</v>
      </c>
      <c r="C190">
        <f>YEAR(IPL_Matches_2008_2020___New[[#This Row],[Date ]])</f>
        <v>2011</v>
      </c>
      <c r="D190" s="1">
        <v>40650</v>
      </c>
      <c r="E190" t="s">
        <v>182</v>
      </c>
      <c r="F190" t="s">
        <v>83</v>
      </c>
      <c r="G190" t="s">
        <v>292</v>
      </c>
      <c r="H190" t="s">
        <v>692</v>
      </c>
      <c r="I190" t="s">
        <v>692</v>
      </c>
      <c r="J190" t="s">
        <v>23</v>
      </c>
      <c r="K190" t="s">
        <v>692</v>
      </c>
      <c r="L190" t="s">
        <v>43</v>
      </c>
      <c r="M190">
        <v>3</v>
      </c>
      <c r="N190" t="s">
        <v>25</v>
      </c>
      <c r="O190" t="s">
        <v>796</v>
      </c>
      <c r="P190" t="s">
        <v>27</v>
      </c>
      <c r="Q190" t="s">
        <v>69</v>
      </c>
      <c r="R190">
        <v>2011</v>
      </c>
      <c r="S190" t="s">
        <v>803</v>
      </c>
      <c r="T190">
        <f>IF(IPL_Matches_2008_2020___New[[#This Row],[Toss Winner]]=IPL_Matches_2008_2020___New[[#This Row],[Winner]],1,0)</f>
        <v>1</v>
      </c>
      <c r="U190" t="s">
        <v>801</v>
      </c>
    </row>
    <row r="191" spans="1:21" x14ac:dyDescent="0.3">
      <c r="A191" t="s">
        <v>990</v>
      </c>
      <c r="B191" t="s">
        <v>53</v>
      </c>
      <c r="C191">
        <f>YEAR(IPL_Matches_2008_2020___New[[#This Row],[Date ]])</f>
        <v>2011</v>
      </c>
      <c r="D191" s="1">
        <v>40650</v>
      </c>
      <c r="E191" t="s">
        <v>105</v>
      </c>
      <c r="F191" t="s">
        <v>55</v>
      </c>
      <c r="G191" t="s">
        <v>22</v>
      </c>
      <c r="H191" t="s">
        <v>42</v>
      </c>
      <c r="I191" t="s">
        <v>22</v>
      </c>
      <c r="J191" t="s">
        <v>23</v>
      </c>
      <c r="K191" t="s">
        <v>22</v>
      </c>
      <c r="L191" t="s">
        <v>43</v>
      </c>
      <c r="M191">
        <v>8</v>
      </c>
      <c r="N191" t="s">
        <v>25</v>
      </c>
      <c r="O191" t="s">
        <v>796</v>
      </c>
      <c r="P191" t="s">
        <v>44</v>
      </c>
      <c r="Q191" t="s">
        <v>63</v>
      </c>
      <c r="R191">
        <v>2011</v>
      </c>
      <c r="S191" t="s">
        <v>803</v>
      </c>
      <c r="T191">
        <f>IF(IPL_Matches_2008_2020___New[[#This Row],[Toss Winner]]=IPL_Matches_2008_2020___New[[#This Row],[Winner]],1,0)</f>
        <v>1</v>
      </c>
      <c r="U191" t="s">
        <v>801</v>
      </c>
    </row>
    <row r="192" spans="1:21" x14ac:dyDescent="0.3">
      <c r="A192" t="s">
        <v>991</v>
      </c>
      <c r="B192" t="s">
        <v>288</v>
      </c>
      <c r="C192">
        <f>YEAR(IPL_Matches_2008_2020___New[[#This Row],[Date ]])</f>
        <v>2011</v>
      </c>
      <c r="D192" s="1">
        <v>40651</v>
      </c>
      <c r="E192" t="s">
        <v>19</v>
      </c>
      <c r="F192" t="s">
        <v>289</v>
      </c>
      <c r="G192" t="s">
        <v>290</v>
      </c>
      <c r="H192" t="s">
        <v>34</v>
      </c>
      <c r="I192" t="s">
        <v>290</v>
      </c>
      <c r="J192" t="s">
        <v>23</v>
      </c>
      <c r="K192" t="s">
        <v>290</v>
      </c>
      <c r="L192" t="s">
        <v>43</v>
      </c>
      <c r="M192">
        <v>7</v>
      </c>
      <c r="N192" t="s">
        <v>25</v>
      </c>
      <c r="O192" t="s">
        <v>115</v>
      </c>
      <c r="P192" t="s">
        <v>58</v>
      </c>
      <c r="Q192" t="s">
        <v>293</v>
      </c>
      <c r="R192">
        <v>2011</v>
      </c>
      <c r="S192" t="s">
        <v>803</v>
      </c>
      <c r="T192">
        <f>IF(IPL_Matches_2008_2020___New[[#This Row],[Toss Winner]]=IPL_Matches_2008_2020___New[[#This Row],[Winner]],1,0)</f>
        <v>1</v>
      </c>
      <c r="U192" t="s">
        <v>801</v>
      </c>
    </row>
    <row r="193" spans="1:21" x14ac:dyDescent="0.3">
      <c r="A193" t="s">
        <v>992</v>
      </c>
      <c r="B193" t="s">
        <v>38</v>
      </c>
      <c r="C193">
        <f>YEAR(IPL_Matches_2008_2020___New[[#This Row],[Date ]])</f>
        <v>2011</v>
      </c>
      <c r="D193" s="1">
        <v>40652</v>
      </c>
      <c r="E193" t="s">
        <v>304</v>
      </c>
      <c r="F193" t="s">
        <v>40</v>
      </c>
      <c r="G193" t="s">
        <v>692</v>
      </c>
      <c r="H193" t="s">
        <v>56</v>
      </c>
      <c r="I193" t="s">
        <v>56</v>
      </c>
      <c r="J193" t="s">
        <v>35</v>
      </c>
      <c r="K193" t="s">
        <v>56</v>
      </c>
      <c r="L193" t="s">
        <v>24</v>
      </c>
      <c r="M193">
        <v>16</v>
      </c>
      <c r="N193" t="s">
        <v>25</v>
      </c>
      <c r="O193" t="s">
        <v>796</v>
      </c>
      <c r="P193" t="s">
        <v>286</v>
      </c>
      <c r="Q193" t="s">
        <v>305</v>
      </c>
      <c r="R193">
        <v>2011</v>
      </c>
      <c r="S193" t="s">
        <v>797</v>
      </c>
      <c r="T193">
        <f>IF(IPL_Matches_2008_2020___New[[#This Row],[Toss Winner]]=IPL_Matches_2008_2020___New[[#This Row],[Winner]],1,0)</f>
        <v>1</v>
      </c>
      <c r="U193" t="s">
        <v>801</v>
      </c>
    </row>
    <row r="194" spans="1:21" x14ac:dyDescent="0.3">
      <c r="A194" t="s">
        <v>993</v>
      </c>
      <c r="B194" t="s">
        <v>46</v>
      </c>
      <c r="C194">
        <f>YEAR(IPL_Matches_2008_2020___New[[#This Row],[Date ]])</f>
        <v>2011</v>
      </c>
      <c r="D194" s="1">
        <v>40653</v>
      </c>
      <c r="E194" t="s">
        <v>307</v>
      </c>
      <c r="F194" t="s">
        <v>49</v>
      </c>
      <c r="G194" t="s">
        <v>50</v>
      </c>
      <c r="H194" t="s">
        <v>292</v>
      </c>
      <c r="I194" t="s">
        <v>292</v>
      </c>
      <c r="J194" t="s">
        <v>35</v>
      </c>
      <c r="K194" t="s">
        <v>50</v>
      </c>
      <c r="L194" t="s">
        <v>43</v>
      </c>
      <c r="M194">
        <v>7</v>
      </c>
      <c r="N194" t="s">
        <v>25</v>
      </c>
      <c r="O194" t="s">
        <v>796</v>
      </c>
      <c r="P194" t="s">
        <v>27</v>
      </c>
      <c r="Q194" t="s">
        <v>69</v>
      </c>
      <c r="R194">
        <v>2011</v>
      </c>
      <c r="S194" t="s">
        <v>803</v>
      </c>
      <c r="T194">
        <f>IF(IPL_Matches_2008_2020___New[[#This Row],[Toss Winner]]=IPL_Matches_2008_2020___New[[#This Row],[Winner]],1,0)</f>
        <v>0</v>
      </c>
      <c r="U194" t="s">
        <v>798</v>
      </c>
    </row>
    <row r="195" spans="1:21" x14ac:dyDescent="0.3">
      <c r="A195" t="s">
        <v>994</v>
      </c>
      <c r="B195" t="s">
        <v>53</v>
      </c>
      <c r="C195">
        <f>YEAR(IPL_Matches_2008_2020___New[[#This Row],[Date ]])</f>
        <v>2011</v>
      </c>
      <c r="D195" s="1">
        <v>40653</v>
      </c>
      <c r="E195" t="s">
        <v>114</v>
      </c>
      <c r="F195" t="s">
        <v>55</v>
      </c>
      <c r="G195" t="s">
        <v>22</v>
      </c>
      <c r="H195" t="s">
        <v>290</v>
      </c>
      <c r="I195" t="s">
        <v>22</v>
      </c>
      <c r="J195" t="s">
        <v>23</v>
      </c>
      <c r="K195" t="s">
        <v>290</v>
      </c>
      <c r="L195" t="s">
        <v>24</v>
      </c>
      <c r="M195">
        <v>6</v>
      </c>
      <c r="N195" t="s">
        <v>25</v>
      </c>
      <c r="O195" t="s">
        <v>796</v>
      </c>
      <c r="P195" t="s">
        <v>44</v>
      </c>
      <c r="Q195" t="s">
        <v>63</v>
      </c>
      <c r="R195">
        <v>2011</v>
      </c>
      <c r="S195" t="s">
        <v>797</v>
      </c>
      <c r="T195">
        <f>IF(IPL_Matches_2008_2020___New[[#This Row],[Toss Winner]]=IPL_Matches_2008_2020___New[[#This Row],[Winner]],1,0)</f>
        <v>0</v>
      </c>
      <c r="U195" t="s">
        <v>798</v>
      </c>
    </row>
    <row r="196" spans="1:21" x14ac:dyDescent="0.3">
      <c r="A196" t="s">
        <v>995</v>
      </c>
      <c r="B196" t="s">
        <v>29</v>
      </c>
      <c r="C196">
        <f>YEAR(IPL_Matches_2008_2020___New[[#This Row],[Date ]])</f>
        <v>2011</v>
      </c>
      <c r="D196" s="1">
        <v>40654</v>
      </c>
      <c r="E196" t="s">
        <v>93</v>
      </c>
      <c r="F196" t="s">
        <v>32</v>
      </c>
      <c r="G196" t="s">
        <v>800</v>
      </c>
      <c r="H196" t="s">
        <v>42</v>
      </c>
      <c r="I196" t="s">
        <v>42</v>
      </c>
      <c r="J196" t="s">
        <v>23</v>
      </c>
      <c r="K196" t="s">
        <v>800</v>
      </c>
      <c r="L196" t="s">
        <v>24</v>
      </c>
      <c r="M196">
        <v>48</v>
      </c>
      <c r="N196" t="s">
        <v>25</v>
      </c>
      <c r="O196" t="s">
        <v>796</v>
      </c>
      <c r="P196" t="s">
        <v>168</v>
      </c>
      <c r="Q196" t="s">
        <v>286</v>
      </c>
      <c r="R196">
        <v>2011</v>
      </c>
      <c r="S196" t="s">
        <v>797</v>
      </c>
      <c r="T196">
        <f>IF(IPL_Matches_2008_2020___New[[#This Row],[Toss Winner]]=IPL_Matches_2008_2020___New[[#This Row],[Winner]],1,0)</f>
        <v>0</v>
      </c>
      <c r="U196" t="s">
        <v>798</v>
      </c>
    </row>
    <row r="197" spans="1:21" x14ac:dyDescent="0.3">
      <c r="A197" t="s">
        <v>996</v>
      </c>
      <c r="B197" t="s">
        <v>46</v>
      </c>
      <c r="C197">
        <f>YEAR(IPL_Matches_2008_2020___New[[#This Row],[Date ]])</f>
        <v>2011</v>
      </c>
      <c r="D197" s="1">
        <v>40655</v>
      </c>
      <c r="E197" t="s">
        <v>197</v>
      </c>
      <c r="F197" t="s">
        <v>49</v>
      </c>
      <c r="G197" t="s">
        <v>50</v>
      </c>
      <c r="H197" t="s">
        <v>34</v>
      </c>
      <c r="I197" t="s">
        <v>34</v>
      </c>
      <c r="J197" t="s">
        <v>23</v>
      </c>
      <c r="K197" t="s">
        <v>50</v>
      </c>
      <c r="L197" t="s">
        <v>24</v>
      </c>
      <c r="M197">
        <v>8</v>
      </c>
      <c r="N197" t="s">
        <v>25</v>
      </c>
      <c r="O197" t="s">
        <v>796</v>
      </c>
      <c r="P197" t="s">
        <v>27</v>
      </c>
      <c r="Q197" t="s">
        <v>69</v>
      </c>
      <c r="R197">
        <v>2011</v>
      </c>
      <c r="S197" t="s">
        <v>797</v>
      </c>
      <c r="T197">
        <f>IF(IPL_Matches_2008_2020___New[[#This Row],[Toss Winner]]=IPL_Matches_2008_2020___New[[#This Row],[Winner]],1,0)</f>
        <v>0</v>
      </c>
      <c r="U197" t="s">
        <v>798</v>
      </c>
    </row>
    <row r="198" spans="1:21" x14ac:dyDescent="0.3">
      <c r="A198" t="s">
        <v>997</v>
      </c>
      <c r="B198" t="s">
        <v>53</v>
      </c>
      <c r="C198">
        <f>YEAR(IPL_Matches_2008_2020___New[[#This Row],[Date ]])</f>
        <v>2011</v>
      </c>
      <c r="D198" s="1">
        <v>40655</v>
      </c>
      <c r="E198" t="s">
        <v>152</v>
      </c>
      <c r="F198" t="s">
        <v>55</v>
      </c>
      <c r="G198" t="s">
        <v>22</v>
      </c>
      <c r="H198" t="s">
        <v>21</v>
      </c>
      <c r="I198" t="s">
        <v>21</v>
      </c>
      <c r="J198" t="s">
        <v>23</v>
      </c>
      <c r="K198" t="s">
        <v>21</v>
      </c>
      <c r="L198" t="s">
        <v>43</v>
      </c>
      <c r="M198">
        <v>9</v>
      </c>
      <c r="N198" t="s">
        <v>25</v>
      </c>
      <c r="O198" t="s">
        <v>796</v>
      </c>
      <c r="P198" t="s">
        <v>188</v>
      </c>
      <c r="Q198" t="s">
        <v>63</v>
      </c>
      <c r="R198">
        <v>2011</v>
      </c>
      <c r="S198" t="s">
        <v>803</v>
      </c>
      <c r="T198">
        <f>IF(IPL_Matches_2008_2020___New[[#This Row],[Toss Winner]]=IPL_Matches_2008_2020___New[[#This Row],[Winner]],1,0)</f>
        <v>1</v>
      </c>
      <c r="U198" t="s">
        <v>801</v>
      </c>
    </row>
    <row r="199" spans="1:21" x14ac:dyDescent="0.3">
      <c r="A199" t="s">
        <v>998</v>
      </c>
      <c r="B199" t="s">
        <v>38</v>
      </c>
      <c r="C199">
        <f>YEAR(IPL_Matches_2008_2020___New[[#This Row],[Date ]])</f>
        <v>2011</v>
      </c>
      <c r="D199" s="1">
        <v>40656</v>
      </c>
      <c r="E199" t="s">
        <v>251</v>
      </c>
      <c r="F199" t="s">
        <v>40</v>
      </c>
      <c r="G199" t="s">
        <v>692</v>
      </c>
      <c r="H199" t="s">
        <v>800</v>
      </c>
      <c r="I199" t="s">
        <v>800</v>
      </c>
      <c r="J199" t="s">
        <v>23</v>
      </c>
      <c r="K199" t="s">
        <v>692</v>
      </c>
      <c r="L199" t="s">
        <v>24</v>
      </c>
      <c r="M199">
        <v>29</v>
      </c>
      <c r="N199" t="s">
        <v>25</v>
      </c>
      <c r="O199" t="s">
        <v>796</v>
      </c>
      <c r="P199" t="s">
        <v>168</v>
      </c>
      <c r="Q199" t="s">
        <v>28</v>
      </c>
      <c r="R199">
        <v>2011</v>
      </c>
      <c r="S199" t="s">
        <v>797</v>
      </c>
      <c r="T199">
        <f>IF(IPL_Matches_2008_2020___New[[#This Row],[Toss Winner]]=IPL_Matches_2008_2020___New[[#This Row],[Winner]],1,0)</f>
        <v>0</v>
      </c>
      <c r="U199" t="s">
        <v>798</v>
      </c>
    </row>
    <row r="200" spans="1:21" x14ac:dyDescent="0.3">
      <c r="A200" t="s">
        <v>999</v>
      </c>
      <c r="B200" t="s">
        <v>64</v>
      </c>
      <c r="C200">
        <f>YEAR(IPL_Matches_2008_2020___New[[#This Row],[Date ]])</f>
        <v>2011</v>
      </c>
      <c r="D200" s="1">
        <v>40657</v>
      </c>
      <c r="E200" t="s">
        <v>253</v>
      </c>
      <c r="F200" t="s">
        <v>67</v>
      </c>
      <c r="G200" t="s">
        <v>56</v>
      </c>
      <c r="H200" t="s">
        <v>50</v>
      </c>
      <c r="I200" t="s">
        <v>56</v>
      </c>
      <c r="J200" t="s">
        <v>23</v>
      </c>
      <c r="K200" t="s">
        <v>50</v>
      </c>
      <c r="L200" t="s">
        <v>24</v>
      </c>
      <c r="M200">
        <v>37</v>
      </c>
      <c r="N200" t="s">
        <v>25</v>
      </c>
      <c r="O200" t="s">
        <v>796</v>
      </c>
      <c r="P200" t="s">
        <v>165</v>
      </c>
      <c r="Q200" t="s">
        <v>293</v>
      </c>
      <c r="R200">
        <v>2011</v>
      </c>
      <c r="S200" t="s">
        <v>797</v>
      </c>
      <c r="T200">
        <f>IF(IPL_Matches_2008_2020___New[[#This Row],[Toss Winner]]=IPL_Matches_2008_2020___New[[#This Row],[Winner]],1,0)</f>
        <v>0</v>
      </c>
      <c r="U200" t="s">
        <v>798</v>
      </c>
    </row>
    <row r="201" spans="1:21" x14ac:dyDescent="0.3">
      <c r="A201" t="s">
        <v>1000</v>
      </c>
      <c r="B201" t="s">
        <v>59</v>
      </c>
      <c r="C201">
        <f>YEAR(IPL_Matches_2008_2020___New[[#This Row],[Date ]])</f>
        <v>2011</v>
      </c>
      <c r="D201" s="1">
        <v>40657</v>
      </c>
      <c r="E201" t="s">
        <v>201</v>
      </c>
      <c r="F201" t="s">
        <v>62</v>
      </c>
      <c r="G201" t="s">
        <v>42</v>
      </c>
      <c r="H201" t="s">
        <v>290</v>
      </c>
      <c r="I201" t="s">
        <v>42</v>
      </c>
      <c r="J201" t="s">
        <v>23</v>
      </c>
      <c r="K201" t="s">
        <v>42</v>
      </c>
      <c r="L201" t="s">
        <v>43</v>
      </c>
      <c r="M201">
        <v>8</v>
      </c>
      <c r="N201" t="s">
        <v>25</v>
      </c>
      <c r="O201" t="s">
        <v>796</v>
      </c>
      <c r="P201" t="s">
        <v>88</v>
      </c>
      <c r="Q201" t="s">
        <v>181</v>
      </c>
      <c r="R201">
        <v>2011</v>
      </c>
      <c r="S201" t="s">
        <v>803</v>
      </c>
      <c r="T201">
        <f>IF(IPL_Matches_2008_2020___New[[#This Row],[Toss Winner]]=IPL_Matches_2008_2020___New[[#This Row],[Winner]],1,0)</f>
        <v>1</v>
      </c>
      <c r="U201" t="s">
        <v>801</v>
      </c>
    </row>
    <row r="202" spans="1:21" x14ac:dyDescent="0.3">
      <c r="A202" t="s">
        <v>1001</v>
      </c>
      <c r="B202" t="s">
        <v>70</v>
      </c>
      <c r="C202">
        <f>YEAR(IPL_Matches_2008_2020___New[[#This Row],[Date ]])</f>
        <v>2011</v>
      </c>
      <c r="D202" s="1">
        <v>40658</v>
      </c>
      <c r="E202" t="s">
        <v>31</v>
      </c>
      <c r="F202" t="s">
        <v>73</v>
      </c>
      <c r="G202" t="s">
        <v>34</v>
      </c>
      <c r="H202" t="s">
        <v>292</v>
      </c>
      <c r="I202" t="s">
        <v>292</v>
      </c>
      <c r="J202" t="s">
        <v>23</v>
      </c>
      <c r="K202" t="s">
        <v>34</v>
      </c>
      <c r="L202" t="s">
        <v>24</v>
      </c>
      <c r="M202">
        <v>25</v>
      </c>
      <c r="N202" t="s">
        <v>25</v>
      </c>
      <c r="O202" t="s">
        <v>796</v>
      </c>
      <c r="P202" t="s">
        <v>44</v>
      </c>
      <c r="Q202" t="s">
        <v>63</v>
      </c>
      <c r="R202">
        <v>2011</v>
      </c>
      <c r="S202" t="s">
        <v>797</v>
      </c>
      <c r="T202">
        <f>IF(IPL_Matches_2008_2020___New[[#This Row],[Toss Winner]]=IPL_Matches_2008_2020___New[[#This Row],[Winner]],1,0)</f>
        <v>0</v>
      </c>
      <c r="U202" t="s">
        <v>798</v>
      </c>
    </row>
    <row r="203" spans="1:21" x14ac:dyDescent="0.3">
      <c r="A203" t="s">
        <v>1002</v>
      </c>
      <c r="B203" t="s">
        <v>38</v>
      </c>
      <c r="C203">
        <f>YEAR(IPL_Matches_2008_2020___New[[#This Row],[Date ]])</f>
        <v>2011</v>
      </c>
      <c r="D203" s="1">
        <v>40659</v>
      </c>
      <c r="E203" t="s">
        <v>314</v>
      </c>
      <c r="F203" t="s">
        <v>40</v>
      </c>
      <c r="G203" t="s">
        <v>692</v>
      </c>
      <c r="H203" t="s">
        <v>21</v>
      </c>
      <c r="I203" t="s">
        <v>21</v>
      </c>
      <c r="J203" t="s">
        <v>23</v>
      </c>
      <c r="K203" t="s">
        <v>21</v>
      </c>
      <c r="L203" t="s">
        <v>43</v>
      </c>
      <c r="M203">
        <v>3</v>
      </c>
      <c r="N203" t="s">
        <v>25</v>
      </c>
      <c r="O203" t="s">
        <v>796</v>
      </c>
      <c r="P203" t="s">
        <v>168</v>
      </c>
      <c r="Q203" t="s">
        <v>305</v>
      </c>
      <c r="R203">
        <v>2011</v>
      </c>
      <c r="S203" t="s">
        <v>803</v>
      </c>
      <c r="T203">
        <f>IF(IPL_Matches_2008_2020___New[[#This Row],[Toss Winner]]=IPL_Matches_2008_2020___New[[#This Row],[Winner]],1,0)</f>
        <v>1</v>
      </c>
      <c r="U203" t="s">
        <v>801</v>
      </c>
    </row>
    <row r="204" spans="1:21" x14ac:dyDescent="0.3">
      <c r="A204" t="s">
        <v>1003</v>
      </c>
      <c r="B204" t="s">
        <v>46</v>
      </c>
      <c r="C204">
        <f>YEAR(IPL_Matches_2008_2020___New[[#This Row],[Date ]])</f>
        <v>2011</v>
      </c>
      <c r="D204" s="1">
        <v>40660</v>
      </c>
      <c r="E204" t="s">
        <v>282</v>
      </c>
      <c r="F204" t="s">
        <v>83</v>
      </c>
      <c r="G204" t="s">
        <v>292</v>
      </c>
      <c r="H204" t="s">
        <v>34</v>
      </c>
      <c r="I204" t="s">
        <v>292</v>
      </c>
      <c r="J204" t="s">
        <v>35</v>
      </c>
      <c r="K204" t="s">
        <v>34</v>
      </c>
      <c r="L204" t="s">
        <v>43</v>
      </c>
      <c r="M204">
        <v>8</v>
      </c>
      <c r="N204" t="s">
        <v>25</v>
      </c>
      <c r="O204" t="s">
        <v>796</v>
      </c>
      <c r="P204" t="s">
        <v>27</v>
      </c>
      <c r="Q204" t="s">
        <v>37</v>
      </c>
      <c r="R204">
        <v>2011</v>
      </c>
      <c r="S204" t="s">
        <v>803</v>
      </c>
      <c r="T204">
        <f>IF(IPL_Matches_2008_2020___New[[#This Row],[Toss Winner]]=IPL_Matches_2008_2020___New[[#This Row],[Winner]],1,0)</f>
        <v>0</v>
      </c>
      <c r="U204" t="s">
        <v>798</v>
      </c>
    </row>
    <row r="205" spans="1:21" x14ac:dyDescent="0.3">
      <c r="A205" t="s">
        <v>1004</v>
      </c>
      <c r="B205" t="s">
        <v>288</v>
      </c>
      <c r="C205">
        <f>YEAR(IPL_Matches_2008_2020___New[[#This Row],[Date ]])</f>
        <v>2011</v>
      </c>
      <c r="D205" s="1">
        <v>40660</v>
      </c>
      <c r="E205" t="s">
        <v>316</v>
      </c>
      <c r="F205" t="s">
        <v>289</v>
      </c>
      <c r="G205" t="s">
        <v>290</v>
      </c>
      <c r="H205" t="s">
        <v>56</v>
      </c>
      <c r="I205" t="s">
        <v>290</v>
      </c>
      <c r="J205" t="s">
        <v>23</v>
      </c>
      <c r="K205" t="s">
        <v>56</v>
      </c>
      <c r="L205" t="s">
        <v>24</v>
      </c>
      <c r="M205">
        <v>55</v>
      </c>
      <c r="N205" t="s">
        <v>25</v>
      </c>
      <c r="O205" t="s">
        <v>796</v>
      </c>
      <c r="P205" t="s">
        <v>165</v>
      </c>
      <c r="Q205" t="s">
        <v>293</v>
      </c>
      <c r="R205">
        <v>2011</v>
      </c>
      <c r="S205" t="s">
        <v>797</v>
      </c>
      <c r="T205">
        <f>IF(IPL_Matches_2008_2020___New[[#This Row],[Toss Winner]]=IPL_Matches_2008_2020___New[[#This Row],[Winner]],1,0)</f>
        <v>0</v>
      </c>
      <c r="U205" t="s">
        <v>798</v>
      </c>
    </row>
    <row r="206" spans="1:21" x14ac:dyDescent="0.3">
      <c r="A206" t="s">
        <v>1005</v>
      </c>
      <c r="B206" t="s">
        <v>38</v>
      </c>
      <c r="C206">
        <f>YEAR(IPL_Matches_2008_2020___New[[#This Row],[Date ]])</f>
        <v>2011</v>
      </c>
      <c r="D206" s="1">
        <v>40661</v>
      </c>
      <c r="E206" t="s">
        <v>222</v>
      </c>
      <c r="F206" t="s">
        <v>40</v>
      </c>
      <c r="G206" t="s">
        <v>692</v>
      </c>
      <c r="H206" t="s">
        <v>22</v>
      </c>
      <c r="I206" t="s">
        <v>692</v>
      </c>
      <c r="J206" t="s">
        <v>23</v>
      </c>
      <c r="K206" t="s">
        <v>22</v>
      </c>
      <c r="L206" t="s">
        <v>24</v>
      </c>
      <c r="M206">
        <v>17</v>
      </c>
      <c r="N206" t="s">
        <v>25</v>
      </c>
      <c r="O206" t="s">
        <v>796</v>
      </c>
      <c r="P206" t="s">
        <v>286</v>
      </c>
      <c r="Q206" t="s">
        <v>305</v>
      </c>
      <c r="R206">
        <v>2011</v>
      </c>
      <c r="S206" t="s">
        <v>797</v>
      </c>
      <c r="T206">
        <f>IF(IPL_Matches_2008_2020___New[[#This Row],[Toss Winner]]=IPL_Matches_2008_2020___New[[#This Row],[Winner]],1,0)</f>
        <v>0</v>
      </c>
      <c r="U206" t="s">
        <v>798</v>
      </c>
    </row>
    <row r="207" spans="1:21" x14ac:dyDescent="0.3">
      <c r="A207" t="s">
        <v>1006</v>
      </c>
      <c r="B207" t="s">
        <v>59</v>
      </c>
      <c r="C207">
        <f>YEAR(IPL_Matches_2008_2020___New[[#This Row],[Date ]])</f>
        <v>2011</v>
      </c>
      <c r="D207" s="1">
        <v>40662</v>
      </c>
      <c r="E207" t="s">
        <v>319</v>
      </c>
      <c r="F207" t="s">
        <v>62</v>
      </c>
      <c r="G207" t="s">
        <v>42</v>
      </c>
      <c r="H207" t="s">
        <v>50</v>
      </c>
      <c r="I207" t="s">
        <v>42</v>
      </c>
      <c r="J207" t="s">
        <v>23</v>
      </c>
      <c r="K207" t="s">
        <v>42</v>
      </c>
      <c r="L207" t="s">
        <v>43</v>
      </c>
      <c r="M207">
        <v>7</v>
      </c>
      <c r="N207" t="s">
        <v>25</v>
      </c>
      <c r="O207" t="s">
        <v>796</v>
      </c>
      <c r="P207" t="s">
        <v>27</v>
      </c>
      <c r="Q207" t="s">
        <v>181</v>
      </c>
      <c r="R207">
        <v>2011</v>
      </c>
      <c r="S207" t="s">
        <v>803</v>
      </c>
      <c r="T207">
        <f>IF(IPL_Matches_2008_2020___New[[#This Row],[Toss Winner]]=IPL_Matches_2008_2020___New[[#This Row],[Winner]],1,0)</f>
        <v>1</v>
      </c>
      <c r="U207" t="s">
        <v>801</v>
      </c>
    </row>
    <row r="208" spans="1:21" x14ac:dyDescent="0.3">
      <c r="A208" t="s">
        <v>1007</v>
      </c>
      <c r="B208" t="s">
        <v>17</v>
      </c>
      <c r="C208">
        <f>YEAR(IPL_Matches_2008_2020___New[[#This Row],[Date ]])</f>
        <v>2011</v>
      </c>
      <c r="D208" s="1">
        <v>40662</v>
      </c>
      <c r="E208" t="s">
        <v>314</v>
      </c>
      <c r="F208" t="s">
        <v>795</v>
      </c>
      <c r="G208" t="s">
        <v>21</v>
      </c>
      <c r="H208" t="s">
        <v>292</v>
      </c>
      <c r="I208" t="s">
        <v>292</v>
      </c>
      <c r="J208" t="s">
        <v>23</v>
      </c>
      <c r="K208" t="s">
        <v>21</v>
      </c>
      <c r="L208" t="s">
        <v>24</v>
      </c>
      <c r="M208">
        <v>26</v>
      </c>
      <c r="N208" t="s">
        <v>25</v>
      </c>
      <c r="O208" t="s">
        <v>796</v>
      </c>
      <c r="P208" t="s">
        <v>44</v>
      </c>
      <c r="Q208" t="s">
        <v>188</v>
      </c>
      <c r="R208">
        <v>2011</v>
      </c>
      <c r="S208" t="s">
        <v>797</v>
      </c>
      <c r="T208">
        <f>IF(IPL_Matches_2008_2020___New[[#This Row],[Toss Winner]]=IPL_Matches_2008_2020___New[[#This Row],[Winner]],1,0)</f>
        <v>0</v>
      </c>
      <c r="U208" t="s">
        <v>798</v>
      </c>
    </row>
    <row r="209" spans="1:21" x14ac:dyDescent="0.3">
      <c r="A209" t="s">
        <v>1008</v>
      </c>
      <c r="B209" t="s">
        <v>288</v>
      </c>
      <c r="C209">
        <f>YEAR(IPL_Matches_2008_2020___New[[#This Row],[Date ]])</f>
        <v>2011</v>
      </c>
      <c r="D209" s="1">
        <v>40663</v>
      </c>
      <c r="E209" t="s">
        <v>66</v>
      </c>
      <c r="F209" t="s">
        <v>289</v>
      </c>
      <c r="G209" t="s">
        <v>290</v>
      </c>
      <c r="H209" t="s">
        <v>692</v>
      </c>
      <c r="I209" t="s">
        <v>692</v>
      </c>
      <c r="J209" t="s">
        <v>35</v>
      </c>
      <c r="K209" t="s">
        <v>692</v>
      </c>
      <c r="L209" t="s">
        <v>24</v>
      </c>
      <c r="M209">
        <v>38</v>
      </c>
      <c r="N209" t="s">
        <v>25</v>
      </c>
      <c r="O209" t="s">
        <v>796</v>
      </c>
      <c r="P209" t="s">
        <v>165</v>
      </c>
      <c r="Q209" t="s">
        <v>293</v>
      </c>
      <c r="R209">
        <v>2011</v>
      </c>
      <c r="S209" t="s">
        <v>797</v>
      </c>
      <c r="T209">
        <f>IF(IPL_Matches_2008_2020___New[[#This Row],[Toss Winner]]=IPL_Matches_2008_2020___New[[#This Row],[Winner]],1,0)</f>
        <v>1</v>
      </c>
      <c r="U209" t="s">
        <v>801</v>
      </c>
    </row>
    <row r="210" spans="1:21" x14ac:dyDescent="0.3">
      <c r="A210" t="s">
        <v>1009</v>
      </c>
      <c r="B210" t="s">
        <v>53</v>
      </c>
      <c r="C210">
        <f>YEAR(IPL_Matches_2008_2020___New[[#This Row],[Date ]])</f>
        <v>2011</v>
      </c>
      <c r="D210" s="1">
        <v>40663</v>
      </c>
      <c r="E210" t="s">
        <v>321</v>
      </c>
      <c r="F210" t="s">
        <v>55</v>
      </c>
      <c r="G210" t="s">
        <v>22</v>
      </c>
      <c r="H210" t="s">
        <v>800</v>
      </c>
      <c r="I210" t="s">
        <v>22</v>
      </c>
      <c r="J210" t="s">
        <v>23</v>
      </c>
      <c r="K210" t="s">
        <v>22</v>
      </c>
      <c r="L210" t="s">
        <v>43</v>
      </c>
      <c r="M210">
        <v>8</v>
      </c>
      <c r="N210" t="s">
        <v>25</v>
      </c>
      <c r="O210" t="s">
        <v>796</v>
      </c>
      <c r="P210" t="s">
        <v>69</v>
      </c>
      <c r="Q210" t="s">
        <v>37</v>
      </c>
      <c r="R210">
        <v>2011</v>
      </c>
      <c r="S210" t="s">
        <v>803</v>
      </c>
      <c r="T210">
        <f>IF(IPL_Matches_2008_2020___New[[#This Row],[Toss Winner]]=IPL_Matches_2008_2020___New[[#This Row],[Winner]],1,0)</f>
        <v>1</v>
      </c>
      <c r="U210" t="s">
        <v>801</v>
      </c>
    </row>
    <row r="211" spans="1:21" x14ac:dyDescent="0.3">
      <c r="A211" t="s">
        <v>1010</v>
      </c>
      <c r="B211" t="s">
        <v>59</v>
      </c>
      <c r="C211">
        <f>YEAR(IPL_Matches_2008_2020___New[[#This Row],[Date ]])</f>
        <v>2011</v>
      </c>
      <c r="D211" s="1">
        <v>40664</v>
      </c>
      <c r="E211" t="s">
        <v>196</v>
      </c>
      <c r="F211" t="s">
        <v>62</v>
      </c>
      <c r="G211" t="s">
        <v>42</v>
      </c>
      <c r="H211" t="s">
        <v>292</v>
      </c>
      <c r="I211" t="s">
        <v>42</v>
      </c>
      <c r="J211" t="s">
        <v>23</v>
      </c>
      <c r="K211" t="s">
        <v>42</v>
      </c>
      <c r="L211" t="s">
        <v>43</v>
      </c>
      <c r="M211">
        <v>6</v>
      </c>
      <c r="N211" t="s">
        <v>25</v>
      </c>
      <c r="O211" t="s">
        <v>796</v>
      </c>
      <c r="P211" t="s">
        <v>181</v>
      </c>
      <c r="Q211" t="s">
        <v>149</v>
      </c>
      <c r="R211">
        <v>2011</v>
      </c>
      <c r="S211" t="s">
        <v>803</v>
      </c>
      <c r="T211">
        <f>IF(IPL_Matches_2008_2020___New[[#This Row],[Toss Winner]]=IPL_Matches_2008_2020___New[[#This Row],[Winner]],1,0)</f>
        <v>1</v>
      </c>
      <c r="U211" t="s">
        <v>801</v>
      </c>
    </row>
    <row r="212" spans="1:21" x14ac:dyDescent="0.3">
      <c r="A212" t="s">
        <v>1011</v>
      </c>
      <c r="B212" t="s">
        <v>70</v>
      </c>
      <c r="C212">
        <f>YEAR(IPL_Matches_2008_2020___New[[#This Row],[Date ]])</f>
        <v>2011</v>
      </c>
      <c r="D212" s="1">
        <v>40664</v>
      </c>
      <c r="E212" t="s">
        <v>128</v>
      </c>
      <c r="F212" t="s">
        <v>73</v>
      </c>
      <c r="G212" t="s">
        <v>34</v>
      </c>
      <c r="H212" t="s">
        <v>56</v>
      </c>
      <c r="I212" t="s">
        <v>34</v>
      </c>
      <c r="J212" t="s">
        <v>35</v>
      </c>
      <c r="K212" t="s">
        <v>34</v>
      </c>
      <c r="L212" t="s">
        <v>24</v>
      </c>
      <c r="M212">
        <v>19</v>
      </c>
      <c r="N212" t="s">
        <v>25</v>
      </c>
      <c r="O212" t="s">
        <v>796</v>
      </c>
      <c r="P212" t="s">
        <v>44</v>
      </c>
      <c r="Q212" t="s">
        <v>63</v>
      </c>
      <c r="R212">
        <v>2011</v>
      </c>
      <c r="S212" t="s">
        <v>797</v>
      </c>
      <c r="T212">
        <f>IF(IPL_Matches_2008_2020___New[[#This Row],[Toss Winner]]=IPL_Matches_2008_2020___New[[#This Row],[Winner]],1,0)</f>
        <v>1</v>
      </c>
      <c r="U212" t="s">
        <v>801</v>
      </c>
    </row>
    <row r="213" spans="1:21" x14ac:dyDescent="0.3">
      <c r="A213" t="s">
        <v>1012</v>
      </c>
      <c r="B213" t="s">
        <v>46</v>
      </c>
      <c r="C213">
        <f>YEAR(IPL_Matches_2008_2020___New[[#This Row],[Date ]])</f>
        <v>2011</v>
      </c>
      <c r="D213" s="1">
        <v>40665</v>
      </c>
      <c r="E213" t="s">
        <v>267</v>
      </c>
      <c r="F213" t="s">
        <v>49</v>
      </c>
      <c r="G213" t="s">
        <v>50</v>
      </c>
      <c r="H213" t="s">
        <v>800</v>
      </c>
      <c r="I213" t="s">
        <v>800</v>
      </c>
      <c r="J213" t="s">
        <v>23</v>
      </c>
      <c r="K213" t="s">
        <v>50</v>
      </c>
      <c r="L213" t="s">
        <v>24</v>
      </c>
      <c r="M213">
        <v>23</v>
      </c>
      <c r="N213" t="s">
        <v>25</v>
      </c>
      <c r="O213" t="s">
        <v>796</v>
      </c>
      <c r="P213" t="s">
        <v>165</v>
      </c>
      <c r="Q213" t="s">
        <v>286</v>
      </c>
      <c r="R213">
        <v>2011</v>
      </c>
      <c r="S213" t="s">
        <v>797</v>
      </c>
      <c r="T213">
        <f>IF(IPL_Matches_2008_2020___New[[#This Row],[Toss Winner]]=IPL_Matches_2008_2020___New[[#This Row],[Winner]],1,0)</f>
        <v>0</v>
      </c>
      <c r="U213" t="s">
        <v>798</v>
      </c>
    </row>
    <row r="214" spans="1:21" x14ac:dyDescent="0.3">
      <c r="A214" t="s">
        <v>1013</v>
      </c>
      <c r="B214" t="s">
        <v>38</v>
      </c>
      <c r="C214">
        <f>YEAR(IPL_Matches_2008_2020___New[[#This Row],[Date ]])</f>
        <v>2011</v>
      </c>
      <c r="D214" s="1">
        <v>40665</v>
      </c>
      <c r="E214" t="s">
        <v>322</v>
      </c>
      <c r="F214" t="s">
        <v>40</v>
      </c>
      <c r="G214" t="s">
        <v>692</v>
      </c>
      <c r="H214" t="s">
        <v>290</v>
      </c>
      <c r="I214" t="s">
        <v>290</v>
      </c>
      <c r="J214" t="s">
        <v>23</v>
      </c>
      <c r="K214" t="s">
        <v>290</v>
      </c>
      <c r="L214" t="s">
        <v>43</v>
      </c>
      <c r="M214">
        <v>7</v>
      </c>
      <c r="N214" t="s">
        <v>25</v>
      </c>
      <c r="O214" t="s">
        <v>796</v>
      </c>
      <c r="P214" t="s">
        <v>27</v>
      </c>
      <c r="Q214" t="s">
        <v>37</v>
      </c>
      <c r="R214">
        <v>2011</v>
      </c>
      <c r="S214" t="s">
        <v>803</v>
      </c>
      <c r="T214">
        <f>IF(IPL_Matches_2008_2020___New[[#This Row],[Toss Winner]]=IPL_Matches_2008_2020___New[[#This Row],[Winner]],1,0)</f>
        <v>1</v>
      </c>
      <c r="U214" t="s">
        <v>801</v>
      </c>
    </row>
    <row r="215" spans="1:21" x14ac:dyDescent="0.3">
      <c r="A215" t="s">
        <v>1014</v>
      </c>
      <c r="B215" t="s">
        <v>64</v>
      </c>
      <c r="C215">
        <f>YEAR(IPL_Matches_2008_2020___New[[#This Row],[Date ]])</f>
        <v>2011</v>
      </c>
      <c r="D215" s="1">
        <v>40666</v>
      </c>
      <c r="E215" t="s">
        <v>75</v>
      </c>
      <c r="F215" t="s">
        <v>67</v>
      </c>
      <c r="G215" t="s">
        <v>56</v>
      </c>
      <c r="H215" t="s">
        <v>22</v>
      </c>
      <c r="I215" t="s">
        <v>56</v>
      </c>
      <c r="J215" t="s">
        <v>23</v>
      </c>
      <c r="K215" t="s">
        <v>22</v>
      </c>
      <c r="L215" t="s">
        <v>24</v>
      </c>
      <c r="M215">
        <v>20</v>
      </c>
      <c r="N215" t="s">
        <v>25</v>
      </c>
      <c r="O215" t="s">
        <v>796</v>
      </c>
      <c r="P215" t="s">
        <v>168</v>
      </c>
      <c r="Q215" t="s">
        <v>305</v>
      </c>
      <c r="R215">
        <v>2011</v>
      </c>
      <c r="S215" t="s">
        <v>797</v>
      </c>
      <c r="T215">
        <f>IF(IPL_Matches_2008_2020___New[[#This Row],[Toss Winner]]=IPL_Matches_2008_2020___New[[#This Row],[Winner]],1,0)</f>
        <v>0</v>
      </c>
      <c r="U215" t="s">
        <v>798</v>
      </c>
    </row>
    <row r="216" spans="1:21" x14ac:dyDescent="0.3">
      <c r="A216" t="s">
        <v>1015</v>
      </c>
      <c r="B216" t="s">
        <v>70</v>
      </c>
      <c r="C216">
        <f>YEAR(IPL_Matches_2008_2020___New[[#This Row],[Date ]])</f>
        <v>2011</v>
      </c>
      <c r="D216" s="1">
        <v>40667</v>
      </c>
      <c r="E216" t="s">
        <v>31</v>
      </c>
      <c r="F216" t="s">
        <v>73</v>
      </c>
      <c r="G216" t="s">
        <v>34</v>
      </c>
      <c r="H216" t="s">
        <v>42</v>
      </c>
      <c r="I216" t="s">
        <v>42</v>
      </c>
      <c r="J216" t="s">
        <v>35</v>
      </c>
      <c r="K216" t="s">
        <v>34</v>
      </c>
      <c r="L216" t="s">
        <v>43</v>
      </c>
      <c r="M216">
        <v>8</v>
      </c>
      <c r="N216" t="s">
        <v>25</v>
      </c>
      <c r="O216" t="s">
        <v>796</v>
      </c>
      <c r="P216" t="s">
        <v>188</v>
      </c>
      <c r="Q216" t="s">
        <v>63</v>
      </c>
      <c r="R216">
        <v>2011</v>
      </c>
      <c r="S216" t="s">
        <v>803</v>
      </c>
      <c r="T216">
        <f>IF(IPL_Matches_2008_2020___New[[#This Row],[Toss Winner]]=IPL_Matches_2008_2020___New[[#This Row],[Winner]],1,0)</f>
        <v>0</v>
      </c>
      <c r="U216" t="s">
        <v>798</v>
      </c>
    </row>
    <row r="217" spans="1:21" x14ac:dyDescent="0.3">
      <c r="A217" t="s">
        <v>1016</v>
      </c>
      <c r="B217" t="s">
        <v>46</v>
      </c>
      <c r="C217">
        <f>YEAR(IPL_Matches_2008_2020___New[[#This Row],[Date ]])</f>
        <v>2011</v>
      </c>
      <c r="D217" s="1">
        <v>40667</v>
      </c>
      <c r="E217" t="s">
        <v>323</v>
      </c>
      <c r="F217" t="s">
        <v>83</v>
      </c>
      <c r="G217" t="s">
        <v>292</v>
      </c>
      <c r="H217" t="s">
        <v>50</v>
      </c>
      <c r="I217" t="s">
        <v>292</v>
      </c>
      <c r="J217" t="s">
        <v>23</v>
      </c>
      <c r="K217" t="s">
        <v>50</v>
      </c>
      <c r="L217" t="s">
        <v>24</v>
      </c>
      <c r="M217">
        <v>21</v>
      </c>
      <c r="N217" t="s">
        <v>25</v>
      </c>
      <c r="O217" t="s">
        <v>796</v>
      </c>
      <c r="P217" t="s">
        <v>165</v>
      </c>
      <c r="Q217" t="s">
        <v>149</v>
      </c>
      <c r="R217">
        <v>2011</v>
      </c>
      <c r="S217" t="s">
        <v>797</v>
      </c>
      <c r="T217">
        <f>IF(IPL_Matches_2008_2020___New[[#This Row],[Toss Winner]]=IPL_Matches_2008_2020___New[[#This Row],[Winner]],1,0)</f>
        <v>0</v>
      </c>
      <c r="U217" t="s">
        <v>798</v>
      </c>
    </row>
    <row r="218" spans="1:21" x14ac:dyDescent="0.3">
      <c r="A218" t="s">
        <v>1017</v>
      </c>
      <c r="B218" t="s">
        <v>288</v>
      </c>
      <c r="C218">
        <f>YEAR(IPL_Matches_2008_2020___New[[#This Row],[Date ]])</f>
        <v>2011</v>
      </c>
      <c r="D218" s="1">
        <v>40668</v>
      </c>
      <c r="E218" t="s">
        <v>209</v>
      </c>
      <c r="F218" t="s">
        <v>289</v>
      </c>
      <c r="G218" t="s">
        <v>290</v>
      </c>
      <c r="H218" t="s">
        <v>22</v>
      </c>
      <c r="I218" t="s">
        <v>22</v>
      </c>
      <c r="J218" t="s">
        <v>23</v>
      </c>
      <c r="K218" t="s">
        <v>290</v>
      </c>
      <c r="L218" t="s">
        <v>24</v>
      </c>
      <c r="M218">
        <v>17</v>
      </c>
      <c r="N218" t="s">
        <v>25</v>
      </c>
      <c r="O218" t="s">
        <v>796</v>
      </c>
      <c r="P218" t="s">
        <v>183</v>
      </c>
      <c r="Q218" t="s">
        <v>305</v>
      </c>
      <c r="R218">
        <v>2011</v>
      </c>
      <c r="S218" t="s">
        <v>797</v>
      </c>
      <c r="T218">
        <f>IF(IPL_Matches_2008_2020___New[[#This Row],[Toss Winner]]=IPL_Matches_2008_2020___New[[#This Row],[Winner]],1,0)</f>
        <v>0</v>
      </c>
      <c r="U218" t="s">
        <v>798</v>
      </c>
    </row>
    <row r="219" spans="1:21" x14ac:dyDescent="0.3">
      <c r="A219" t="s">
        <v>1018</v>
      </c>
      <c r="B219" t="s">
        <v>64</v>
      </c>
      <c r="C219">
        <f>YEAR(IPL_Matches_2008_2020___New[[#This Row],[Date ]])</f>
        <v>2011</v>
      </c>
      <c r="D219" s="1">
        <v>40668</v>
      </c>
      <c r="E219" t="s">
        <v>66</v>
      </c>
      <c r="F219" t="s">
        <v>67</v>
      </c>
      <c r="G219" t="s">
        <v>56</v>
      </c>
      <c r="H219" t="s">
        <v>692</v>
      </c>
      <c r="I219" t="s">
        <v>692</v>
      </c>
      <c r="J219" t="s">
        <v>23</v>
      </c>
      <c r="K219" t="s">
        <v>692</v>
      </c>
      <c r="L219" t="s">
        <v>43</v>
      </c>
      <c r="M219">
        <v>4</v>
      </c>
      <c r="N219" t="s">
        <v>25</v>
      </c>
      <c r="O219" t="s">
        <v>796</v>
      </c>
      <c r="P219" t="s">
        <v>27</v>
      </c>
      <c r="Q219" t="s">
        <v>69</v>
      </c>
      <c r="R219">
        <v>2011</v>
      </c>
      <c r="S219" t="s">
        <v>803</v>
      </c>
      <c r="T219">
        <f>IF(IPL_Matches_2008_2020___New[[#This Row],[Toss Winner]]=IPL_Matches_2008_2020___New[[#This Row],[Winner]],1,0)</f>
        <v>1</v>
      </c>
      <c r="U219" t="s">
        <v>801</v>
      </c>
    </row>
    <row r="220" spans="1:21" x14ac:dyDescent="0.3">
      <c r="A220" t="s">
        <v>1019</v>
      </c>
      <c r="B220" t="s">
        <v>17</v>
      </c>
      <c r="C220">
        <f>YEAR(IPL_Matches_2008_2020___New[[#This Row],[Date ]])</f>
        <v>2011</v>
      </c>
      <c r="D220" s="1">
        <v>40669</v>
      </c>
      <c r="E220" t="s">
        <v>152</v>
      </c>
      <c r="F220" t="s">
        <v>795</v>
      </c>
      <c r="G220" t="s">
        <v>21</v>
      </c>
      <c r="H220" t="s">
        <v>800</v>
      </c>
      <c r="I220" t="s">
        <v>800</v>
      </c>
      <c r="J220" t="s">
        <v>23</v>
      </c>
      <c r="K220" t="s">
        <v>21</v>
      </c>
      <c r="L220" t="s">
        <v>24</v>
      </c>
      <c r="M220">
        <v>85</v>
      </c>
      <c r="N220" t="s">
        <v>25</v>
      </c>
      <c r="O220" t="s">
        <v>796</v>
      </c>
      <c r="P220" t="s">
        <v>44</v>
      </c>
      <c r="Q220" t="s">
        <v>63</v>
      </c>
      <c r="R220">
        <v>2011</v>
      </c>
      <c r="S220" t="s">
        <v>797</v>
      </c>
      <c r="T220">
        <f>IF(IPL_Matches_2008_2020___New[[#This Row],[Toss Winner]]=IPL_Matches_2008_2020___New[[#This Row],[Winner]],1,0)</f>
        <v>0</v>
      </c>
      <c r="U220" t="s">
        <v>798</v>
      </c>
    </row>
    <row r="221" spans="1:21" x14ac:dyDescent="0.3">
      <c r="A221" t="s">
        <v>1020</v>
      </c>
      <c r="B221" t="s">
        <v>53</v>
      </c>
      <c r="C221">
        <f>YEAR(IPL_Matches_2008_2020___New[[#This Row],[Date ]])</f>
        <v>2011</v>
      </c>
      <c r="D221" s="1">
        <v>40670</v>
      </c>
      <c r="E221" t="s">
        <v>321</v>
      </c>
      <c r="F221" t="s">
        <v>55</v>
      </c>
      <c r="G221" t="s">
        <v>22</v>
      </c>
      <c r="H221" t="s">
        <v>34</v>
      </c>
      <c r="I221" t="s">
        <v>34</v>
      </c>
      <c r="J221" t="s">
        <v>35</v>
      </c>
      <c r="K221" t="s">
        <v>22</v>
      </c>
      <c r="L221" t="s">
        <v>24</v>
      </c>
      <c r="M221">
        <v>10</v>
      </c>
      <c r="N221" t="s">
        <v>25</v>
      </c>
      <c r="O221" t="s">
        <v>115</v>
      </c>
      <c r="P221" t="s">
        <v>27</v>
      </c>
      <c r="Q221" t="s">
        <v>286</v>
      </c>
      <c r="R221">
        <v>2011</v>
      </c>
      <c r="S221" t="s">
        <v>797</v>
      </c>
      <c r="T221">
        <f>IF(IPL_Matches_2008_2020___New[[#This Row],[Toss Winner]]=IPL_Matches_2008_2020___New[[#This Row],[Winner]],1,0)</f>
        <v>0</v>
      </c>
      <c r="U221" t="s">
        <v>798</v>
      </c>
    </row>
    <row r="222" spans="1:21" x14ac:dyDescent="0.3">
      <c r="A222" t="s">
        <v>1021</v>
      </c>
      <c r="B222" t="s">
        <v>46</v>
      </c>
      <c r="C222">
        <f>YEAR(IPL_Matches_2008_2020___New[[#This Row],[Date ]])</f>
        <v>2011</v>
      </c>
      <c r="D222" s="1">
        <v>40670</v>
      </c>
      <c r="E222" t="s">
        <v>257</v>
      </c>
      <c r="F222" t="s">
        <v>49</v>
      </c>
      <c r="G222" t="s">
        <v>50</v>
      </c>
      <c r="H222" t="s">
        <v>692</v>
      </c>
      <c r="I222" t="s">
        <v>692</v>
      </c>
      <c r="J222" t="s">
        <v>23</v>
      </c>
      <c r="K222" t="s">
        <v>50</v>
      </c>
      <c r="L222" t="s">
        <v>24</v>
      </c>
      <c r="M222">
        <v>32</v>
      </c>
      <c r="N222" t="s">
        <v>25</v>
      </c>
      <c r="O222" t="s">
        <v>796</v>
      </c>
      <c r="P222" t="s">
        <v>58</v>
      </c>
      <c r="Q222" t="s">
        <v>149</v>
      </c>
      <c r="R222">
        <v>2011</v>
      </c>
      <c r="S222" t="s">
        <v>797</v>
      </c>
      <c r="T222">
        <f>IF(IPL_Matches_2008_2020___New[[#This Row],[Toss Winner]]=IPL_Matches_2008_2020___New[[#This Row],[Winner]],1,0)</f>
        <v>0</v>
      </c>
      <c r="U222" t="s">
        <v>798</v>
      </c>
    </row>
    <row r="223" spans="1:21" x14ac:dyDescent="0.3">
      <c r="A223" t="s">
        <v>1022</v>
      </c>
      <c r="B223" t="s">
        <v>17</v>
      </c>
      <c r="C223">
        <f>YEAR(IPL_Matches_2008_2020___New[[#This Row],[Date ]])</f>
        <v>2011</v>
      </c>
      <c r="D223" s="1">
        <v>40671</v>
      </c>
      <c r="E223" t="s">
        <v>152</v>
      </c>
      <c r="F223" t="s">
        <v>795</v>
      </c>
      <c r="G223" t="s">
        <v>21</v>
      </c>
      <c r="H223" t="s">
        <v>290</v>
      </c>
      <c r="I223" t="s">
        <v>290</v>
      </c>
      <c r="J223" t="s">
        <v>35</v>
      </c>
      <c r="K223" t="s">
        <v>21</v>
      </c>
      <c r="L223" t="s">
        <v>43</v>
      </c>
      <c r="M223">
        <v>9</v>
      </c>
      <c r="N223" t="s">
        <v>25</v>
      </c>
      <c r="O223" t="s">
        <v>796</v>
      </c>
      <c r="P223" t="s">
        <v>44</v>
      </c>
      <c r="Q223" t="s">
        <v>188</v>
      </c>
      <c r="R223">
        <v>2011</v>
      </c>
      <c r="S223" t="s">
        <v>803</v>
      </c>
      <c r="T223">
        <f>IF(IPL_Matches_2008_2020___New[[#This Row],[Toss Winner]]=IPL_Matches_2008_2020___New[[#This Row],[Winner]],1,0)</f>
        <v>0</v>
      </c>
      <c r="U223" t="s">
        <v>798</v>
      </c>
    </row>
    <row r="224" spans="1:21" x14ac:dyDescent="0.3">
      <c r="A224" t="s">
        <v>1023</v>
      </c>
      <c r="B224" t="s">
        <v>29</v>
      </c>
      <c r="C224">
        <f>YEAR(IPL_Matches_2008_2020___New[[#This Row],[Date ]])</f>
        <v>2011</v>
      </c>
      <c r="D224" s="1">
        <v>40671</v>
      </c>
      <c r="E224" t="s">
        <v>323</v>
      </c>
      <c r="F224" t="s">
        <v>32</v>
      </c>
      <c r="G224" t="s">
        <v>800</v>
      </c>
      <c r="H224" t="s">
        <v>292</v>
      </c>
      <c r="I224" t="s">
        <v>800</v>
      </c>
      <c r="J224" t="s">
        <v>35</v>
      </c>
      <c r="K224" t="s">
        <v>292</v>
      </c>
      <c r="L224" t="s">
        <v>43</v>
      </c>
      <c r="M224">
        <v>5</v>
      </c>
      <c r="N224" t="s">
        <v>25</v>
      </c>
      <c r="O224" t="s">
        <v>796</v>
      </c>
      <c r="P224" t="s">
        <v>181</v>
      </c>
      <c r="Q224" t="s">
        <v>305</v>
      </c>
      <c r="R224">
        <v>2011</v>
      </c>
      <c r="S224" t="s">
        <v>803</v>
      </c>
      <c r="T224">
        <f>IF(IPL_Matches_2008_2020___New[[#This Row],[Toss Winner]]=IPL_Matches_2008_2020___New[[#This Row],[Winner]],1,0)</f>
        <v>0</v>
      </c>
      <c r="U224" t="s">
        <v>798</v>
      </c>
    </row>
    <row r="225" spans="1:21" x14ac:dyDescent="0.3">
      <c r="A225" t="s">
        <v>1024</v>
      </c>
      <c r="B225" t="s">
        <v>59</v>
      </c>
      <c r="C225">
        <f>YEAR(IPL_Matches_2008_2020___New[[#This Row],[Date ]])</f>
        <v>2011</v>
      </c>
      <c r="D225" s="1">
        <v>40672</v>
      </c>
      <c r="E225" t="s">
        <v>255</v>
      </c>
      <c r="F225" t="s">
        <v>62</v>
      </c>
      <c r="G225" t="s">
        <v>42</v>
      </c>
      <c r="H225" t="s">
        <v>34</v>
      </c>
      <c r="I225" t="s">
        <v>42</v>
      </c>
      <c r="J225" t="s">
        <v>23</v>
      </c>
      <c r="K225" t="s">
        <v>34</v>
      </c>
      <c r="L225" t="s">
        <v>24</v>
      </c>
      <c r="M225">
        <v>63</v>
      </c>
      <c r="N225" t="s">
        <v>25</v>
      </c>
      <c r="O225" t="s">
        <v>796</v>
      </c>
      <c r="P225" t="s">
        <v>58</v>
      </c>
      <c r="Q225" t="s">
        <v>149</v>
      </c>
      <c r="R225">
        <v>2011</v>
      </c>
      <c r="S225" t="s">
        <v>797</v>
      </c>
      <c r="T225">
        <f>IF(IPL_Matches_2008_2020___New[[#This Row],[Toss Winner]]=IPL_Matches_2008_2020___New[[#This Row],[Winner]],1,0)</f>
        <v>0</v>
      </c>
      <c r="U225" t="s">
        <v>798</v>
      </c>
    </row>
    <row r="226" spans="1:21" x14ac:dyDescent="0.3">
      <c r="A226" t="s">
        <v>1025</v>
      </c>
      <c r="B226" t="s">
        <v>64</v>
      </c>
      <c r="C226">
        <f>YEAR(IPL_Matches_2008_2020___New[[#This Row],[Date ]])</f>
        <v>2011</v>
      </c>
      <c r="D226" s="1">
        <v>40673</v>
      </c>
      <c r="E226" t="s">
        <v>324</v>
      </c>
      <c r="F226" t="s">
        <v>67</v>
      </c>
      <c r="G226" t="s">
        <v>56</v>
      </c>
      <c r="H226" t="s">
        <v>292</v>
      </c>
      <c r="I226" t="s">
        <v>56</v>
      </c>
      <c r="J226" t="s">
        <v>35</v>
      </c>
      <c r="K226" t="s">
        <v>292</v>
      </c>
      <c r="L226" t="s">
        <v>43</v>
      </c>
      <c r="M226">
        <v>6</v>
      </c>
      <c r="N226" t="s">
        <v>25</v>
      </c>
      <c r="O226" t="s">
        <v>796</v>
      </c>
      <c r="P226" t="s">
        <v>27</v>
      </c>
      <c r="Q226" t="s">
        <v>69</v>
      </c>
      <c r="R226">
        <v>2011</v>
      </c>
      <c r="S226" t="s">
        <v>803</v>
      </c>
      <c r="T226">
        <f>IF(IPL_Matches_2008_2020___New[[#This Row],[Toss Winner]]=IPL_Matches_2008_2020___New[[#This Row],[Winner]],1,0)</f>
        <v>0</v>
      </c>
      <c r="U226" t="s">
        <v>798</v>
      </c>
    </row>
    <row r="227" spans="1:21" x14ac:dyDescent="0.3">
      <c r="A227" t="s">
        <v>1026</v>
      </c>
      <c r="B227" t="s">
        <v>29</v>
      </c>
      <c r="C227">
        <f>YEAR(IPL_Matches_2008_2020___New[[#This Row],[Date ]])</f>
        <v>2011</v>
      </c>
      <c r="D227" s="1">
        <v>40673</v>
      </c>
      <c r="E227" t="s">
        <v>325</v>
      </c>
      <c r="F227" t="s">
        <v>32</v>
      </c>
      <c r="G227" t="s">
        <v>800</v>
      </c>
      <c r="H227" t="s">
        <v>50</v>
      </c>
      <c r="I227" t="s">
        <v>50</v>
      </c>
      <c r="J227" t="s">
        <v>23</v>
      </c>
      <c r="K227" t="s">
        <v>800</v>
      </c>
      <c r="L227" t="s">
        <v>24</v>
      </c>
      <c r="M227">
        <v>76</v>
      </c>
      <c r="N227" t="s">
        <v>25</v>
      </c>
      <c r="O227" t="s">
        <v>796</v>
      </c>
      <c r="P227" t="s">
        <v>181</v>
      </c>
      <c r="Q227" t="s">
        <v>305</v>
      </c>
      <c r="R227">
        <v>2011</v>
      </c>
      <c r="S227" t="s">
        <v>797</v>
      </c>
      <c r="T227">
        <f>IF(IPL_Matches_2008_2020___New[[#This Row],[Toss Winner]]=IPL_Matches_2008_2020___New[[#This Row],[Winner]],1,0)</f>
        <v>0</v>
      </c>
      <c r="U227" t="s">
        <v>798</v>
      </c>
    </row>
    <row r="228" spans="1:21" x14ac:dyDescent="0.3">
      <c r="A228" t="s">
        <v>1027</v>
      </c>
      <c r="B228" t="s">
        <v>59</v>
      </c>
      <c r="C228">
        <f>YEAR(IPL_Matches_2008_2020___New[[#This Row],[Date ]])</f>
        <v>2011</v>
      </c>
      <c r="D228" s="1">
        <v>40674</v>
      </c>
      <c r="E228" t="s">
        <v>326</v>
      </c>
      <c r="F228" t="s">
        <v>62</v>
      </c>
      <c r="G228" t="s">
        <v>42</v>
      </c>
      <c r="H228" t="s">
        <v>21</v>
      </c>
      <c r="I228" t="s">
        <v>21</v>
      </c>
      <c r="J228" t="s">
        <v>23</v>
      </c>
      <c r="K228" t="s">
        <v>21</v>
      </c>
      <c r="L228" t="s">
        <v>43</v>
      </c>
      <c r="M228">
        <v>9</v>
      </c>
      <c r="N228" t="s">
        <v>25</v>
      </c>
      <c r="O228" t="s">
        <v>796</v>
      </c>
      <c r="P228" t="s">
        <v>165</v>
      </c>
      <c r="Q228" t="s">
        <v>58</v>
      </c>
      <c r="R228">
        <v>2011</v>
      </c>
      <c r="S228" t="s">
        <v>803</v>
      </c>
      <c r="T228">
        <f>IF(IPL_Matches_2008_2020___New[[#This Row],[Toss Winner]]=IPL_Matches_2008_2020___New[[#This Row],[Winner]],1,0)</f>
        <v>1</v>
      </c>
      <c r="U228" t="s">
        <v>801</v>
      </c>
    </row>
    <row r="229" spans="1:21" x14ac:dyDescent="0.3">
      <c r="A229" t="s">
        <v>1028</v>
      </c>
      <c r="B229" t="s">
        <v>70</v>
      </c>
      <c r="C229">
        <f>YEAR(IPL_Matches_2008_2020___New[[#This Row],[Date ]])</f>
        <v>2011</v>
      </c>
      <c r="D229" s="1">
        <v>40675</v>
      </c>
      <c r="E229" t="s">
        <v>87</v>
      </c>
      <c r="F229" t="s">
        <v>73</v>
      </c>
      <c r="G229" t="s">
        <v>34</v>
      </c>
      <c r="H229" t="s">
        <v>692</v>
      </c>
      <c r="I229" t="s">
        <v>34</v>
      </c>
      <c r="J229" t="s">
        <v>35</v>
      </c>
      <c r="K229" t="s">
        <v>34</v>
      </c>
      <c r="L229" t="s">
        <v>24</v>
      </c>
      <c r="M229">
        <v>18</v>
      </c>
      <c r="N229" t="s">
        <v>25</v>
      </c>
      <c r="O229" t="s">
        <v>796</v>
      </c>
      <c r="P229" t="s">
        <v>69</v>
      </c>
      <c r="Q229" t="s">
        <v>37</v>
      </c>
      <c r="R229">
        <v>2011</v>
      </c>
      <c r="S229" t="s">
        <v>797</v>
      </c>
      <c r="T229">
        <f>IF(IPL_Matches_2008_2020___New[[#This Row],[Toss Winner]]=IPL_Matches_2008_2020___New[[#This Row],[Winner]],1,0)</f>
        <v>1</v>
      </c>
      <c r="U229" t="s">
        <v>801</v>
      </c>
    </row>
    <row r="230" spans="1:21" x14ac:dyDescent="0.3">
      <c r="A230" t="s">
        <v>1029</v>
      </c>
      <c r="B230" t="s">
        <v>327</v>
      </c>
      <c r="C230">
        <f>YEAR(IPL_Matches_2008_2020___New[[#This Row],[Date ]])</f>
        <v>2011</v>
      </c>
      <c r="D230" s="1">
        <v>40676</v>
      </c>
      <c r="E230" t="s">
        <v>127</v>
      </c>
      <c r="F230" t="s">
        <v>329</v>
      </c>
      <c r="G230" t="s">
        <v>290</v>
      </c>
      <c r="H230" t="s">
        <v>800</v>
      </c>
      <c r="I230" t="s">
        <v>800</v>
      </c>
      <c r="J230" t="s">
        <v>23</v>
      </c>
      <c r="K230" t="s">
        <v>800</v>
      </c>
      <c r="L230" t="s">
        <v>43</v>
      </c>
      <c r="M230">
        <v>6</v>
      </c>
      <c r="N230" t="s">
        <v>25</v>
      </c>
      <c r="O230" t="s">
        <v>796</v>
      </c>
      <c r="P230" t="s">
        <v>168</v>
      </c>
      <c r="Q230" t="s">
        <v>305</v>
      </c>
      <c r="R230">
        <v>2011</v>
      </c>
      <c r="S230" t="s">
        <v>803</v>
      </c>
      <c r="T230">
        <f>IF(IPL_Matches_2008_2020___New[[#This Row],[Toss Winner]]=IPL_Matches_2008_2020___New[[#This Row],[Winner]],1,0)</f>
        <v>1</v>
      </c>
      <c r="U230" t="s">
        <v>801</v>
      </c>
    </row>
    <row r="231" spans="1:21" x14ac:dyDescent="0.3">
      <c r="A231" t="s">
        <v>1030</v>
      </c>
      <c r="B231" t="s">
        <v>17</v>
      </c>
      <c r="C231">
        <f>YEAR(IPL_Matches_2008_2020___New[[#This Row],[Date ]])</f>
        <v>2011</v>
      </c>
      <c r="D231" s="1">
        <v>40677</v>
      </c>
      <c r="E231" t="s">
        <v>152</v>
      </c>
      <c r="F231" t="s">
        <v>795</v>
      </c>
      <c r="G231" t="s">
        <v>21</v>
      </c>
      <c r="H231" t="s">
        <v>22</v>
      </c>
      <c r="I231" t="s">
        <v>21</v>
      </c>
      <c r="J231" t="s">
        <v>23</v>
      </c>
      <c r="K231" t="s">
        <v>21</v>
      </c>
      <c r="L231" t="s">
        <v>43</v>
      </c>
      <c r="M231">
        <v>4</v>
      </c>
      <c r="N231" t="s">
        <v>25</v>
      </c>
      <c r="O231" t="s">
        <v>115</v>
      </c>
      <c r="P231" t="s">
        <v>28</v>
      </c>
      <c r="Q231" t="s">
        <v>63</v>
      </c>
      <c r="R231">
        <v>2011</v>
      </c>
      <c r="S231" t="s">
        <v>803</v>
      </c>
      <c r="T231">
        <f>IF(IPL_Matches_2008_2020___New[[#This Row],[Toss Winner]]=IPL_Matches_2008_2020___New[[#This Row],[Winner]],1,0)</f>
        <v>1</v>
      </c>
      <c r="U231" t="s">
        <v>801</v>
      </c>
    </row>
    <row r="232" spans="1:21" x14ac:dyDescent="0.3">
      <c r="A232" t="s">
        <v>1031</v>
      </c>
      <c r="B232" t="s">
        <v>46</v>
      </c>
      <c r="C232">
        <f>YEAR(IPL_Matches_2008_2020___New[[#This Row],[Date ]])</f>
        <v>2011</v>
      </c>
      <c r="D232" s="1">
        <v>40677</v>
      </c>
      <c r="E232" t="s">
        <v>111</v>
      </c>
      <c r="F232" t="s">
        <v>49</v>
      </c>
      <c r="G232" t="s">
        <v>50</v>
      </c>
      <c r="H232" t="s">
        <v>56</v>
      </c>
      <c r="I232" t="s">
        <v>56</v>
      </c>
      <c r="J232" t="s">
        <v>35</v>
      </c>
      <c r="K232" t="s">
        <v>56</v>
      </c>
      <c r="L232" t="s">
        <v>24</v>
      </c>
      <c r="M232">
        <v>10</v>
      </c>
      <c r="N232" t="s">
        <v>25</v>
      </c>
      <c r="O232" t="s">
        <v>796</v>
      </c>
      <c r="P232" t="s">
        <v>183</v>
      </c>
      <c r="Q232" t="s">
        <v>181</v>
      </c>
      <c r="R232">
        <v>2011</v>
      </c>
      <c r="S232" t="s">
        <v>797</v>
      </c>
      <c r="T232">
        <f>IF(IPL_Matches_2008_2020___New[[#This Row],[Toss Winner]]=IPL_Matches_2008_2020___New[[#This Row],[Winner]],1,0)</f>
        <v>1</v>
      </c>
      <c r="U232" t="s">
        <v>801</v>
      </c>
    </row>
    <row r="233" spans="1:21" x14ac:dyDescent="0.3">
      <c r="A233" t="s">
        <v>1032</v>
      </c>
      <c r="B233" t="s">
        <v>271</v>
      </c>
      <c r="C233">
        <f>YEAR(IPL_Matches_2008_2020___New[[#This Row],[Date ]])</f>
        <v>2011</v>
      </c>
      <c r="D233" s="1">
        <v>40678</v>
      </c>
      <c r="E233" t="s">
        <v>264</v>
      </c>
      <c r="F233" t="s">
        <v>273</v>
      </c>
      <c r="G233" t="s">
        <v>800</v>
      </c>
      <c r="H233" t="s">
        <v>692</v>
      </c>
      <c r="I233" t="s">
        <v>692</v>
      </c>
      <c r="J233" t="s">
        <v>23</v>
      </c>
      <c r="K233" t="s">
        <v>800</v>
      </c>
      <c r="L233" t="s">
        <v>24</v>
      </c>
      <c r="M233">
        <v>29</v>
      </c>
      <c r="N233" t="s">
        <v>25</v>
      </c>
      <c r="O233" t="s">
        <v>796</v>
      </c>
      <c r="P233" t="s">
        <v>27</v>
      </c>
      <c r="Q233" t="s">
        <v>37</v>
      </c>
      <c r="R233">
        <v>2011</v>
      </c>
      <c r="S233" t="s">
        <v>797</v>
      </c>
      <c r="T233">
        <f>IF(IPL_Matches_2008_2020___New[[#This Row],[Toss Winner]]=IPL_Matches_2008_2020___New[[#This Row],[Winner]],1,0)</f>
        <v>0</v>
      </c>
      <c r="U233" t="s">
        <v>798</v>
      </c>
    </row>
    <row r="234" spans="1:21" x14ac:dyDescent="0.3">
      <c r="A234" t="s">
        <v>1033</v>
      </c>
      <c r="B234" t="s">
        <v>327</v>
      </c>
      <c r="C234">
        <f>YEAR(IPL_Matches_2008_2020___New[[#This Row],[Date ]])</f>
        <v>2011</v>
      </c>
      <c r="D234" s="1">
        <v>40678</v>
      </c>
      <c r="E234" t="s">
        <v>209</v>
      </c>
      <c r="F234" t="s">
        <v>329</v>
      </c>
      <c r="G234" t="s">
        <v>290</v>
      </c>
      <c r="H234" t="s">
        <v>42</v>
      </c>
      <c r="I234" t="s">
        <v>290</v>
      </c>
      <c r="J234" t="s">
        <v>23</v>
      </c>
      <c r="K234" t="s">
        <v>290</v>
      </c>
      <c r="L234" t="s">
        <v>43</v>
      </c>
      <c r="M234">
        <v>8</v>
      </c>
      <c r="N234" t="s">
        <v>25</v>
      </c>
      <c r="O234" t="s">
        <v>796</v>
      </c>
      <c r="P234" t="s">
        <v>286</v>
      </c>
      <c r="Q234" t="s">
        <v>305</v>
      </c>
      <c r="R234">
        <v>2011</v>
      </c>
      <c r="S234" t="s">
        <v>803</v>
      </c>
      <c r="T234">
        <f>IF(IPL_Matches_2008_2020___New[[#This Row],[Toss Winner]]=IPL_Matches_2008_2020___New[[#This Row],[Winner]],1,0)</f>
        <v>1</v>
      </c>
      <c r="U234" t="s">
        <v>801</v>
      </c>
    </row>
    <row r="235" spans="1:21" x14ac:dyDescent="0.3">
      <c r="A235" t="s">
        <v>1034</v>
      </c>
      <c r="B235" t="s">
        <v>46</v>
      </c>
      <c r="C235">
        <f>YEAR(IPL_Matches_2008_2020___New[[#This Row],[Date ]])</f>
        <v>2011</v>
      </c>
      <c r="D235" s="1">
        <v>40679</v>
      </c>
      <c r="E235" t="s">
        <v>111</v>
      </c>
      <c r="F235" t="s">
        <v>83</v>
      </c>
      <c r="G235" t="s">
        <v>292</v>
      </c>
      <c r="H235" t="s">
        <v>56</v>
      </c>
      <c r="I235" t="s">
        <v>56</v>
      </c>
      <c r="J235" t="s">
        <v>23</v>
      </c>
      <c r="K235" t="s">
        <v>56</v>
      </c>
      <c r="L235" t="s">
        <v>43</v>
      </c>
      <c r="M235">
        <v>6</v>
      </c>
      <c r="N235" t="s">
        <v>25</v>
      </c>
      <c r="O235" t="s">
        <v>796</v>
      </c>
      <c r="P235" t="s">
        <v>183</v>
      </c>
      <c r="Q235" t="s">
        <v>181</v>
      </c>
      <c r="R235">
        <v>2011</v>
      </c>
      <c r="S235" t="s">
        <v>803</v>
      </c>
      <c r="T235">
        <f>IF(IPL_Matches_2008_2020___New[[#This Row],[Toss Winner]]=IPL_Matches_2008_2020___New[[#This Row],[Winner]],1,0)</f>
        <v>1</v>
      </c>
      <c r="U235" t="s">
        <v>801</v>
      </c>
    </row>
    <row r="236" spans="1:21" x14ac:dyDescent="0.3">
      <c r="A236" t="s">
        <v>1035</v>
      </c>
      <c r="B236" t="s">
        <v>271</v>
      </c>
      <c r="C236">
        <f>YEAR(IPL_Matches_2008_2020___New[[#This Row],[Date ]])</f>
        <v>2011</v>
      </c>
      <c r="D236" s="1">
        <v>40680</v>
      </c>
      <c r="E236" t="s">
        <v>82</v>
      </c>
      <c r="F236" t="s">
        <v>273</v>
      </c>
      <c r="G236" t="s">
        <v>800</v>
      </c>
      <c r="H236" t="s">
        <v>21</v>
      </c>
      <c r="I236" t="s">
        <v>800</v>
      </c>
      <c r="J236" t="s">
        <v>35</v>
      </c>
      <c r="K236" t="s">
        <v>800</v>
      </c>
      <c r="L236" t="s">
        <v>24</v>
      </c>
      <c r="M236">
        <v>111</v>
      </c>
      <c r="N236" t="s">
        <v>25</v>
      </c>
      <c r="O236" t="s">
        <v>796</v>
      </c>
      <c r="P236" t="s">
        <v>27</v>
      </c>
      <c r="Q236" t="s">
        <v>69</v>
      </c>
      <c r="R236">
        <v>2011</v>
      </c>
      <c r="S236" t="s">
        <v>797</v>
      </c>
      <c r="T236">
        <f>IF(IPL_Matches_2008_2020___New[[#This Row],[Toss Winner]]=IPL_Matches_2008_2020___New[[#This Row],[Winner]],1,0)</f>
        <v>1</v>
      </c>
      <c r="U236" t="s">
        <v>801</v>
      </c>
    </row>
    <row r="237" spans="1:21" x14ac:dyDescent="0.3">
      <c r="A237" t="s">
        <v>1036</v>
      </c>
      <c r="B237" t="s">
        <v>70</v>
      </c>
      <c r="C237">
        <f>YEAR(IPL_Matches_2008_2020___New[[#This Row],[Date ]])</f>
        <v>2011</v>
      </c>
      <c r="D237" s="1">
        <v>40681</v>
      </c>
      <c r="E237" t="s">
        <v>335</v>
      </c>
      <c r="F237" t="s">
        <v>73</v>
      </c>
      <c r="G237" t="s">
        <v>34</v>
      </c>
      <c r="H237" t="s">
        <v>290</v>
      </c>
      <c r="I237" t="s">
        <v>34</v>
      </c>
      <c r="J237" t="s">
        <v>35</v>
      </c>
      <c r="K237" t="s">
        <v>34</v>
      </c>
      <c r="L237" t="s">
        <v>24</v>
      </c>
      <c r="M237">
        <v>11</v>
      </c>
      <c r="N237" t="s">
        <v>25</v>
      </c>
      <c r="O237" t="s">
        <v>796</v>
      </c>
      <c r="P237" t="s">
        <v>165</v>
      </c>
      <c r="Q237" t="s">
        <v>28</v>
      </c>
      <c r="R237">
        <v>2011</v>
      </c>
      <c r="S237" t="s">
        <v>797</v>
      </c>
      <c r="T237">
        <f>IF(IPL_Matches_2008_2020___New[[#This Row],[Toss Winner]]=IPL_Matches_2008_2020___New[[#This Row],[Winner]],1,0)</f>
        <v>1</v>
      </c>
      <c r="U237" t="s">
        <v>801</v>
      </c>
    </row>
    <row r="238" spans="1:21" x14ac:dyDescent="0.3">
      <c r="A238" t="s">
        <v>1037</v>
      </c>
      <c r="B238" t="s">
        <v>46</v>
      </c>
      <c r="C238">
        <f>YEAR(IPL_Matches_2008_2020___New[[#This Row],[Date ]])</f>
        <v>2011</v>
      </c>
      <c r="D238" s="1">
        <v>40682</v>
      </c>
      <c r="E238" t="s">
        <v>75</v>
      </c>
      <c r="F238" t="s">
        <v>83</v>
      </c>
      <c r="G238" t="s">
        <v>292</v>
      </c>
      <c r="H238" t="s">
        <v>22</v>
      </c>
      <c r="I238" t="s">
        <v>22</v>
      </c>
      <c r="J238" t="s">
        <v>23</v>
      </c>
      <c r="K238" t="s">
        <v>22</v>
      </c>
      <c r="L238" t="s">
        <v>43</v>
      </c>
      <c r="M238">
        <v>7</v>
      </c>
      <c r="N238" t="s">
        <v>25</v>
      </c>
      <c r="O238" t="s">
        <v>796</v>
      </c>
      <c r="P238" t="s">
        <v>183</v>
      </c>
      <c r="Q238" t="s">
        <v>149</v>
      </c>
      <c r="R238">
        <v>2011</v>
      </c>
      <c r="S238" t="s">
        <v>803</v>
      </c>
      <c r="T238">
        <f>IF(IPL_Matches_2008_2020___New[[#This Row],[Toss Winner]]=IPL_Matches_2008_2020___New[[#This Row],[Winner]],1,0)</f>
        <v>1</v>
      </c>
      <c r="U238" t="s">
        <v>801</v>
      </c>
    </row>
    <row r="239" spans="1:21" x14ac:dyDescent="0.3">
      <c r="A239" t="s">
        <v>1038</v>
      </c>
      <c r="B239" t="s">
        <v>46</v>
      </c>
      <c r="C239">
        <f>YEAR(IPL_Matches_2008_2020___New[[#This Row],[Date ]])</f>
        <v>2011</v>
      </c>
      <c r="D239" s="1">
        <v>40683</v>
      </c>
      <c r="E239" t="s">
        <v>61</v>
      </c>
      <c r="F239" t="s">
        <v>49</v>
      </c>
      <c r="G239" t="s">
        <v>50</v>
      </c>
      <c r="H239" t="s">
        <v>42</v>
      </c>
      <c r="I239" t="s">
        <v>50</v>
      </c>
      <c r="J239" t="s">
        <v>35</v>
      </c>
      <c r="K239" t="s">
        <v>42</v>
      </c>
      <c r="L239" t="s">
        <v>43</v>
      </c>
      <c r="M239">
        <v>10</v>
      </c>
      <c r="N239" t="s">
        <v>25</v>
      </c>
      <c r="O239" t="s">
        <v>796</v>
      </c>
      <c r="P239" t="s">
        <v>28</v>
      </c>
      <c r="Q239" t="s">
        <v>286</v>
      </c>
      <c r="R239">
        <v>2011</v>
      </c>
      <c r="S239" t="s">
        <v>803</v>
      </c>
      <c r="T239">
        <f>IF(IPL_Matches_2008_2020___New[[#This Row],[Toss Winner]]=IPL_Matches_2008_2020___New[[#This Row],[Winner]],1,0)</f>
        <v>0</v>
      </c>
      <c r="U239" t="s">
        <v>798</v>
      </c>
    </row>
    <row r="240" spans="1:21" x14ac:dyDescent="0.3">
      <c r="A240" t="s">
        <v>1039</v>
      </c>
      <c r="B240" t="s">
        <v>271</v>
      </c>
      <c r="C240">
        <f>YEAR(IPL_Matches_2008_2020___New[[#This Row],[Date ]])</f>
        <v>2011</v>
      </c>
      <c r="D240" s="1">
        <v>40684</v>
      </c>
      <c r="E240" t="s">
        <v>339</v>
      </c>
      <c r="F240" t="s">
        <v>273</v>
      </c>
      <c r="G240" t="s">
        <v>800</v>
      </c>
      <c r="H240" t="s">
        <v>56</v>
      </c>
      <c r="I240" t="s">
        <v>800</v>
      </c>
      <c r="J240" t="s">
        <v>23</v>
      </c>
      <c r="K240" t="s">
        <v>56</v>
      </c>
      <c r="L240" t="s">
        <v>24</v>
      </c>
      <c r="M240">
        <v>82</v>
      </c>
      <c r="N240" t="s">
        <v>25</v>
      </c>
      <c r="O240" t="s">
        <v>796</v>
      </c>
      <c r="P240" t="s">
        <v>27</v>
      </c>
      <c r="Q240" t="s">
        <v>69</v>
      </c>
      <c r="R240">
        <v>2011</v>
      </c>
      <c r="S240" t="s">
        <v>797</v>
      </c>
      <c r="T240">
        <f>IF(IPL_Matches_2008_2020___New[[#This Row],[Toss Winner]]=IPL_Matches_2008_2020___New[[#This Row],[Winner]],1,0)</f>
        <v>0</v>
      </c>
      <c r="U240" t="s">
        <v>798</v>
      </c>
    </row>
    <row r="241" spans="1:21" x14ac:dyDescent="0.3">
      <c r="A241" t="s">
        <v>1040</v>
      </c>
      <c r="B241" t="s">
        <v>17</v>
      </c>
      <c r="C241">
        <f>YEAR(IPL_Matches_2008_2020___New[[#This Row],[Date ]])</f>
        <v>2011</v>
      </c>
      <c r="D241" s="1">
        <v>40685</v>
      </c>
      <c r="E241" t="s">
        <v>152</v>
      </c>
      <c r="F241" t="s">
        <v>795</v>
      </c>
      <c r="G241" t="s">
        <v>21</v>
      </c>
      <c r="H241" t="s">
        <v>34</v>
      </c>
      <c r="I241" t="s">
        <v>21</v>
      </c>
      <c r="J241" t="s">
        <v>23</v>
      </c>
      <c r="K241" t="s">
        <v>21</v>
      </c>
      <c r="L241" t="s">
        <v>43</v>
      </c>
      <c r="M241">
        <v>8</v>
      </c>
      <c r="N241" t="s">
        <v>25</v>
      </c>
      <c r="O241" t="s">
        <v>796</v>
      </c>
      <c r="P241" t="s">
        <v>58</v>
      </c>
      <c r="Q241" t="s">
        <v>28</v>
      </c>
      <c r="R241">
        <v>2011</v>
      </c>
      <c r="S241" t="s">
        <v>803</v>
      </c>
      <c r="T241">
        <f>IF(IPL_Matches_2008_2020___New[[#This Row],[Toss Winner]]=IPL_Matches_2008_2020___New[[#This Row],[Winner]],1,0)</f>
        <v>1</v>
      </c>
      <c r="U241" t="s">
        <v>801</v>
      </c>
    </row>
    <row r="242" spans="1:21" x14ac:dyDescent="0.3">
      <c r="A242" t="s">
        <v>1041</v>
      </c>
      <c r="B242" t="s">
        <v>53</v>
      </c>
      <c r="C242">
        <f>YEAR(IPL_Matches_2008_2020___New[[#This Row],[Date ]])</f>
        <v>2011</v>
      </c>
      <c r="D242" s="1">
        <v>40685</v>
      </c>
      <c r="E242" t="s">
        <v>341</v>
      </c>
      <c r="F242" t="s">
        <v>55</v>
      </c>
      <c r="G242" t="s">
        <v>22</v>
      </c>
      <c r="H242" t="s">
        <v>50</v>
      </c>
      <c r="I242" t="s">
        <v>50</v>
      </c>
      <c r="J242" t="s">
        <v>23</v>
      </c>
      <c r="K242" t="s">
        <v>50</v>
      </c>
      <c r="L242" t="s">
        <v>43</v>
      </c>
      <c r="M242">
        <v>5</v>
      </c>
      <c r="N242" t="s">
        <v>25</v>
      </c>
      <c r="O242" t="s">
        <v>796</v>
      </c>
      <c r="P242" t="s">
        <v>181</v>
      </c>
      <c r="Q242" t="s">
        <v>149</v>
      </c>
      <c r="R242">
        <v>2011</v>
      </c>
      <c r="S242" t="s">
        <v>803</v>
      </c>
      <c r="T242">
        <f>IF(IPL_Matches_2008_2020___New[[#This Row],[Toss Winner]]=IPL_Matches_2008_2020___New[[#This Row],[Winner]],1,0)</f>
        <v>1</v>
      </c>
      <c r="U242" t="s">
        <v>801</v>
      </c>
    </row>
    <row r="243" spans="1:21" x14ac:dyDescent="0.3">
      <c r="A243" t="s">
        <v>1042</v>
      </c>
      <c r="B243" t="s">
        <v>46</v>
      </c>
      <c r="C243">
        <f>YEAR(IPL_Matches_2008_2020___New[[#This Row],[Date ]])</f>
        <v>2011</v>
      </c>
      <c r="D243" s="1">
        <v>40687</v>
      </c>
      <c r="E243" t="s">
        <v>133</v>
      </c>
      <c r="F243" t="s">
        <v>49</v>
      </c>
      <c r="G243" t="s">
        <v>21</v>
      </c>
      <c r="H243" t="s">
        <v>34</v>
      </c>
      <c r="I243" t="s">
        <v>34</v>
      </c>
      <c r="J243" t="s">
        <v>23</v>
      </c>
      <c r="K243" t="s">
        <v>34</v>
      </c>
      <c r="L243" t="s">
        <v>43</v>
      </c>
      <c r="M243">
        <v>6</v>
      </c>
      <c r="N243" t="s">
        <v>25</v>
      </c>
      <c r="O243" t="s">
        <v>796</v>
      </c>
      <c r="P243" t="s">
        <v>27</v>
      </c>
      <c r="Q243" t="s">
        <v>149</v>
      </c>
      <c r="R243">
        <v>2011</v>
      </c>
      <c r="S243" t="s">
        <v>803</v>
      </c>
      <c r="T243">
        <f>IF(IPL_Matches_2008_2020___New[[#This Row],[Toss Winner]]=IPL_Matches_2008_2020___New[[#This Row],[Winner]],1,0)</f>
        <v>1</v>
      </c>
      <c r="U243" t="s">
        <v>801</v>
      </c>
    </row>
    <row r="244" spans="1:21" x14ac:dyDescent="0.3">
      <c r="A244" t="s">
        <v>1043</v>
      </c>
      <c r="B244" t="s">
        <v>46</v>
      </c>
      <c r="C244">
        <f>YEAR(IPL_Matches_2008_2020___New[[#This Row],[Date ]])</f>
        <v>2011</v>
      </c>
      <c r="D244" s="1">
        <v>40688</v>
      </c>
      <c r="E244" t="s">
        <v>307</v>
      </c>
      <c r="F244" t="s">
        <v>49</v>
      </c>
      <c r="G244" t="s">
        <v>50</v>
      </c>
      <c r="H244" t="s">
        <v>22</v>
      </c>
      <c r="I244" t="s">
        <v>50</v>
      </c>
      <c r="J244" t="s">
        <v>23</v>
      </c>
      <c r="K244" t="s">
        <v>50</v>
      </c>
      <c r="L244" t="s">
        <v>43</v>
      </c>
      <c r="M244">
        <v>4</v>
      </c>
      <c r="N244" t="s">
        <v>25</v>
      </c>
      <c r="O244" t="s">
        <v>796</v>
      </c>
      <c r="P244" t="s">
        <v>27</v>
      </c>
      <c r="Q244" t="s">
        <v>149</v>
      </c>
      <c r="R244">
        <v>2011</v>
      </c>
      <c r="S244" t="s">
        <v>803</v>
      </c>
      <c r="T244">
        <f>IF(IPL_Matches_2008_2020___New[[#This Row],[Toss Winner]]=IPL_Matches_2008_2020___New[[#This Row],[Winner]],1,0)</f>
        <v>1</v>
      </c>
      <c r="U244" t="s">
        <v>801</v>
      </c>
    </row>
    <row r="245" spans="1:21" x14ac:dyDescent="0.3">
      <c r="A245" t="s">
        <v>1044</v>
      </c>
      <c r="B245" t="s">
        <v>70</v>
      </c>
      <c r="C245">
        <f>YEAR(IPL_Matches_2008_2020___New[[#This Row],[Date ]])</f>
        <v>2011</v>
      </c>
      <c r="D245" s="1">
        <v>40690</v>
      </c>
      <c r="E245" t="s">
        <v>152</v>
      </c>
      <c r="F245" t="s">
        <v>73</v>
      </c>
      <c r="G245" t="s">
        <v>21</v>
      </c>
      <c r="H245" t="s">
        <v>50</v>
      </c>
      <c r="I245" t="s">
        <v>50</v>
      </c>
      <c r="J245" t="s">
        <v>23</v>
      </c>
      <c r="K245" t="s">
        <v>21</v>
      </c>
      <c r="L245" t="s">
        <v>24</v>
      </c>
      <c r="M245">
        <v>43</v>
      </c>
      <c r="N245" t="s">
        <v>25</v>
      </c>
      <c r="O245" t="s">
        <v>796</v>
      </c>
      <c r="P245" t="s">
        <v>27</v>
      </c>
      <c r="Q245" t="s">
        <v>149</v>
      </c>
      <c r="R245">
        <v>2011</v>
      </c>
      <c r="S245" t="s">
        <v>797</v>
      </c>
      <c r="T245">
        <f>IF(IPL_Matches_2008_2020___New[[#This Row],[Toss Winner]]=IPL_Matches_2008_2020___New[[#This Row],[Winner]],1,0)</f>
        <v>0</v>
      </c>
      <c r="U245" t="s">
        <v>798</v>
      </c>
    </row>
    <row r="246" spans="1:21" x14ac:dyDescent="0.3">
      <c r="A246" t="s">
        <v>1045</v>
      </c>
      <c r="B246" t="s">
        <v>70</v>
      </c>
      <c r="C246">
        <f>YEAR(IPL_Matches_2008_2020___New[[#This Row],[Date ]])</f>
        <v>2011</v>
      </c>
      <c r="D246" s="1">
        <v>40691</v>
      </c>
      <c r="E246" t="s">
        <v>255</v>
      </c>
      <c r="F246" t="s">
        <v>73</v>
      </c>
      <c r="G246" t="s">
        <v>34</v>
      </c>
      <c r="H246" t="s">
        <v>21</v>
      </c>
      <c r="I246" t="s">
        <v>34</v>
      </c>
      <c r="J246" t="s">
        <v>35</v>
      </c>
      <c r="K246" t="s">
        <v>34</v>
      </c>
      <c r="L246" t="s">
        <v>24</v>
      </c>
      <c r="M246">
        <v>58</v>
      </c>
      <c r="N246" t="s">
        <v>25</v>
      </c>
      <c r="O246" t="s">
        <v>796</v>
      </c>
      <c r="P246" t="s">
        <v>27</v>
      </c>
      <c r="Q246" t="s">
        <v>149</v>
      </c>
      <c r="R246">
        <v>2011</v>
      </c>
      <c r="S246" t="s">
        <v>797</v>
      </c>
      <c r="T246">
        <f>IF(IPL_Matches_2008_2020___New[[#This Row],[Toss Winner]]=IPL_Matches_2008_2020___New[[#This Row],[Winner]],1,0)</f>
        <v>1</v>
      </c>
      <c r="U246" t="s">
        <v>801</v>
      </c>
    </row>
    <row r="247" spans="1:21" x14ac:dyDescent="0.3">
      <c r="A247" t="s">
        <v>1046</v>
      </c>
      <c r="B247" t="s">
        <v>70</v>
      </c>
      <c r="C247">
        <f>YEAR(IPL_Matches_2008_2020___New[[#This Row],[Date ]])</f>
        <v>2012</v>
      </c>
      <c r="D247" s="1">
        <v>41003</v>
      </c>
      <c r="E247" t="s">
        <v>346</v>
      </c>
      <c r="F247" t="s">
        <v>73</v>
      </c>
      <c r="G247" t="s">
        <v>34</v>
      </c>
      <c r="H247" t="s">
        <v>50</v>
      </c>
      <c r="I247" t="s">
        <v>50</v>
      </c>
      <c r="J247" t="s">
        <v>23</v>
      </c>
      <c r="K247" t="s">
        <v>50</v>
      </c>
      <c r="L247" t="s">
        <v>43</v>
      </c>
      <c r="M247">
        <v>8</v>
      </c>
      <c r="N247" t="s">
        <v>25</v>
      </c>
      <c r="O247" t="s">
        <v>796</v>
      </c>
      <c r="P247" t="s">
        <v>347</v>
      </c>
      <c r="Q247" t="s">
        <v>149</v>
      </c>
      <c r="R247">
        <v>2012</v>
      </c>
      <c r="S247" t="s">
        <v>803</v>
      </c>
      <c r="T247">
        <f>IF(IPL_Matches_2008_2020___New[[#This Row],[Toss Winner]]=IPL_Matches_2008_2020___New[[#This Row],[Winner]],1,0)</f>
        <v>1</v>
      </c>
      <c r="U247" t="s">
        <v>801</v>
      </c>
    </row>
    <row r="248" spans="1:21" x14ac:dyDescent="0.3">
      <c r="A248" t="s">
        <v>1047</v>
      </c>
      <c r="B248" t="s">
        <v>53</v>
      </c>
      <c r="C248">
        <f>YEAR(IPL_Matches_2008_2020___New[[#This Row],[Date ]])</f>
        <v>2012</v>
      </c>
      <c r="D248" s="1">
        <v>41004</v>
      </c>
      <c r="E248" t="s">
        <v>97</v>
      </c>
      <c r="F248" t="s">
        <v>55</v>
      </c>
      <c r="G248" t="s">
        <v>22</v>
      </c>
      <c r="H248" t="s">
        <v>692</v>
      </c>
      <c r="I248" t="s">
        <v>692</v>
      </c>
      <c r="J248" t="s">
        <v>23</v>
      </c>
      <c r="K248" t="s">
        <v>692</v>
      </c>
      <c r="L248" t="s">
        <v>43</v>
      </c>
      <c r="M248">
        <v>8</v>
      </c>
      <c r="N248" t="s">
        <v>25</v>
      </c>
      <c r="O248" t="s">
        <v>796</v>
      </c>
      <c r="P248" t="s">
        <v>168</v>
      </c>
      <c r="Q248" t="s">
        <v>165</v>
      </c>
      <c r="R248">
        <v>2012</v>
      </c>
      <c r="S248" t="s">
        <v>803</v>
      </c>
      <c r="T248">
        <f>IF(IPL_Matches_2008_2020___New[[#This Row],[Toss Winner]]=IPL_Matches_2008_2020___New[[#This Row],[Winner]],1,0)</f>
        <v>1</v>
      </c>
      <c r="U248" t="s">
        <v>801</v>
      </c>
    </row>
    <row r="249" spans="1:21" x14ac:dyDescent="0.3">
      <c r="A249" t="s">
        <v>1048</v>
      </c>
      <c r="B249" t="s">
        <v>46</v>
      </c>
      <c r="C249">
        <f>YEAR(IPL_Matches_2008_2020___New[[#This Row],[Date ]])</f>
        <v>2012</v>
      </c>
      <c r="D249" s="1">
        <v>41005</v>
      </c>
      <c r="E249" t="s">
        <v>348</v>
      </c>
      <c r="F249" t="s">
        <v>49</v>
      </c>
      <c r="G249" t="s">
        <v>50</v>
      </c>
      <c r="H249" t="s">
        <v>292</v>
      </c>
      <c r="I249" t="s">
        <v>50</v>
      </c>
      <c r="J249" t="s">
        <v>23</v>
      </c>
      <c r="K249" t="s">
        <v>292</v>
      </c>
      <c r="L249" t="s">
        <v>24</v>
      </c>
      <c r="M249">
        <v>28</v>
      </c>
      <c r="N249" t="s">
        <v>25</v>
      </c>
      <c r="O249" t="s">
        <v>796</v>
      </c>
      <c r="P249" t="s">
        <v>349</v>
      </c>
      <c r="Q249" t="s">
        <v>149</v>
      </c>
      <c r="R249">
        <v>2012</v>
      </c>
      <c r="S249" t="s">
        <v>797</v>
      </c>
      <c r="T249">
        <f>IF(IPL_Matches_2008_2020___New[[#This Row],[Toss Winner]]=IPL_Matches_2008_2020___New[[#This Row],[Winner]],1,0)</f>
        <v>0</v>
      </c>
      <c r="U249" t="s">
        <v>798</v>
      </c>
    </row>
    <row r="250" spans="1:21" x14ac:dyDescent="0.3">
      <c r="A250" t="s">
        <v>1049</v>
      </c>
      <c r="B250" t="s">
        <v>59</v>
      </c>
      <c r="C250">
        <f>YEAR(IPL_Matches_2008_2020___New[[#This Row],[Date ]])</f>
        <v>2012</v>
      </c>
      <c r="D250" s="1">
        <v>41005</v>
      </c>
      <c r="E250" t="s">
        <v>350</v>
      </c>
      <c r="F250" t="s">
        <v>62</v>
      </c>
      <c r="G250" t="s">
        <v>42</v>
      </c>
      <c r="H250" t="s">
        <v>800</v>
      </c>
      <c r="I250" t="s">
        <v>800</v>
      </c>
      <c r="J250" t="s">
        <v>23</v>
      </c>
      <c r="K250" t="s">
        <v>42</v>
      </c>
      <c r="L250" t="s">
        <v>24</v>
      </c>
      <c r="M250">
        <v>31</v>
      </c>
      <c r="N250" t="s">
        <v>25</v>
      </c>
      <c r="O250" t="s">
        <v>796</v>
      </c>
      <c r="P250" t="s">
        <v>57</v>
      </c>
      <c r="Q250" t="s">
        <v>181</v>
      </c>
      <c r="R250">
        <v>2012</v>
      </c>
      <c r="S250" t="s">
        <v>797</v>
      </c>
      <c r="T250">
        <f>IF(IPL_Matches_2008_2020___New[[#This Row],[Toss Winner]]=IPL_Matches_2008_2020___New[[#This Row],[Winner]],1,0)</f>
        <v>0</v>
      </c>
      <c r="U250" t="s">
        <v>798</v>
      </c>
    </row>
    <row r="251" spans="1:21" x14ac:dyDescent="0.3">
      <c r="A251" t="s">
        <v>1050</v>
      </c>
      <c r="B251" t="s">
        <v>17</v>
      </c>
      <c r="C251">
        <f>YEAR(IPL_Matches_2008_2020___New[[#This Row],[Date ]])</f>
        <v>2012</v>
      </c>
      <c r="D251" s="1">
        <v>41006</v>
      </c>
      <c r="E251" t="s">
        <v>157</v>
      </c>
      <c r="F251" t="s">
        <v>795</v>
      </c>
      <c r="G251" t="s">
        <v>21</v>
      </c>
      <c r="H251" t="s">
        <v>692</v>
      </c>
      <c r="I251" t="s">
        <v>692</v>
      </c>
      <c r="J251" t="s">
        <v>23</v>
      </c>
      <c r="K251" t="s">
        <v>21</v>
      </c>
      <c r="L251" t="s">
        <v>24</v>
      </c>
      <c r="M251">
        <v>20</v>
      </c>
      <c r="N251" t="s">
        <v>25</v>
      </c>
      <c r="O251" t="s">
        <v>796</v>
      </c>
      <c r="P251" t="s">
        <v>168</v>
      </c>
      <c r="Q251" t="s">
        <v>183</v>
      </c>
      <c r="R251">
        <v>2012</v>
      </c>
      <c r="S251" t="s">
        <v>797</v>
      </c>
      <c r="T251">
        <f>IF(IPL_Matches_2008_2020___New[[#This Row],[Toss Winner]]=IPL_Matches_2008_2020___New[[#This Row],[Winner]],1,0)</f>
        <v>0</v>
      </c>
      <c r="U251" t="s">
        <v>798</v>
      </c>
    </row>
    <row r="252" spans="1:21" x14ac:dyDescent="0.3">
      <c r="A252" t="s">
        <v>1051</v>
      </c>
      <c r="B252" t="s">
        <v>351</v>
      </c>
      <c r="C252">
        <f>YEAR(IPL_Matches_2008_2020___New[[#This Row],[Date ]])</f>
        <v>2012</v>
      </c>
      <c r="D252" s="1">
        <v>41006</v>
      </c>
      <c r="E252" t="s">
        <v>352</v>
      </c>
      <c r="F252" t="s">
        <v>353</v>
      </c>
      <c r="G252" t="s">
        <v>56</v>
      </c>
      <c r="H252" t="s">
        <v>34</v>
      </c>
      <c r="I252" t="s">
        <v>56</v>
      </c>
      <c r="J252" t="s">
        <v>23</v>
      </c>
      <c r="K252" t="s">
        <v>34</v>
      </c>
      <c r="L252" t="s">
        <v>24</v>
      </c>
      <c r="M252">
        <v>74</v>
      </c>
      <c r="N252" t="s">
        <v>25</v>
      </c>
      <c r="O252" t="s">
        <v>796</v>
      </c>
      <c r="P252" t="s">
        <v>347</v>
      </c>
      <c r="Q252" t="s">
        <v>165</v>
      </c>
      <c r="R252">
        <v>2012</v>
      </c>
      <c r="S252" t="s">
        <v>797</v>
      </c>
      <c r="T252">
        <f>IF(IPL_Matches_2008_2020___New[[#This Row],[Toss Winner]]=IPL_Matches_2008_2020___New[[#This Row],[Winner]],1,0)</f>
        <v>0</v>
      </c>
      <c r="U252" t="s">
        <v>798</v>
      </c>
    </row>
    <row r="253" spans="1:21" x14ac:dyDescent="0.3">
      <c r="A253" t="s">
        <v>1052</v>
      </c>
      <c r="B253" t="s">
        <v>59</v>
      </c>
      <c r="C253">
        <f>YEAR(IPL_Matches_2008_2020___New[[#This Row],[Date ]])</f>
        <v>2012</v>
      </c>
      <c r="D253" s="1">
        <v>41007</v>
      </c>
      <c r="E253" t="s">
        <v>209</v>
      </c>
      <c r="F253" t="s">
        <v>62</v>
      </c>
      <c r="G253" t="s">
        <v>42</v>
      </c>
      <c r="H253" t="s">
        <v>22</v>
      </c>
      <c r="I253" t="s">
        <v>22</v>
      </c>
      <c r="J253" t="s">
        <v>23</v>
      </c>
      <c r="K253" t="s">
        <v>42</v>
      </c>
      <c r="L253" t="s">
        <v>24</v>
      </c>
      <c r="M253">
        <v>22</v>
      </c>
      <c r="N253" t="s">
        <v>25</v>
      </c>
      <c r="O253" t="s">
        <v>796</v>
      </c>
      <c r="P253" t="s">
        <v>57</v>
      </c>
      <c r="Q253" t="s">
        <v>354</v>
      </c>
      <c r="R253">
        <v>2012</v>
      </c>
      <c r="S253" t="s">
        <v>797</v>
      </c>
      <c r="T253">
        <f>IF(IPL_Matches_2008_2020___New[[#This Row],[Toss Winner]]=IPL_Matches_2008_2020___New[[#This Row],[Winner]],1,0)</f>
        <v>0</v>
      </c>
      <c r="U253" t="s">
        <v>798</v>
      </c>
    </row>
    <row r="254" spans="1:21" x14ac:dyDescent="0.3">
      <c r="A254" t="s">
        <v>1053</v>
      </c>
      <c r="B254" t="s">
        <v>355</v>
      </c>
      <c r="C254">
        <f>YEAR(IPL_Matches_2008_2020___New[[#This Row],[Date ]])</f>
        <v>2012</v>
      </c>
      <c r="D254" s="1">
        <v>41007</v>
      </c>
      <c r="E254" t="s">
        <v>356</v>
      </c>
      <c r="F254" t="s">
        <v>357</v>
      </c>
      <c r="G254" t="s">
        <v>292</v>
      </c>
      <c r="H254" t="s">
        <v>800</v>
      </c>
      <c r="I254" t="s">
        <v>292</v>
      </c>
      <c r="J254" t="s">
        <v>35</v>
      </c>
      <c r="K254" t="s">
        <v>292</v>
      </c>
      <c r="L254" t="s">
        <v>24</v>
      </c>
      <c r="M254">
        <v>22</v>
      </c>
      <c r="N254" t="s">
        <v>25</v>
      </c>
      <c r="O254" t="s">
        <v>796</v>
      </c>
      <c r="P254" t="s">
        <v>228</v>
      </c>
      <c r="Q254" t="s">
        <v>149</v>
      </c>
      <c r="R254">
        <v>2012</v>
      </c>
      <c r="S254" t="s">
        <v>797</v>
      </c>
      <c r="T254">
        <f>IF(IPL_Matches_2008_2020___New[[#This Row],[Toss Winner]]=IPL_Matches_2008_2020___New[[#This Row],[Winner]],1,0)</f>
        <v>1</v>
      </c>
      <c r="U254" t="s">
        <v>801</v>
      </c>
    </row>
    <row r="255" spans="1:21" x14ac:dyDescent="0.3">
      <c r="A255" t="s">
        <v>1054</v>
      </c>
      <c r="B255" t="s">
        <v>351</v>
      </c>
      <c r="C255">
        <f>YEAR(IPL_Matches_2008_2020___New[[#This Row],[Date ]])</f>
        <v>2012</v>
      </c>
      <c r="D255" s="1">
        <v>41008</v>
      </c>
      <c r="E255" t="s">
        <v>190</v>
      </c>
      <c r="F255" t="s">
        <v>353</v>
      </c>
      <c r="G255" t="s">
        <v>56</v>
      </c>
      <c r="H255" t="s">
        <v>50</v>
      </c>
      <c r="I255" t="s">
        <v>56</v>
      </c>
      <c r="J255" t="s">
        <v>35</v>
      </c>
      <c r="K255" t="s">
        <v>50</v>
      </c>
      <c r="L255" t="s">
        <v>43</v>
      </c>
      <c r="M255">
        <v>5</v>
      </c>
      <c r="N255" t="s">
        <v>25</v>
      </c>
      <c r="O255" t="s">
        <v>796</v>
      </c>
      <c r="P255" t="s">
        <v>349</v>
      </c>
      <c r="Q255" t="s">
        <v>347</v>
      </c>
      <c r="R255">
        <v>2012</v>
      </c>
      <c r="S255" t="s">
        <v>803</v>
      </c>
      <c r="T255">
        <f>IF(IPL_Matches_2008_2020___New[[#This Row],[Toss Winner]]=IPL_Matches_2008_2020___New[[#This Row],[Winner]],1,0)</f>
        <v>0</v>
      </c>
      <c r="U255" t="s">
        <v>798</v>
      </c>
    </row>
    <row r="256" spans="1:21" x14ac:dyDescent="0.3">
      <c r="A256" t="s">
        <v>1055</v>
      </c>
      <c r="B256" t="s">
        <v>17</v>
      </c>
      <c r="C256">
        <f>YEAR(IPL_Matches_2008_2020___New[[#This Row],[Date ]])</f>
        <v>2012</v>
      </c>
      <c r="D256" s="1">
        <v>41009</v>
      </c>
      <c r="E256" t="s">
        <v>105</v>
      </c>
      <c r="F256" t="s">
        <v>795</v>
      </c>
      <c r="G256" t="s">
        <v>21</v>
      </c>
      <c r="H256" t="s">
        <v>22</v>
      </c>
      <c r="I256" t="s">
        <v>21</v>
      </c>
      <c r="J256" t="s">
        <v>23</v>
      </c>
      <c r="K256" t="s">
        <v>22</v>
      </c>
      <c r="L256" t="s">
        <v>24</v>
      </c>
      <c r="M256">
        <v>42</v>
      </c>
      <c r="N256" t="s">
        <v>25</v>
      </c>
      <c r="O256" t="s">
        <v>796</v>
      </c>
      <c r="P256" t="s">
        <v>183</v>
      </c>
      <c r="Q256" t="s">
        <v>305</v>
      </c>
      <c r="R256">
        <v>2012</v>
      </c>
      <c r="S256" t="s">
        <v>797</v>
      </c>
      <c r="T256">
        <f>IF(IPL_Matches_2008_2020___New[[#This Row],[Toss Winner]]=IPL_Matches_2008_2020___New[[#This Row],[Winner]],1,0)</f>
        <v>0</v>
      </c>
      <c r="U256" t="s">
        <v>798</v>
      </c>
    </row>
    <row r="257" spans="1:21" x14ac:dyDescent="0.3">
      <c r="A257" t="s">
        <v>1056</v>
      </c>
      <c r="B257" t="s">
        <v>38</v>
      </c>
      <c r="C257">
        <f>YEAR(IPL_Matches_2008_2020___New[[#This Row],[Date ]])</f>
        <v>2012</v>
      </c>
      <c r="D257" s="1">
        <v>41009</v>
      </c>
      <c r="E257" t="s">
        <v>358</v>
      </c>
      <c r="F257" t="s">
        <v>40</v>
      </c>
      <c r="G257" t="s">
        <v>692</v>
      </c>
      <c r="H257" t="s">
        <v>34</v>
      </c>
      <c r="I257" t="s">
        <v>692</v>
      </c>
      <c r="J257" t="s">
        <v>23</v>
      </c>
      <c r="K257" t="s">
        <v>692</v>
      </c>
      <c r="L257" t="s">
        <v>43</v>
      </c>
      <c r="M257">
        <v>8</v>
      </c>
      <c r="N257" t="s">
        <v>25</v>
      </c>
      <c r="O257" t="s">
        <v>796</v>
      </c>
      <c r="P257" t="s">
        <v>27</v>
      </c>
      <c r="Q257" t="s">
        <v>181</v>
      </c>
      <c r="R257">
        <v>2012</v>
      </c>
      <c r="S257" t="s">
        <v>803</v>
      </c>
      <c r="T257">
        <f>IF(IPL_Matches_2008_2020___New[[#This Row],[Toss Winner]]=IPL_Matches_2008_2020___New[[#This Row],[Winner]],1,0)</f>
        <v>1</v>
      </c>
      <c r="U257" t="s">
        <v>801</v>
      </c>
    </row>
    <row r="258" spans="1:21" x14ac:dyDescent="0.3">
      <c r="A258" t="s">
        <v>1057</v>
      </c>
      <c r="B258" t="s">
        <v>46</v>
      </c>
      <c r="C258">
        <f>YEAR(IPL_Matches_2008_2020___New[[#This Row],[Date ]])</f>
        <v>2012</v>
      </c>
      <c r="D258" s="1">
        <v>41010</v>
      </c>
      <c r="E258" t="s">
        <v>267</v>
      </c>
      <c r="F258" t="s">
        <v>49</v>
      </c>
      <c r="G258" t="s">
        <v>50</v>
      </c>
      <c r="H258" t="s">
        <v>42</v>
      </c>
      <c r="I258" t="s">
        <v>42</v>
      </c>
      <c r="J258" t="s">
        <v>23</v>
      </c>
      <c r="K258" t="s">
        <v>50</v>
      </c>
      <c r="L258" t="s">
        <v>24</v>
      </c>
      <c r="M258">
        <v>27</v>
      </c>
      <c r="N258" t="s">
        <v>25</v>
      </c>
      <c r="O258" t="s">
        <v>796</v>
      </c>
      <c r="P258" t="s">
        <v>44</v>
      </c>
      <c r="Q258" t="s">
        <v>359</v>
      </c>
      <c r="R258">
        <v>2012</v>
      </c>
      <c r="S258" t="s">
        <v>797</v>
      </c>
      <c r="T258">
        <f>IF(IPL_Matches_2008_2020___New[[#This Row],[Toss Winner]]=IPL_Matches_2008_2020___New[[#This Row],[Winner]],1,0)</f>
        <v>0</v>
      </c>
      <c r="U258" t="s">
        <v>798</v>
      </c>
    </row>
    <row r="259" spans="1:21" x14ac:dyDescent="0.3">
      <c r="A259" t="s">
        <v>1058</v>
      </c>
      <c r="B259" t="s">
        <v>70</v>
      </c>
      <c r="C259">
        <f>YEAR(IPL_Matches_2008_2020___New[[#This Row],[Date ]])</f>
        <v>2012</v>
      </c>
      <c r="D259" s="1">
        <v>41011</v>
      </c>
      <c r="E259" t="s">
        <v>360</v>
      </c>
      <c r="F259" t="s">
        <v>73</v>
      </c>
      <c r="G259" t="s">
        <v>34</v>
      </c>
      <c r="H259" t="s">
        <v>21</v>
      </c>
      <c r="I259" t="s">
        <v>21</v>
      </c>
      <c r="J259" t="s">
        <v>35</v>
      </c>
      <c r="K259" t="s">
        <v>34</v>
      </c>
      <c r="L259" t="s">
        <v>43</v>
      </c>
      <c r="M259">
        <v>5</v>
      </c>
      <c r="N259" t="s">
        <v>25</v>
      </c>
      <c r="O259" t="s">
        <v>796</v>
      </c>
      <c r="P259" t="s">
        <v>165</v>
      </c>
      <c r="Q259" t="s">
        <v>305</v>
      </c>
      <c r="R259">
        <v>2012</v>
      </c>
      <c r="S259" t="s">
        <v>803</v>
      </c>
      <c r="T259">
        <f>IF(IPL_Matches_2008_2020___New[[#This Row],[Toss Winner]]=IPL_Matches_2008_2020___New[[#This Row],[Winner]],1,0)</f>
        <v>0</v>
      </c>
      <c r="U259" t="s">
        <v>798</v>
      </c>
    </row>
    <row r="260" spans="1:21" x14ac:dyDescent="0.3">
      <c r="A260" t="s">
        <v>1059</v>
      </c>
      <c r="B260" t="s">
        <v>29</v>
      </c>
      <c r="C260">
        <f>YEAR(IPL_Matches_2008_2020___New[[#This Row],[Date ]])</f>
        <v>2012</v>
      </c>
      <c r="D260" s="1">
        <v>41011</v>
      </c>
      <c r="E260" t="s">
        <v>361</v>
      </c>
      <c r="F260" t="s">
        <v>32</v>
      </c>
      <c r="G260" t="s">
        <v>800</v>
      </c>
      <c r="H260" t="s">
        <v>292</v>
      </c>
      <c r="I260" t="s">
        <v>800</v>
      </c>
      <c r="J260" t="s">
        <v>23</v>
      </c>
      <c r="K260" t="s">
        <v>800</v>
      </c>
      <c r="L260" t="s">
        <v>43</v>
      </c>
      <c r="M260">
        <v>7</v>
      </c>
      <c r="N260" t="s">
        <v>25</v>
      </c>
      <c r="O260" t="s">
        <v>796</v>
      </c>
      <c r="P260" t="s">
        <v>354</v>
      </c>
      <c r="Q260" t="s">
        <v>181</v>
      </c>
      <c r="R260">
        <v>2012</v>
      </c>
      <c r="S260" t="s">
        <v>803</v>
      </c>
      <c r="T260">
        <f>IF(IPL_Matches_2008_2020___New[[#This Row],[Toss Winner]]=IPL_Matches_2008_2020___New[[#This Row],[Winner]],1,0)</f>
        <v>1</v>
      </c>
      <c r="U260" t="s">
        <v>801</v>
      </c>
    </row>
    <row r="261" spans="1:21" x14ac:dyDescent="0.3">
      <c r="A261" t="s">
        <v>1060</v>
      </c>
      <c r="B261" t="s">
        <v>53</v>
      </c>
      <c r="C261">
        <f>YEAR(IPL_Matches_2008_2020___New[[#This Row],[Date ]])</f>
        <v>2012</v>
      </c>
      <c r="D261" s="1">
        <v>41012</v>
      </c>
      <c r="E261" t="s">
        <v>363</v>
      </c>
      <c r="F261" t="s">
        <v>55</v>
      </c>
      <c r="G261" t="s">
        <v>22</v>
      </c>
      <c r="H261" t="s">
        <v>42</v>
      </c>
      <c r="I261" t="s">
        <v>42</v>
      </c>
      <c r="J261" t="s">
        <v>35</v>
      </c>
      <c r="K261" t="s">
        <v>22</v>
      </c>
      <c r="L261" t="s">
        <v>43</v>
      </c>
      <c r="M261">
        <v>5</v>
      </c>
      <c r="N261" t="s">
        <v>25</v>
      </c>
      <c r="O261" t="s">
        <v>796</v>
      </c>
      <c r="P261" t="s">
        <v>27</v>
      </c>
      <c r="Q261" t="s">
        <v>168</v>
      </c>
      <c r="R261">
        <v>2012</v>
      </c>
      <c r="S261" t="s">
        <v>803</v>
      </c>
      <c r="T261">
        <f>IF(IPL_Matches_2008_2020___New[[#This Row],[Toss Winner]]=IPL_Matches_2008_2020___New[[#This Row],[Winner]],1,0)</f>
        <v>0</v>
      </c>
      <c r="U261" t="s">
        <v>798</v>
      </c>
    </row>
    <row r="262" spans="1:21" x14ac:dyDescent="0.3">
      <c r="A262" t="s">
        <v>1061</v>
      </c>
      <c r="B262" t="s">
        <v>38</v>
      </c>
      <c r="C262">
        <f>YEAR(IPL_Matches_2008_2020___New[[#This Row],[Date ]])</f>
        <v>2012</v>
      </c>
      <c r="D262" s="1">
        <v>41018</v>
      </c>
      <c r="E262" t="s">
        <v>256</v>
      </c>
      <c r="F262" t="s">
        <v>40</v>
      </c>
      <c r="G262" t="s">
        <v>692</v>
      </c>
      <c r="H262" t="s">
        <v>56</v>
      </c>
      <c r="I262" t="s">
        <v>56</v>
      </c>
      <c r="J262" t="s">
        <v>35</v>
      </c>
      <c r="K262" t="s">
        <v>692</v>
      </c>
      <c r="L262" t="s">
        <v>43</v>
      </c>
      <c r="M262">
        <v>5</v>
      </c>
      <c r="N262" t="s">
        <v>25</v>
      </c>
      <c r="O262" t="s">
        <v>796</v>
      </c>
      <c r="P262" t="s">
        <v>57</v>
      </c>
      <c r="Q262" t="s">
        <v>181</v>
      </c>
      <c r="R262">
        <v>2012</v>
      </c>
      <c r="S262" t="s">
        <v>803</v>
      </c>
      <c r="T262">
        <f>IF(IPL_Matches_2008_2020___New[[#This Row],[Toss Winner]]=IPL_Matches_2008_2020___New[[#This Row],[Winner]],1,0)</f>
        <v>0</v>
      </c>
      <c r="U262" t="s">
        <v>798</v>
      </c>
    </row>
    <row r="263" spans="1:21" x14ac:dyDescent="0.3">
      <c r="A263" t="s">
        <v>1062</v>
      </c>
      <c r="B263" t="s">
        <v>355</v>
      </c>
      <c r="C263">
        <f>YEAR(IPL_Matches_2008_2020___New[[#This Row],[Date ]])</f>
        <v>2012</v>
      </c>
      <c r="D263" s="1">
        <v>41013</v>
      </c>
      <c r="E263" t="s">
        <v>366</v>
      </c>
      <c r="F263" t="s">
        <v>357</v>
      </c>
      <c r="G263" t="s">
        <v>292</v>
      </c>
      <c r="H263" t="s">
        <v>34</v>
      </c>
      <c r="I263" t="s">
        <v>34</v>
      </c>
      <c r="J263" t="s">
        <v>35</v>
      </c>
      <c r="K263" t="s">
        <v>292</v>
      </c>
      <c r="L263" t="s">
        <v>43</v>
      </c>
      <c r="M263">
        <v>7</v>
      </c>
      <c r="N263" t="s">
        <v>25</v>
      </c>
      <c r="O263" t="s">
        <v>796</v>
      </c>
      <c r="P263" t="s">
        <v>44</v>
      </c>
      <c r="Q263" t="s">
        <v>359</v>
      </c>
      <c r="R263">
        <v>2012</v>
      </c>
      <c r="S263" t="s">
        <v>803</v>
      </c>
      <c r="T263">
        <f>IF(IPL_Matches_2008_2020___New[[#This Row],[Toss Winner]]=IPL_Matches_2008_2020___New[[#This Row],[Winner]],1,0)</f>
        <v>0</v>
      </c>
      <c r="U263" t="s">
        <v>798</v>
      </c>
    </row>
    <row r="264" spans="1:21" x14ac:dyDescent="0.3">
      <c r="A264" t="s">
        <v>1063</v>
      </c>
      <c r="B264" t="s">
        <v>53</v>
      </c>
      <c r="C264">
        <f>YEAR(IPL_Matches_2008_2020___New[[#This Row],[Date ]])</f>
        <v>2012</v>
      </c>
      <c r="D264" s="1">
        <v>41014</v>
      </c>
      <c r="E264" t="s">
        <v>368</v>
      </c>
      <c r="F264" t="s">
        <v>55</v>
      </c>
      <c r="G264" t="s">
        <v>22</v>
      </c>
      <c r="H264" t="s">
        <v>800</v>
      </c>
      <c r="I264" t="s">
        <v>22</v>
      </c>
      <c r="J264" t="s">
        <v>23</v>
      </c>
      <c r="K264" t="s">
        <v>800</v>
      </c>
      <c r="L264" t="s">
        <v>24</v>
      </c>
      <c r="M264">
        <v>2</v>
      </c>
      <c r="N264" t="s">
        <v>25</v>
      </c>
      <c r="O264" t="s">
        <v>796</v>
      </c>
      <c r="P264" t="s">
        <v>27</v>
      </c>
      <c r="Q264" t="s">
        <v>168</v>
      </c>
      <c r="R264">
        <v>2012</v>
      </c>
      <c r="S264" t="s">
        <v>797</v>
      </c>
      <c r="T264">
        <f>IF(IPL_Matches_2008_2020___New[[#This Row],[Toss Winner]]=IPL_Matches_2008_2020___New[[#This Row],[Winner]],1,0)</f>
        <v>0</v>
      </c>
      <c r="U264" t="s">
        <v>798</v>
      </c>
    </row>
    <row r="265" spans="1:21" x14ac:dyDescent="0.3">
      <c r="A265" t="s">
        <v>1064</v>
      </c>
      <c r="B265" t="s">
        <v>17</v>
      </c>
      <c r="C265">
        <f>YEAR(IPL_Matches_2008_2020___New[[#This Row],[Date ]])</f>
        <v>2012</v>
      </c>
      <c r="D265" s="1">
        <v>41014</v>
      </c>
      <c r="E265" t="s">
        <v>350</v>
      </c>
      <c r="F265" t="s">
        <v>795</v>
      </c>
      <c r="G265" t="s">
        <v>21</v>
      </c>
      <c r="H265" t="s">
        <v>42</v>
      </c>
      <c r="I265" t="s">
        <v>42</v>
      </c>
      <c r="J265" t="s">
        <v>35</v>
      </c>
      <c r="K265" t="s">
        <v>42</v>
      </c>
      <c r="L265" t="s">
        <v>24</v>
      </c>
      <c r="M265">
        <v>59</v>
      </c>
      <c r="N265" t="s">
        <v>25</v>
      </c>
      <c r="O265" t="s">
        <v>796</v>
      </c>
      <c r="P265" t="s">
        <v>347</v>
      </c>
      <c r="Q265" t="s">
        <v>305</v>
      </c>
      <c r="R265">
        <v>2012</v>
      </c>
      <c r="S265" t="s">
        <v>797</v>
      </c>
      <c r="T265">
        <f>IF(IPL_Matches_2008_2020___New[[#This Row],[Toss Winner]]=IPL_Matches_2008_2020___New[[#This Row],[Winner]],1,0)</f>
        <v>1</v>
      </c>
      <c r="U265" t="s">
        <v>801</v>
      </c>
    </row>
    <row r="266" spans="1:21" x14ac:dyDescent="0.3">
      <c r="A266" t="s">
        <v>1065</v>
      </c>
      <c r="B266" t="s">
        <v>46</v>
      </c>
      <c r="C266">
        <f>YEAR(IPL_Matches_2008_2020___New[[#This Row],[Date ]])</f>
        <v>2012</v>
      </c>
      <c r="D266" s="1">
        <v>41015</v>
      </c>
      <c r="E266" t="s">
        <v>370</v>
      </c>
      <c r="F266" t="s">
        <v>49</v>
      </c>
      <c r="G266" t="s">
        <v>50</v>
      </c>
      <c r="H266" t="s">
        <v>692</v>
      </c>
      <c r="I266" t="s">
        <v>692</v>
      </c>
      <c r="J266" t="s">
        <v>23</v>
      </c>
      <c r="K266" t="s">
        <v>692</v>
      </c>
      <c r="L266" t="s">
        <v>43</v>
      </c>
      <c r="M266">
        <v>7</v>
      </c>
      <c r="N266" t="s">
        <v>25</v>
      </c>
      <c r="O266" t="s">
        <v>796</v>
      </c>
      <c r="P266" t="s">
        <v>57</v>
      </c>
      <c r="Q266" t="s">
        <v>181</v>
      </c>
      <c r="R266">
        <v>2012</v>
      </c>
      <c r="S266" t="s">
        <v>803</v>
      </c>
      <c r="T266">
        <f>IF(IPL_Matches_2008_2020___New[[#This Row],[Toss Winner]]=IPL_Matches_2008_2020___New[[#This Row],[Winner]],1,0)</f>
        <v>1</v>
      </c>
      <c r="U266" t="s">
        <v>801</v>
      </c>
    </row>
    <row r="267" spans="1:21" x14ac:dyDescent="0.3">
      <c r="A267" t="s">
        <v>1066</v>
      </c>
      <c r="B267" t="s">
        <v>59</v>
      </c>
      <c r="C267">
        <f>YEAR(IPL_Matches_2008_2020___New[[#This Row],[Date ]])</f>
        <v>2012</v>
      </c>
      <c r="D267" s="1">
        <v>41016</v>
      </c>
      <c r="E267" t="s">
        <v>209</v>
      </c>
      <c r="F267" t="s">
        <v>62</v>
      </c>
      <c r="G267" t="s">
        <v>42</v>
      </c>
      <c r="H267" t="s">
        <v>56</v>
      </c>
      <c r="I267" t="s">
        <v>56</v>
      </c>
      <c r="J267" t="s">
        <v>35</v>
      </c>
      <c r="K267" t="s">
        <v>42</v>
      </c>
      <c r="L267" t="s">
        <v>43</v>
      </c>
      <c r="M267">
        <v>5</v>
      </c>
      <c r="N267" t="s">
        <v>25</v>
      </c>
      <c r="O267" t="s">
        <v>796</v>
      </c>
      <c r="P267" t="s">
        <v>44</v>
      </c>
      <c r="Q267" t="s">
        <v>359</v>
      </c>
      <c r="R267">
        <v>2012</v>
      </c>
      <c r="S267" t="s">
        <v>803</v>
      </c>
      <c r="T267">
        <f>IF(IPL_Matches_2008_2020___New[[#This Row],[Toss Winner]]=IPL_Matches_2008_2020___New[[#This Row],[Winner]],1,0)</f>
        <v>0</v>
      </c>
      <c r="U267" t="s">
        <v>798</v>
      </c>
    </row>
    <row r="268" spans="1:21" x14ac:dyDescent="0.3">
      <c r="A268" t="s">
        <v>1067</v>
      </c>
      <c r="B268" t="s">
        <v>17</v>
      </c>
      <c r="C268">
        <f>YEAR(IPL_Matches_2008_2020___New[[#This Row],[Date ]])</f>
        <v>2012</v>
      </c>
      <c r="D268" s="1">
        <v>41016</v>
      </c>
      <c r="E268" t="s">
        <v>152</v>
      </c>
      <c r="F268" t="s">
        <v>795</v>
      </c>
      <c r="G268" t="s">
        <v>21</v>
      </c>
      <c r="H268" t="s">
        <v>292</v>
      </c>
      <c r="I268" t="s">
        <v>292</v>
      </c>
      <c r="J268" t="s">
        <v>35</v>
      </c>
      <c r="K268" t="s">
        <v>21</v>
      </c>
      <c r="L268" t="s">
        <v>43</v>
      </c>
      <c r="M268">
        <v>6</v>
      </c>
      <c r="N268" t="s">
        <v>25</v>
      </c>
      <c r="O268" t="s">
        <v>796</v>
      </c>
      <c r="P268" t="s">
        <v>168</v>
      </c>
      <c r="Q268" t="s">
        <v>228</v>
      </c>
      <c r="R268">
        <v>2012</v>
      </c>
      <c r="S268" t="s">
        <v>803</v>
      </c>
      <c r="T268">
        <f>IF(IPL_Matches_2008_2020___New[[#This Row],[Toss Winner]]=IPL_Matches_2008_2020___New[[#This Row],[Winner]],1,0)</f>
        <v>0</v>
      </c>
      <c r="U268" t="s">
        <v>798</v>
      </c>
    </row>
    <row r="269" spans="1:21" x14ac:dyDescent="0.3">
      <c r="A269" t="s">
        <v>1068</v>
      </c>
      <c r="B269" t="s">
        <v>29</v>
      </c>
      <c r="C269">
        <f>YEAR(IPL_Matches_2008_2020___New[[#This Row],[Date ]])</f>
        <v>2012</v>
      </c>
      <c r="D269" s="1">
        <v>41017</v>
      </c>
      <c r="E269" t="s">
        <v>189</v>
      </c>
      <c r="F269" t="s">
        <v>32</v>
      </c>
      <c r="G269" t="s">
        <v>800</v>
      </c>
      <c r="H269" t="s">
        <v>22</v>
      </c>
      <c r="I269" t="s">
        <v>800</v>
      </c>
      <c r="J269" t="s">
        <v>35</v>
      </c>
      <c r="K269" t="s">
        <v>22</v>
      </c>
      <c r="L269" t="s">
        <v>43</v>
      </c>
      <c r="M269">
        <v>8</v>
      </c>
      <c r="N269" t="s">
        <v>25</v>
      </c>
      <c r="O269" t="s">
        <v>796</v>
      </c>
      <c r="P269" t="s">
        <v>347</v>
      </c>
      <c r="Q269" t="s">
        <v>305</v>
      </c>
      <c r="R269">
        <v>2012</v>
      </c>
      <c r="S269" t="s">
        <v>803</v>
      </c>
      <c r="T269">
        <f>IF(IPL_Matches_2008_2020___New[[#This Row],[Toss Winner]]=IPL_Matches_2008_2020___New[[#This Row],[Winner]],1,0)</f>
        <v>0</v>
      </c>
      <c r="U269" t="s">
        <v>798</v>
      </c>
    </row>
    <row r="270" spans="1:21" x14ac:dyDescent="0.3">
      <c r="A270" t="s">
        <v>1069</v>
      </c>
      <c r="B270" t="s">
        <v>64</v>
      </c>
      <c r="C270">
        <f>YEAR(IPL_Matches_2008_2020___New[[#This Row],[Date ]])</f>
        <v>2012</v>
      </c>
      <c r="D270" s="1">
        <v>41039</v>
      </c>
      <c r="E270" t="s">
        <v>251</v>
      </c>
      <c r="F270" t="s">
        <v>67</v>
      </c>
      <c r="G270" t="s">
        <v>56</v>
      </c>
      <c r="H270" t="s">
        <v>692</v>
      </c>
      <c r="I270" t="s">
        <v>56</v>
      </c>
      <c r="J270" t="s">
        <v>35</v>
      </c>
      <c r="K270" t="s">
        <v>692</v>
      </c>
      <c r="L270" t="s">
        <v>43</v>
      </c>
      <c r="M270">
        <v>9</v>
      </c>
      <c r="N270" t="s">
        <v>25</v>
      </c>
      <c r="O270" t="s">
        <v>796</v>
      </c>
      <c r="P270" t="s">
        <v>347</v>
      </c>
      <c r="Q270" t="s">
        <v>149</v>
      </c>
      <c r="R270">
        <v>2012</v>
      </c>
      <c r="S270" t="s">
        <v>803</v>
      </c>
      <c r="T270">
        <f>IF(IPL_Matches_2008_2020___New[[#This Row],[Toss Winner]]=IPL_Matches_2008_2020___New[[#This Row],[Winner]],1,0)</f>
        <v>0</v>
      </c>
      <c r="U270" t="s">
        <v>798</v>
      </c>
    </row>
    <row r="271" spans="1:21" x14ac:dyDescent="0.3">
      <c r="A271" t="s">
        <v>1070</v>
      </c>
      <c r="B271" t="s">
        <v>70</v>
      </c>
      <c r="C271">
        <f>YEAR(IPL_Matches_2008_2020___New[[#This Row],[Date ]])</f>
        <v>2012</v>
      </c>
      <c r="D271" s="1">
        <v>41018</v>
      </c>
      <c r="E271" t="s">
        <v>373</v>
      </c>
      <c r="F271" t="s">
        <v>73</v>
      </c>
      <c r="G271" t="s">
        <v>34</v>
      </c>
      <c r="H271" t="s">
        <v>292</v>
      </c>
      <c r="I271" t="s">
        <v>292</v>
      </c>
      <c r="J271" t="s">
        <v>23</v>
      </c>
      <c r="K271" t="s">
        <v>34</v>
      </c>
      <c r="L271" t="s">
        <v>24</v>
      </c>
      <c r="M271">
        <v>13</v>
      </c>
      <c r="N271" t="s">
        <v>25</v>
      </c>
      <c r="O271" t="s">
        <v>796</v>
      </c>
      <c r="P271" t="s">
        <v>27</v>
      </c>
      <c r="Q271" t="s">
        <v>228</v>
      </c>
      <c r="R271">
        <v>2012</v>
      </c>
      <c r="S271" t="s">
        <v>797</v>
      </c>
      <c r="T271">
        <f>IF(IPL_Matches_2008_2020___New[[#This Row],[Toss Winner]]=IPL_Matches_2008_2020___New[[#This Row],[Winner]],1,0)</f>
        <v>0</v>
      </c>
      <c r="U271" t="s">
        <v>798</v>
      </c>
    </row>
    <row r="272" spans="1:21" x14ac:dyDescent="0.3">
      <c r="A272" t="s">
        <v>1071</v>
      </c>
      <c r="B272" t="s">
        <v>29</v>
      </c>
      <c r="C272">
        <f>YEAR(IPL_Matches_2008_2020___New[[#This Row],[Date ]])</f>
        <v>2012</v>
      </c>
      <c r="D272" s="1">
        <v>41019</v>
      </c>
      <c r="E272" t="s">
        <v>152</v>
      </c>
      <c r="F272" t="s">
        <v>32</v>
      </c>
      <c r="G272" t="s">
        <v>800</v>
      </c>
      <c r="H272" t="s">
        <v>21</v>
      </c>
      <c r="I272" t="s">
        <v>21</v>
      </c>
      <c r="J272" t="s">
        <v>23</v>
      </c>
      <c r="K272" t="s">
        <v>21</v>
      </c>
      <c r="L272" t="s">
        <v>43</v>
      </c>
      <c r="M272">
        <v>5</v>
      </c>
      <c r="N272" t="s">
        <v>25</v>
      </c>
      <c r="O272" t="s">
        <v>796</v>
      </c>
      <c r="P272" t="s">
        <v>183</v>
      </c>
      <c r="Q272" t="s">
        <v>305</v>
      </c>
      <c r="R272">
        <v>2012</v>
      </c>
      <c r="S272" t="s">
        <v>803</v>
      </c>
      <c r="T272">
        <f>IF(IPL_Matches_2008_2020___New[[#This Row],[Toss Winner]]=IPL_Matches_2008_2020___New[[#This Row],[Winner]],1,0)</f>
        <v>1</v>
      </c>
      <c r="U272" t="s">
        <v>801</v>
      </c>
    </row>
    <row r="273" spans="1:21" x14ac:dyDescent="0.3">
      <c r="A273" t="s">
        <v>1072</v>
      </c>
      <c r="B273" t="s">
        <v>70</v>
      </c>
      <c r="C273">
        <f>YEAR(IPL_Matches_2008_2020___New[[#This Row],[Date ]])</f>
        <v>2012</v>
      </c>
      <c r="D273" s="1">
        <v>41020</v>
      </c>
      <c r="E273" t="s">
        <v>360</v>
      </c>
      <c r="F273" t="s">
        <v>73</v>
      </c>
      <c r="G273" t="s">
        <v>34</v>
      </c>
      <c r="H273" t="s">
        <v>42</v>
      </c>
      <c r="I273" t="s">
        <v>42</v>
      </c>
      <c r="J273" t="s">
        <v>35</v>
      </c>
      <c r="K273" t="s">
        <v>34</v>
      </c>
      <c r="L273" t="s">
        <v>43</v>
      </c>
      <c r="M273">
        <v>7</v>
      </c>
      <c r="N273" t="s">
        <v>25</v>
      </c>
      <c r="O273" t="s">
        <v>796</v>
      </c>
      <c r="P273" t="s">
        <v>44</v>
      </c>
      <c r="Q273" t="s">
        <v>359</v>
      </c>
      <c r="R273">
        <v>2012</v>
      </c>
      <c r="S273" t="s">
        <v>803</v>
      </c>
      <c r="T273">
        <f>IF(IPL_Matches_2008_2020___New[[#This Row],[Toss Winner]]=IPL_Matches_2008_2020___New[[#This Row],[Winner]],1,0)</f>
        <v>0</v>
      </c>
      <c r="U273" t="s">
        <v>798</v>
      </c>
    </row>
    <row r="274" spans="1:21" x14ac:dyDescent="0.3">
      <c r="A274" t="s">
        <v>1073</v>
      </c>
      <c r="B274" t="s">
        <v>38</v>
      </c>
      <c r="C274">
        <f>YEAR(IPL_Matches_2008_2020___New[[#This Row],[Date ]])</f>
        <v>2012</v>
      </c>
      <c r="D274" s="1">
        <v>41020</v>
      </c>
      <c r="E274" t="s">
        <v>102</v>
      </c>
      <c r="F274" t="s">
        <v>40</v>
      </c>
      <c r="G274" t="s">
        <v>692</v>
      </c>
      <c r="H274" t="s">
        <v>292</v>
      </c>
      <c r="I274" t="s">
        <v>692</v>
      </c>
      <c r="J274" t="s">
        <v>23</v>
      </c>
      <c r="K274" t="s">
        <v>292</v>
      </c>
      <c r="L274" t="s">
        <v>24</v>
      </c>
      <c r="M274">
        <v>20</v>
      </c>
      <c r="N274" t="s">
        <v>25</v>
      </c>
      <c r="O274" t="s">
        <v>796</v>
      </c>
      <c r="P274" t="s">
        <v>27</v>
      </c>
      <c r="Q274" t="s">
        <v>228</v>
      </c>
      <c r="R274">
        <v>2012</v>
      </c>
      <c r="S274" t="s">
        <v>797</v>
      </c>
      <c r="T274">
        <f>IF(IPL_Matches_2008_2020___New[[#This Row],[Toss Winner]]=IPL_Matches_2008_2020___New[[#This Row],[Winner]],1,0)</f>
        <v>0</v>
      </c>
      <c r="U274" t="s">
        <v>798</v>
      </c>
    </row>
    <row r="275" spans="1:21" x14ac:dyDescent="0.3">
      <c r="A275" t="s">
        <v>1074</v>
      </c>
      <c r="B275" t="s">
        <v>46</v>
      </c>
      <c r="C275">
        <f>YEAR(IPL_Matches_2008_2020___New[[#This Row],[Date ]])</f>
        <v>2012</v>
      </c>
      <c r="D275" s="1">
        <v>41021</v>
      </c>
      <c r="E275" t="s">
        <v>93</v>
      </c>
      <c r="F275" t="s">
        <v>49</v>
      </c>
      <c r="G275" t="s">
        <v>50</v>
      </c>
      <c r="H275" t="s">
        <v>800</v>
      </c>
      <c r="I275" t="s">
        <v>50</v>
      </c>
      <c r="J275" t="s">
        <v>35</v>
      </c>
      <c r="K275" t="s">
        <v>800</v>
      </c>
      <c r="L275" t="s">
        <v>43</v>
      </c>
      <c r="M275">
        <v>6</v>
      </c>
      <c r="N275" t="s">
        <v>25</v>
      </c>
      <c r="O275" t="s">
        <v>796</v>
      </c>
      <c r="P275" t="s">
        <v>183</v>
      </c>
      <c r="Q275" t="s">
        <v>305</v>
      </c>
      <c r="R275">
        <v>2012</v>
      </c>
      <c r="S275" t="s">
        <v>803</v>
      </c>
      <c r="T275">
        <f>IF(IPL_Matches_2008_2020___New[[#This Row],[Toss Winner]]=IPL_Matches_2008_2020___New[[#This Row],[Winner]],1,0)</f>
        <v>0</v>
      </c>
      <c r="U275" t="s">
        <v>798</v>
      </c>
    </row>
    <row r="276" spans="1:21" x14ac:dyDescent="0.3">
      <c r="A276" t="s">
        <v>1075</v>
      </c>
      <c r="B276" t="s">
        <v>232</v>
      </c>
      <c r="C276">
        <f>YEAR(IPL_Matches_2008_2020___New[[#This Row],[Date ]])</f>
        <v>2012</v>
      </c>
      <c r="D276" s="1">
        <v>41021</v>
      </c>
      <c r="E276" t="s">
        <v>204</v>
      </c>
      <c r="F276" t="s">
        <v>234</v>
      </c>
      <c r="G276" t="s">
        <v>56</v>
      </c>
      <c r="H276" t="s">
        <v>22</v>
      </c>
      <c r="I276" t="s">
        <v>22</v>
      </c>
      <c r="J276" t="s">
        <v>23</v>
      </c>
      <c r="K276" t="s">
        <v>22</v>
      </c>
      <c r="L276" t="s">
        <v>43</v>
      </c>
      <c r="M276">
        <v>5</v>
      </c>
      <c r="N276" t="s">
        <v>25</v>
      </c>
      <c r="O276" t="s">
        <v>796</v>
      </c>
      <c r="P276" t="s">
        <v>57</v>
      </c>
      <c r="Q276" t="s">
        <v>181</v>
      </c>
      <c r="R276">
        <v>2012</v>
      </c>
      <c r="S276" t="s">
        <v>803</v>
      </c>
      <c r="T276">
        <f>IF(IPL_Matches_2008_2020___New[[#This Row],[Toss Winner]]=IPL_Matches_2008_2020___New[[#This Row],[Winner]],1,0)</f>
        <v>1</v>
      </c>
      <c r="U276" t="s">
        <v>801</v>
      </c>
    </row>
    <row r="277" spans="1:21" x14ac:dyDescent="0.3">
      <c r="A277" t="s">
        <v>1076</v>
      </c>
      <c r="B277" t="s">
        <v>59</v>
      </c>
      <c r="C277">
        <f>YEAR(IPL_Matches_2008_2020___New[[#This Row],[Date ]])</f>
        <v>2012</v>
      </c>
      <c r="D277" s="1">
        <v>41022</v>
      </c>
      <c r="E277" t="s">
        <v>157</v>
      </c>
      <c r="F277" t="s">
        <v>62</v>
      </c>
      <c r="G277" t="s">
        <v>42</v>
      </c>
      <c r="H277" t="s">
        <v>21</v>
      </c>
      <c r="I277" t="s">
        <v>42</v>
      </c>
      <c r="J277" t="s">
        <v>23</v>
      </c>
      <c r="K277" t="s">
        <v>21</v>
      </c>
      <c r="L277" t="s">
        <v>24</v>
      </c>
      <c r="M277">
        <v>46</v>
      </c>
      <c r="N277" t="s">
        <v>25</v>
      </c>
      <c r="O277" t="s">
        <v>796</v>
      </c>
      <c r="P277" t="s">
        <v>27</v>
      </c>
      <c r="Q277" t="s">
        <v>168</v>
      </c>
      <c r="R277">
        <v>2012</v>
      </c>
      <c r="S277" t="s">
        <v>797</v>
      </c>
      <c r="T277">
        <f>IF(IPL_Matches_2008_2020___New[[#This Row],[Toss Winner]]=IPL_Matches_2008_2020___New[[#This Row],[Winner]],1,0)</f>
        <v>0</v>
      </c>
      <c r="U277" t="s">
        <v>798</v>
      </c>
    </row>
    <row r="278" spans="1:21" x14ac:dyDescent="0.3">
      <c r="A278" t="s">
        <v>1077</v>
      </c>
      <c r="B278" t="s">
        <v>355</v>
      </c>
      <c r="C278">
        <f>YEAR(IPL_Matches_2008_2020___New[[#This Row],[Date ]])</f>
        <v>2012</v>
      </c>
      <c r="D278" s="1">
        <v>41023</v>
      </c>
      <c r="E278" t="s">
        <v>66</v>
      </c>
      <c r="F278" t="s">
        <v>357</v>
      </c>
      <c r="G278" t="s">
        <v>292</v>
      </c>
      <c r="H278" t="s">
        <v>692</v>
      </c>
      <c r="I278" t="s">
        <v>292</v>
      </c>
      <c r="J278" t="s">
        <v>35</v>
      </c>
      <c r="K278" t="s">
        <v>692</v>
      </c>
      <c r="L278" t="s">
        <v>43</v>
      </c>
      <c r="M278">
        <v>8</v>
      </c>
      <c r="N278" t="s">
        <v>25</v>
      </c>
      <c r="O278" t="s">
        <v>796</v>
      </c>
      <c r="P278" t="s">
        <v>183</v>
      </c>
      <c r="Q278" t="s">
        <v>305</v>
      </c>
      <c r="R278">
        <v>2012</v>
      </c>
      <c r="S278" t="s">
        <v>803</v>
      </c>
      <c r="T278">
        <f>IF(IPL_Matches_2008_2020___New[[#This Row],[Toss Winner]]=IPL_Matches_2008_2020___New[[#This Row],[Winner]],1,0)</f>
        <v>0</v>
      </c>
      <c r="U278" t="s">
        <v>798</v>
      </c>
    </row>
    <row r="279" spans="1:21" x14ac:dyDescent="0.3">
      <c r="A279" t="s">
        <v>1078</v>
      </c>
      <c r="B279" t="s">
        <v>29</v>
      </c>
      <c r="C279">
        <f>YEAR(IPL_Matches_2008_2020___New[[#This Row],[Date ]])</f>
        <v>2012</v>
      </c>
      <c r="D279" s="1">
        <v>41024</v>
      </c>
      <c r="E279" t="s">
        <v>257</v>
      </c>
      <c r="F279" t="s">
        <v>32</v>
      </c>
      <c r="G279" t="s">
        <v>800</v>
      </c>
      <c r="H279" t="s">
        <v>50</v>
      </c>
      <c r="I279" t="s">
        <v>800</v>
      </c>
      <c r="J279" t="s">
        <v>35</v>
      </c>
      <c r="K279" t="s">
        <v>50</v>
      </c>
      <c r="L279" t="s">
        <v>43</v>
      </c>
      <c r="M279">
        <v>4</v>
      </c>
      <c r="N279" t="s">
        <v>25</v>
      </c>
      <c r="O279" t="s">
        <v>796</v>
      </c>
      <c r="P279" t="s">
        <v>44</v>
      </c>
      <c r="Q279" t="s">
        <v>359</v>
      </c>
      <c r="R279">
        <v>2012</v>
      </c>
      <c r="S279" t="s">
        <v>803</v>
      </c>
      <c r="T279">
        <f>IF(IPL_Matches_2008_2020___New[[#This Row],[Toss Winner]]=IPL_Matches_2008_2020___New[[#This Row],[Winner]],1,0)</f>
        <v>0</v>
      </c>
      <c r="U279" t="s">
        <v>798</v>
      </c>
    </row>
    <row r="280" spans="1:21" x14ac:dyDescent="0.3">
      <c r="A280" t="s">
        <v>1079</v>
      </c>
      <c r="B280" t="s">
        <v>355</v>
      </c>
      <c r="C280">
        <f>YEAR(IPL_Matches_2008_2020___New[[#This Row],[Date ]])</f>
        <v>2012</v>
      </c>
      <c r="D280" s="1">
        <v>41025</v>
      </c>
      <c r="E280" t="s">
        <v>381</v>
      </c>
      <c r="F280" t="s">
        <v>357</v>
      </c>
      <c r="G280" t="s">
        <v>292</v>
      </c>
      <c r="H280" t="s">
        <v>56</v>
      </c>
      <c r="I280" t="s">
        <v>56</v>
      </c>
      <c r="J280" t="s">
        <v>35</v>
      </c>
      <c r="K280" t="s">
        <v>56</v>
      </c>
      <c r="L280" t="s">
        <v>24</v>
      </c>
      <c r="M280">
        <v>18</v>
      </c>
      <c r="N280" t="s">
        <v>25</v>
      </c>
      <c r="O280" t="s">
        <v>796</v>
      </c>
      <c r="P280" t="s">
        <v>183</v>
      </c>
      <c r="Q280" t="s">
        <v>305</v>
      </c>
      <c r="R280">
        <v>2012</v>
      </c>
      <c r="S280" t="s">
        <v>797</v>
      </c>
      <c r="T280">
        <f>IF(IPL_Matches_2008_2020___New[[#This Row],[Toss Winner]]=IPL_Matches_2008_2020___New[[#This Row],[Winner]],1,0)</f>
        <v>1</v>
      </c>
      <c r="U280" t="s">
        <v>801</v>
      </c>
    </row>
    <row r="281" spans="1:21" x14ac:dyDescent="0.3">
      <c r="A281" t="s">
        <v>1080</v>
      </c>
      <c r="B281" t="s">
        <v>38</v>
      </c>
      <c r="C281">
        <f>YEAR(IPL_Matches_2008_2020___New[[#This Row],[Date ]])</f>
        <v>2012</v>
      </c>
      <c r="D281" s="1">
        <v>41026</v>
      </c>
      <c r="E281" t="s">
        <v>66</v>
      </c>
      <c r="F281" t="s">
        <v>40</v>
      </c>
      <c r="G281" t="s">
        <v>692</v>
      </c>
      <c r="H281" t="s">
        <v>50</v>
      </c>
      <c r="I281" t="s">
        <v>50</v>
      </c>
      <c r="J281" t="s">
        <v>23</v>
      </c>
      <c r="K281" t="s">
        <v>692</v>
      </c>
      <c r="L281" t="s">
        <v>24</v>
      </c>
      <c r="M281">
        <v>37</v>
      </c>
      <c r="N281" t="s">
        <v>25</v>
      </c>
      <c r="O281" t="s">
        <v>796</v>
      </c>
      <c r="P281" t="s">
        <v>44</v>
      </c>
      <c r="Q281" t="s">
        <v>359</v>
      </c>
      <c r="R281">
        <v>2012</v>
      </c>
      <c r="S281" t="s">
        <v>797</v>
      </c>
      <c r="T281">
        <f>IF(IPL_Matches_2008_2020___New[[#This Row],[Toss Winner]]=IPL_Matches_2008_2020___New[[#This Row],[Winner]],1,0)</f>
        <v>0</v>
      </c>
      <c r="U281" t="s">
        <v>798</v>
      </c>
    </row>
    <row r="282" spans="1:21" x14ac:dyDescent="0.3">
      <c r="A282" t="s">
        <v>1081</v>
      </c>
      <c r="B282" t="s">
        <v>70</v>
      </c>
      <c r="C282">
        <f>YEAR(IPL_Matches_2008_2020___New[[#This Row],[Date ]])</f>
        <v>2012</v>
      </c>
      <c r="D282" s="1">
        <v>41027</v>
      </c>
      <c r="E282" t="s">
        <v>384</v>
      </c>
      <c r="F282" t="s">
        <v>73</v>
      </c>
      <c r="G282" t="s">
        <v>34</v>
      </c>
      <c r="H282" t="s">
        <v>800</v>
      </c>
      <c r="I282" t="s">
        <v>800</v>
      </c>
      <c r="J282" t="s">
        <v>35</v>
      </c>
      <c r="K282" t="s">
        <v>800</v>
      </c>
      <c r="L282" t="s">
        <v>24</v>
      </c>
      <c r="M282">
        <v>7</v>
      </c>
      <c r="N282" t="s">
        <v>25</v>
      </c>
      <c r="O282" t="s">
        <v>796</v>
      </c>
      <c r="P282" t="s">
        <v>57</v>
      </c>
      <c r="Q282" t="s">
        <v>181</v>
      </c>
      <c r="R282">
        <v>2012</v>
      </c>
      <c r="S282" t="s">
        <v>797</v>
      </c>
      <c r="T282">
        <f>IF(IPL_Matches_2008_2020___New[[#This Row],[Toss Winner]]=IPL_Matches_2008_2020___New[[#This Row],[Winner]],1,0)</f>
        <v>1</v>
      </c>
      <c r="U282" t="s">
        <v>801</v>
      </c>
    </row>
    <row r="283" spans="1:21" x14ac:dyDescent="0.3">
      <c r="A283" t="s">
        <v>1082</v>
      </c>
      <c r="B283" t="s">
        <v>53</v>
      </c>
      <c r="C283">
        <f>YEAR(IPL_Matches_2008_2020___New[[#This Row],[Date ]])</f>
        <v>2012</v>
      </c>
      <c r="D283" s="1">
        <v>41027</v>
      </c>
      <c r="E283" t="s">
        <v>189</v>
      </c>
      <c r="F283" t="s">
        <v>55</v>
      </c>
      <c r="G283" t="s">
        <v>22</v>
      </c>
      <c r="H283" t="s">
        <v>21</v>
      </c>
      <c r="I283" t="s">
        <v>22</v>
      </c>
      <c r="J283" t="s">
        <v>35</v>
      </c>
      <c r="K283" t="s">
        <v>22</v>
      </c>
      <c r="L283" t="s">
        <v>24</v>
      </c>
      <c r="M283">
        <v>47</v>
      </c>
      <c r="N283" t="s">
        <v>25</v>
      </c>
      <c r="O283" t="s">
        <v>796</v>
      </c>
      <c r="P283" t="s">
        <v>27</v>
      </c>
      <c r="Q283" t="s">
        <v>88</v>
      </c>
      <c r="R283">
        <v>2012</v>
      </c>
      <c r="S283" t="s">
        <v>797</v>
      </c>
      <c r="T283">
        <f>IF(IPL_Matches_2008_2020___New[[#This Row],[Toss Winner]]=IPL_Matches_2008_2020___New[[#This Row],[Winner]],1,0)</f>
        <v>1</v>
      </c>
      <c r="U283" t="s">
        <v>801</v>
      </c>
    </row>
    <row r="284" spans="1:21" x14ac:dyDescent="0.3">
      <c r="A284" t="s">
        <v>1083</v>
      </c>
      <c r="B284" t="s">
        <v>38</v>
      </c>
      <c r="C284">
        <f>YEAR(IPL_Matches_2008_2020___New[[#This Row],[Date ]])</f>
        <v>2012</v>
      </c>
      <c r="D284" s="1">
        <v>41028</v>
      </c>
      <c r="E284" t="s">
        <v>66</v>
      </c>
      <c r="F284" t="s">
        <v>40</v>
      </c>
      <c r="G284" t="s">
        <v>692</v>
      </c>
      <c r="H284" t="s">
        <v>42</v>
      </c>
      <c r="I284" t="s">
        <v>692</v>
      </c>
      <c r="J284" t="s">
        <v>35</v>
      </c>
      <c r="K284" t="s">
        <v>692</v>
      </c>
      <c r="L284" t="s">
        <v>24</v>
      </c>
      <c r="M284">
        <v>1</v>
      </c>
      <c r="N284" t="s">
        <v>25</v>
      </c>
      <c r="O284" t="s">
        <v>796</v>
      </c>
      <c r="P284" t="s">
        <v>183</v>
      </c>
      <c r="Q284" t="s">
        <v>305</v>
      </c>
      <c r="R284">
        <v>2012</v>
      </c>
      <c r="S284" t="s">
        <v>797</v>
      </c>
      <c r="T284">
        <f>IF(IPL_Matches_2008_2020___New[[#This Row],[Toss Winner]]=IPL_Matches_2008_2020___New[[#This Row],[Winner]],1,0)</f>
        <v>1</v>
      </c>
      <c r="U284" t="s">
        <v>801</v>
      </c>
    </row>
    <row r="285" spans="1:21" x14ac:dyDescent="0.3">
      <c r="A285" t="s">
        <v>1084</v>
      </c>
      <c r="B285" t="s">
        <v>46</v>
      </c>
      <c r="C285">
        <f>YEAR(IPL_Matches_2008_2020___New[[#This Row],[Date ]])</f>
        <v>2012</v>
      </c>
      <c r="D285" s="1">
        <v>41028</v>
      </c>
      <c r="E285" t="s">
        <v>298</v>
      </c>
      <c r="F285" t="s">
        <v>49</v>
      </c>
      <c r="G285" t="s">
        <v>50</v>
      </c>
      <c r="H285" t="s">
        <v>56</v>
      </c>
      <c r="I285" t="s">
        <v>50</v>
      </c>
      <c r="J285" t="s">
        <v>23</v>
      </c>
      <c r="K285" t="s">
        <v>50</v>
      </c>
      <c r="L285" t="s">
        <v>43</v>
      </c>
      <c r="M285">
        <v>5</v>
      </c>
      <c r="N285" t="s">
        <v>25</v>
      </c>
      <c r="O285" t="s">
        <v>796</v>
      </c>
      <c r="P285" t="s">
        <v>349</v>
      </c>
      <c r="Q285" t="s">
        <v>359</v>
      </c>
      <c r="R285">
        <v>2012</v>
      </c>
      <c r="S285" t="s">
        <v>803</v>
      </c>
      <c r="T285">
        <f>IF(IPL_Matches_2008_2020___New[[#This Row],[Toss Winner]]=IPL_Matches_2008_2020___New[[#This Row],[Winner]],1,0)</f>
        <v>1</v>
      </c>
      <c r="U285" t="s">
        <v>801</v>
      </c>
    </row>
    <row r="286" spans="1:21" x14ac:dyDescent="0.3">
      <c r="A286" t="s">
        <v>1085</v>
      </c>
      <c r="B286" t="s">
        <v>70</v>
      </c>
      <c r="C286">
        <f>YEAR(IPL_Matches_2008_2020___New[[#This Row],[Date ]])</f>
        <v>2012</v>
      </c>
      <c r="D286" s="1">
        <v>41029</v>
      </c>
      <c r="E286" t="s">
        <v>189</v>
      </c>
      <c r="F286" t="s">
        <v>73</v>
      </c>
      <c r="G286" t="s">
        <v>34</v>
      </c>
      <c r="H286" t="s">
        <v>22</v>
      </c>
      <c r="I286" t="s">
        <v>34</v>
      </c>
      <c r="J286" t="s">
        <v>35</v>
      </c>
      <c r="K286" t="s">
        <v>22</v>
      </c>
      <c r="L286" t="s">
        <v>43</v>
      </c>
      <c r="M286">
        <v>5</v>
      </c>
      <c r="N286" t="s">
        <v>25</v>
      </c>
      <c r="O286" t="s">
        <v>796</v>
      </c>
      <c r="P286" t="s">
        <v>57</v>
      </c>
      <c r="Q286" t="s">
        <v>387</v>
      </c>
      <c r="R286">
        <v>2012</v>
      </c>
      <c r="S286" t="s">
        <v>803</v>
      </c>
      <c r="T286">
        <f>IF(IPL_Matches_2008_2020___New[[#This Row],[Toss Winner]]=IPL_Matches_2008_2020___New[[#This Row],[Winner]],1,0)</f>
        <v>0</v>
      </c>
      <c r="U286" t="s">
        <v>798</v>
      </c>
    </row>
    <row r="287" spans="1:21" x14ac:dyDescent="0.3">
      <c r="A287" t="s">
        <v>1086</v>
      </c>
      <c r="B287" t="s">
        <v>232</v>
      </c>
      <c r="C287">
        <f>YEAR(IPL_Matches_2008_2020___New[[#This Row],[Date ]])</f>
        <v>2012</v>
      </c>
      <c r="D287" s="1">
        <v>41030</v>
      </c>
      <c r="E287" t="s">
        <v>77</v>
      </c>
      <c r="F287" t="s">
        <v>234</v>
      </c>
      <c r="G287" t="s">
        <v>56</v>
      </c>
      <c r="H287" t="s">
        <v>292</v>
      </c>
      <c r="I287" t="s">
        <v>56</v>
      </c>
      <c r="J287" t="s">
        <v>35</v>
      </c>
      <c r="K287" t="s">
        <v>56</v>
      </c>
      <c r="L287" t="s">
        <v>24</v>
      </c>
      <c r="M287">
        <v>13</v>
      </c>
      <c r="N287" t="s">
        <v>25</v>
      </c>
      <c r="O287" t="s">
        <v>796</v>
      </c>
      <c r="P287" t="s">
        <v>44</v>
      </c>
      <c r="Q287" t="s">
        <v>349</v>
      </c>
      <c r="R287">
        <v>2012</v>
      </c>
      <c r="S287" t="s">
        <v>797</v>
      </c>
      <c r="T287">
        <f>IF(IPL_Matches_2008_2020___New[[#This Row],[Toss Winner]]=IPL_Matches_2008_2020___New[[#This Row],[Winner]],1,0)</f>
        <v>1</v>
      </c>
      <c r="U287" t="s">
        <v>801</v>
      </c>
    </row>
    <row r="288" spans="1:21" x14ac:dyDescent="0.3">
      <c r="A288" t="s">
        <v>1087</v>
      </c>
      <c r="B288" t="s">
        <v>59</v>
      </c>
      <c r="C288">
        <f>YEAR(IPL_Matches_2008_2020___New[[#This Row],[Date ]])</f>
        <v>2012</v>
      </c>
      <c r="D288" s="1">
        <v>41030</v>
      </c>
      <c r="E288" t="s">
        <v>388</v>
      </c>
      <c r="F288" t="s">
        <v>62</v>
      </c>
      <c r="G288" t="s">
        <v>42</v>
      </c>
      <c r="H288" t="s">
        <v>692</v>
      </c>
      <c r="I288" t="s">
        <v>42</v>
      </c>
      <c r="J288" t="s">
        <v>35</v>
      </c>
      <c r="K288" t="s">
        <v>692</v>
      </c>
      <c r="L288" t="s">
        <v>43</v>
      </c>
      <c r="M288">
        <v>6</v>
      </c>
      <c r="N288" t="s">
        <v>25</v>
      </c>
      <c r="O288" t="s">
        <v>796</v>
      </c>
      <c r="P288" t="s">
        <v>347</v>
      </c>
      <c r="Q288" t="s">
        <v>149</v>
      </c>
      <c r="R288">
        <v>2012</v>
      </c>
      <c r="S288" t="s">
        <v>803</v>
      </c>
      <c r="T288">
        <f>IF(IPL_Matches_2008_2020___New[[#This Row],[Toss Winner]]=IPL_Matches_2008_2020___New[[#This Row],[Winner]],1,0)</f>
        <v>0</v>
      </c>
      <c r="U288" t="s">
        <v>798</v>
      </c>
    </row>
    <row r="289" spans="1:21" x14ac:dyDescent="0.3">
      <c r="A289" t="s">
        <v>1088</v>
      </c>
      <c r="B289" t="s">
        <v>17</v>
      </c>
      <c r="C289">
        <f>YEAR(IPL_Matches_2008_2020___New[[#This Row],[Date ]])</f>
        <v>2012</v>
      </c>
      <c r="D289" s="1">
        <v>41031</v>
      </c>
      <c r="E289" t="s">
        <v>389</v>
      </c>
      <c r="F289" t="s">
        <v>795</v>
      </c>
      <c r="G289" t="s">
        <v>21</v>
      </c>
      <c r="H289" t="s">
        <v>800</v>
      </c>
      <c r="I289" t="s">
        <v>800</v>
      </c>
      <c r="J289" t="s">
        <v>23</v>
      </c>
      <c r="K289" t="s">
        <v>800</v>
      </c>
      <c r="L289" t="s">
        <v>43</v>
      </c>
      <c r="M289">
        <v>4</v>
      </c>
      <c r="N289" t="s">
        <v>25</v>
      </c>
      <c r="O289" t="s">
        <v>796</v>
      </c>
      <c r="P289" t="s">
        <v>57</v>
      </c>
      <c r="Q289" t="s">
        <v>387</v>
      </c>
      <c r="R289">
        <v>2012</v>
      </c>
      <c r="S289" t="s">
        <v>803</v>
      </c>
      <c r="T289">
        <f>IF(IPL_Matches_2008_2020___New[[#This Row],[Toss Winner]]=IPL_Matches_2008_2020___New[[#This Row],[Winner]],1,0)</f>
        <v>1</v>
      </c>
      <c r="U289" t="s">
        <v>801</v>
      </c>
    </row>
    <row r="290" spans="1:21" x14ac:dyDescent="0.3">
      <c r="A290" t="s">
        <v>1089</v>
      </c>
      <c r="B290" t="s">
        <v>355</v>
      </c>
      <c r="C290">
        <f>YEAR(IPL_Matches_2008_2020___New[[#This Row],[Date ]])</f>
        <v>2012</v>
      </c>
      <c r="D290" s="1">
        <v>41032</v>
      </c>
      <c r="E290" t="s">
        <v>253</v>
      </c>
      <c r="F290" t="s">
        <v>357</v>
      </c>
      <c r="G290" t="s">
        <v>292</v>
      </c>
      <c r="H290" t="s">
        <v>50</v>
      </c>
      <c r="I290" t="s">
        <v>50</v>
      </c>
      <c r="J290" t="s">
        <v>35</v>
      </c>
      <c r="K290" t="s">
        <v>50</v>
      </c>
      <c r="L290" t="s">
        <v>24</v>
      </c>
      <c r="M290">
        <v>1</v>
      </c>
      <c r="N290" t="s">
        <v>25</v>
      </c>
      <c r="O290" t="s">
        <v>796</v>
      </c>
      <c r="P290" t="s">
        <v>27</v>
      </c>
      <c r="Q290" t="s">
        <v>168</v>
      </c>
      <c r="R290">
        <v>2012</v>
      </c>
      <c r="S290" t="s">
        <v>797</v>
      </c>
      <c r="T290">
        <f>IF(IPL_Matches_2008_2020___New[[#This Row],[Toss Winner]]=IPL_Matches_2008_2020___New[[#This Row],[Winner]],1,0)</f>
        <v>1</v>
      </c>
      <c r="U290" t="s">
        <v>801</v>
      </c>
    </row>
    <row r="291" spans="1:21" x14ac:dyDescent="0.3">
      <c r="A291" t="s">
        <v>1090</v>
      </c>
      <c r="B291" t="s">
        <v>70</v>
      </c>
      <c r="C291">
        <f>YEAR(IPL_Matches_2008_2020___New[[#This Row],[Date ]])</f>
        <v>2012</v>
      </c>
      <c r="D291" s="1">
        <v>41033</v>
      </c>
      <c r="E291" t="s">
        <v>133</v>
      </c>
      <c r="F291" t="s">
        <v>73</v>
      </c>
      <c r="G291" t="s">
        <v>34</v>
      </c>
      <c r="H291" t="s">
        <v>56</v>
      </c>
      <c r="I291" t="s">
        <v>34</v>
      </c>
      <c r="J291" t="s">
        <v>35</v>
      </c>
      <c r="K291" t="s">
        <v>34</v>
      </c>
      <c r="L291" t="s">
        <v>24</v>
      </c>
      <c r="M291">
        <v>10</v>
      </c>
      <c r="N291" t="s">
        <v>25</v>
      </c>
      <c r="O291" t="s">
        <v>796</v>
      </c>
      <c r="P291" t="s">
        <v>165</v>
      </c>
      <c r="Q291" t="s">
        <v>359</v>
      </c>
      <c r="R291">
        <v>2012</v>
      </c>
      <c r="S291" t="s">
        <v>797</v>
      </c>
      <c r="T291">
        <f>IF(IPL_Matches_2008_2020___New[[#This Row],[Toss Winner]]=IPL_Matches_2008_2020___New[[#This Row],[Winner]],1,0)</f>
        <v>1</v>
      </c>
      <c r="U291" t="s">
        <v>801</v>
      </c>
    </row>
    <row r="292" spans="1:21" x14ac:dyDescent="0.3">
      <c r="A292" t="s">
        <v>1091</v>
      </c>
      <c r="B292" t="s">
        <v>53</v>
      </c>
      <c r="C292">
        <f>YEAR(IPL_Matches_2008_2020___New[[#This Row],[Date ]])</f>
        <v>2012</v>
      </c>
      <c r="D292" s="1">
        <v>41034</v>
      </c>
      <c r="E292" t="s">
        <v>368</v>
      </c>
      <c r="F292" t="s">
        <v>55</v>
      </c>
      <c r="G292" t="s">
        <v>22</v>
      </c>
      <c r="H292" t="s">
        <v>292</v>
      </c>
      <c r="I292" t="s">
        <v>22</v>
      </c>
      <c r="J292" t="s">
        <v>35</v>
      </c>
      <c r="K292" t="s">
        <v>22</v>
      </c>
      <c r="L292" t="s">
        <v>24</v>
      </c>
      <c r="M292">
        <v>7</v>
      </c>
      <c r="N292" t="s">
        <v>25</v>
      </c>
      <c r="O292" t="s">
        <v>796</v>
      </c>
      <c r="P292" t="s">
        <v>57</v>
      </c>
      <c r="Q292" t="s">
        <v>181</v>
      </c>
      <c r="R292">
        <v>2012</v>
      </c>
      <c r="S292" t="s">
        <v>797</v>
      </c>
      <c r="T292">
        <f>IF(IPL_Matches_2008_2020___New[[#This Row],[Toss Winner]]=IPL_Matches_2008_2020___New[[#This Row],[Winner]],1,0)</f>
        <v>1</v>
      </c>
      <c r="U292" t="s">
        <v>801</v>
      </c>
    </row>
    <row r="293" spans="1:21" x14ac:dyDescent="0.3">
      <c r="A293" t="s">
        <v>1092</v>
      </c>
      <c r="B293" t="s">
        <v>29</v>
      </c>
      <c r="C293">
        <f>YEAR(IPL_Matches_2008_2020___New[[#This Row],[Date ]])</f>
        <v>2012</v>
      </c>
      <c r="D293" s="1">
        <v>41034</v>
      </c>
      <c r="E293" t="s">
        <v>61</v>
      </c>
      <c r="F293" t="s">
        <v>32</v>
      </c>
      <c r="G293" t="s">
        <v>800</v>
      </c>
      <c r="H293" t="s">
        <v>42</v>
      </c>
      <c r="I293" t="s">
        <v>42</v>
      </c>
      <c r="J293" t="s">
        <v>35</v>
      </c>
      <c r="K293" t="s">
        <v>42</v>
      </c>
      <c r="L293" t="s">
        <v>24</v>
      </c>
      <c r="M293">
        <v>43</v>
      </c>
      <c r="N293" t="s">
        <v>25</v>
      </c>
      <c r="O293" t="s">
        <v>796</v>
      </c>
      <c r="P293" t="s">
        <v>347</v>
      </c>
      <c r="Q293" t="s">
        <v>149</v>
      </c>
      <c r="R293">
        <v>2012</v>
      </c>
      <c r="S293" t="s">
        <v>797</v>
      </c>
      <c r="T293">
        <f>IF(IPL_Matches_2008_2020___New[[#This Row],[Toss Winner]]=IPL_Matches_2008_2020___New[[#This Row],[Winner]],1,0)</f>
        <v>1</v>
      </c>
      <c r="U293" t="s">
        <v>801</v>
      </c>
    </row>
    <row r="294" spans="1:21" x14ac:dyDescent="0.3">
      <c r="A294" t="s">
        <v>1093</v>
      </c>
      <c r="B294" t="s">
        <v>46</v>
      </c>
      <c r="C294">
        <f>YEAR(IPL_Matches_2008_2020___New[[#This Row],[Date ]])</f>
        <v>2012</v>
      </c>
      <c r="D294" s="1">
        <v>41035</v>
      </c>
      <c r="E294" t="s">
        <v>195</v>
      </c>
      <c r="F294" t="s">
        <v>49</v>
      </c>
      <c r="G294" t="s">
        <v>50</v>
      </c>
      <c r="H294" t="s">
        <v>34</v>
      </c>
      <c r="I294" t="s">
        <v>50</v>
      </c>
      <c r="J294" t="s">
        <v>23</v>
      </c>
      <c r="K294" t="s">
        <v>50</v>
      </c>
      <c r="L294" t="s">
        <v>43</v>
      </c>
      <c r="M294">
        <v>2</v>
      </c>
      <c r="N294" t="s">
        <v>25</v>
      </c>
      <c r="O294" t="s">
        <v>796</v>
      </c>
      <c r="P294" t="s">
        <v>27</v>
      </c>
      <c r="Q294" t="s">
        <v>168</v>
      </c>
      <c r="R294">
        <v>2012</v>
      </c>
      <c r="S294" t="s">
        <v>803</v>
      </c>
      <c r="T294">
        <f>IF(IPL_Matches_2008_2020___New[[#This Row],[Toss Winner]]=IPL_Matches_2008_2020___New[[#This Row],[Winner]],1,0)</f>
        <v>1</v>
      </c>
      <c r="U294" t="s">
        <v>801</v>
      </c>
    </row>
    <row r="295" spans="1:21" x14ac:dyDescent="0.3">
      <c r="A295" t="s">
        <v>1094</v>
      </c>
      <c r="B295" t="s">
        <v>17</v>
      </c>
      <c r="C295">
        <f>YEAR(IPL_Matches_2008_2020___New[[#This Row],[Date ]])</f>
        <v>2012</v>
      </c>
      <c r="D295" s="1">
        <v>41035</v>
      </c>
      <c r="E295" t="s">
        <v>157</v>
      </c>
      <c r="F295" t="s">
        <v>795</v>
      </c>
      <c r="G295" t="s">
        <v>21</v>
      </c>
      <c r="H295" t="s">
        <v>56</v>
      </c>
      <c r="I295" t="s">
        <v>21</v>
      </c>
      <c r="J295" t="s">
        <v>23</v>
      </c>
      <c r="K295" t="s">
        <v>21</v>
      </c>
      <c r="L295" t="s">
        <v>43</v>
      </c>
      <c r="M295">
        <v>5</v>
      </c>
      <c r="N295" t="s">
        <v>25</v>
      </c>
      <c r="O295" t="s">
        <v>796</v>
      </c>
      <c r="P295" t="s">
        <v>165</v>
      </c>
      <c r="Q295" t="s">
        <v>359</v>
      </c>
      <c r="R295">
        <v>2012</v>
      </c>
      <c r="S295" t="s">
        <v>803</v>
      </c>
      <c r="T295">
        <f>IF(IPL_Matches_2008_2020___New[[#This Row],[Toss Winner]]=IPL_Matches_2008_2020___New[[#This Row],[Winner]],1,0)</f>
        <v>1</v>
      </c>
      <c r="U295" t="s">
        <v>801</v>
      </c>
    </row>
    <row r="296" spans="1:21" x14ac:dyDescent="0.3">
      <c r="A296" t="s">
        <v>1095</v>
      </c>
      <c r="B296" t="s">
        <v>38</v>
      </c>
      <c r="C296">
        <f>YEAR(IPL_Matches_2008_2020___New[[#This Row],[Date ]])</f>
        <v>2012</v>
      </c>
      <c r="D296" s="1">
        <v>41036</v>
      </c>
      <c r="E296" t="s">
        <v>187</v>
      </c>
      <c r="F296" t="s">
        <v>40</v>
      </c>
      <c r="G296" t="s">
        <v>692</v>
      </c>
      <c r="H296" t="s">
        <v>22</v>
      </c>
      <c r="I296" t="s">
        <v>692</v>
      </c>
      <c r="J296" t="s">
        <v>35</v>
      </c>
      <c r="K296" t="s">
        <v>22</v>
      </c>
      <c r="L296" t="s">
        <v>43</v>
      </c>
      <c r="M296">
        <v>6</v>
      </c>
      <c r="N296" t="s">
        <v>25</v>
      </c>
      <c r="O296" t="s">
        <v>796</v>
      </c>
      <c r="P296" t="s">
        <v>347</v>
      </c>
      <c r="Q296" t="s">
        <v>183</v>
      </c>
      <c r="R296">
        <v>2012</v>
      </c>
      <c r="S296" t="s">
        <v>803</v>
      </c>
      <c r="T296">
        <f>IF(IPL_Matches_2008_2020___New[[#This Row],[Toss Winner]]=IPL_Matches_2008_2020___New[[#This Row],[Winner]],1,0)</f>
        <v>0</v>
      </c>
      <c r="U296" t="s">
        <v>798</v>
      </c>
    </row>
    <row r="297" spans="1:21" x14ac:dyDescent="0.3">
      <c r="A297" t="s">
        <v>1096</v>
      </c>
      <c r="B297" t="s">
        <v>355</v>
      </c>
      <c r="C297">
        <f>YEAR(IPL_Matches_2008_2020___New[[#This Row],[Date ]])</f>
        <v>2012</v>
      </c>
      <c r="D297" s="1">
        <v>41037</v>
      </c>
      <c r="E297" t="s">
        <v>61</v>
      </c>
      <c r="F297" t="s">
        <v>357</v>
      </c>
      <c r="G297" t="s">
        <v>292</v>
      </c>
      <c r="H297" t="s">
        <v>42</v>
      </c>
      <c r="I297" t="s">
        <v>292</v>
      </c>
      <c r="J297" t="s">
        <v>35</v>
      </c>
      <c r="K297" t="s">
        <v>42</v>
      </c>
      <c r="L297" t="s">
        <v>43</v>
      </c>
      <c r="M297">
        <v>7</v>
      </c>
      <c r="N297" t="s">
        <v>25</v>
      </c>
      <c r="O297" t="s">
        <v>796</v>
      </c>
      <c r="P297" t="s">
        <v>27</v>
      </c>
      <c r="Q297" t="s">
        <v>88</v>
      </c>
      <c r="R297">
        <v>2012</v>
      </c>
      <c r="S297" t="s">
        <v>803</v>
      </c>
      <c r="T297">
        <f>IF(IPL_Matches_2008_2020___New[[#This Row],[Toss Winner]]=IPL_Matches_2008_2020___New[[#This Row],[Winner]],1,0)</f>
        <v>0</v>
      </c>
      <c r="U297" t="s">
        <v>798</v>
      </c>
    </row>
    <row r="298" spans="1:21" x14ac:dyDescent="0.3">
      <c r="A298" t="s">
        <v>1097</v>
      </c>
      <c r="B298" t="s">
        <v>64</v>
      </c>
      <c r="C298">
        <f>YEAR(IPL_Matches_2008_2020___New[[#This Row],[Date ]])</f>
        <v>2012</v>
      </c>
      <c r="D298" s="1">
        <v>41037</v>
      </c>
      <c r="E298" t="s">
        <v>384</v>
      </c>
      <c r="F298" t="s">
        <v>67</v>
      </c>
      <c r="G298" t="s">
        <v>56</v>
      </c>
      <c r="H298" t="s">
        <v>800</v>
      </c>
      <c r="I298" t="s">
        <v>56</v>
      </c>
      <c r="J298" t="s">
        <v>23</v>
      </c>
      <c r="K298" t="s">
        <v>800</v>
      </c>
      <c r="L298" t="s">
        <v>24</v>
      </c>
      <c r="M298">
        <v>25</v>
      </c>
      <c r="N298" t="s">
        <v>25</v>
      </c>
      <c r="O298" t="s">
        <v>796</v>
      </c>
      <c r="P298" t="s">
        <v>165</v>
      </c>
      <c r="Q298" t="s">
        <v>359</v>
      </c>
      <c r="R298">
        <v>2012</v>
      </c>
      <c r="S298" t="s">
        <v>797</v>
      </c>
      <c r="T298">
        <f>IF(IPL_Matches_2008_2020___New[[#This Row],[Toss Winner]]=IPL_Matches_2008_2020___New[[#This Row],[Winner]],1,0)</f>
        <v>0</v>
      </c>
      <c r="U298" t="s">
        <v>798</v>
      </c>
    </row>
    <row r="299" spans="1:21" x14ac:dyDescent="0.3">
      <c r="A299" t="s">
        <v>1098</v>
      </c>
      <c r="B299" t="s">
        <v>46</v>
      </c>
      <c r="C299">
        <f>YEAR(IPL_Matches_2008_2020___New[[#This Row],[Date ]])</f>
        <v>2012</v>
      </c>
      <c r="D299" s="1">
        <v>41038</v>
      </c>
      <c r="E299" t="s">
        <v>152</v>
      </c>
      <c r="F299" t="s">
        <v>49</v>
      </c>
      <c r="G299" t="s">
        <v>50</v>
      </c>
      <c r="H299" t="s">
        <v>21</v>
      </c>
      <c r="I299" t="s">
        <v>21</v>
      </c>
      <c r="J299" t="s">
        <v>23</v>
      </c>
      <c r="K299" t="s">
        <v>21</v>
      </c>
      <c r="L299" t="s">
        <v>43</v>
      </c>
      <c r="M299">
        <v>9</v>
      </c>
      <c r="N299" t="s">
        <v>25</v>
      </c>
      <c r="O299" t="s">
        <v>796</v>
      </c>
      <c r="P299" t="s">
        <v>57</v>
      </c>
      <c r="Q299" t="s">
        <v>354</v>
      </c>
      <c r="R299">
        <v>2012</v>
      </c>
      <c r="S299" t="s">
        <v>803</v>
      </c>
      <c r="T299">
        <f>IF(IPL_Matches_2008_2020___New[[#This Row],[Toss Winner]]=IPL_Matches_2008_2020___New[[#This Row],[Winner]],1,0)</f>
        <v>1</v>
      </c>
      <c r="U299" t="s">
        <v>801</v>
      </c>
    </row>
    <row r="300" spans="1:21" x14ac:dyDescent="0.3">
      <c r="A300" t="s">
        <v>1099</v>
      </c>
      <c r="B300" t="s">
        <v>59</v>
      </c>
      <c r="C300">
        <f>YEAR(IPL_Matches_2008_2020___New[[#This Row],[Date ]])</f>
        <v>2012</v>
      </c>
      <c r="D300" s="1">
        <v>41039</v>
      </c>
      <c r="E300" t="s">
        <v>390</v>
      </c>
      <c r="F300" t="s">
        <v>62</v>
      </c>
      <c r="G300" t="s">
        <v>42</v>
      </c>
      <c r="H300" t="s">
        <v>34</v>
      </c>
      <c r="I300" t="s">
        <v>34</v>
      </c>
      <c r="J300" t="s">
        <v>23</v>
      </c>
      <c r="K300" t="s">
        <v>34</v>
      </c>
      <c r="L300" t="s">
        <v>43</v>
      </c>
      <c r="M300">
        <v>4</v>
      </c>
      <c r="N300" t="s">
        <v>25</v>
      </c>
      <c r="O300" t="s">
        <v>796</v>
      </c>
      <c r="P300" t="s">
        <v>359</v>
      </c>
      <c r="Q300" t="s">
        <v>387</v>
      </c>
      <c r="R300">
        <v>2012</v>
      </c>
      <c r="S300" t="s">
        <v>803</v>
      </c>
      <c r="T300">
        <f>IF(IPL_Matches_2008_2020___New[[#This Row],[Toss Winner]]=IPL_Matches_2008_2020___New[[#This Row],[Winner]],1,0)</f>
        <v>1</v>
      </c>
      <c r="U300" t="s">
        <v>801</v>
      </c>
    </row>
    <row r="301" spans="1:21" x14ac:dyDescent="0.3">
      <c r="A301" t="s">
        <v>1100</v>
      </c>
      <c r="B301" t="s">
        <v>355</v>
      </c>
      <c r="C301">
        <f>YEAR(IPL_Matches_2008_2020___New[[#This Row],[Date ]])</f>
        <v>2012</v>
      </c>
      <c r="D301" s="1">
        <v>41040</v>
      </c>
      <c r="E301" t="s">
        <v>152</v>
      </c>
      <c r="F301" t="s">
        <v>357</v>
      </c>
      <c r="G301" t="s">
        <v>292</v>
      </c>
      <c r="H301" t="s">
        <v>21</v>
      </c>
      <c r="I301" t="s">
        <v>292</v>
      </c>
      <c r="J301" t="s">
        <v>23</v>
      </c>
      <c r="K301" t="s">
        <v>21</v>
      </c>
      <c r="L301" t="s">
        <v>24</v>
      </c>
      <c r="M301">
        <v>35</v>
      </c>
      <c r="N301" t="s">
        <v>25</v>
      </c>
      <c r="O301" t="s">
        <v>796</v>
      </c>
      <c r="P301" t="s">
        <v>57</v>
      </c>
      <c r="Q301" t="s">
        <v>181</v>
      </c>
      <c r="R301">
        <v>2012</v>
      </c>
      <c r="S301" t="s">
        <v>797</v>
      </c>
      <c r="T301">
        <f>IF(IPL_Matches_2008_2020___New[[#This Row],[Toss Winner]]=IPL_Matches_2008_2020___New[[#This Row],[Winner]],1,0)</f>
        <v>0</v>
      </c>
      <c r="U301" t="s">
        <v>798</v>
      </c>
    </row>
    <row r="302" spans="1:21" x14ac:dyDescent="0.3">
      <c r="A302" t="s">
        <v>1101</v>
      </c>
      <c r="B302" t="s">
        <v>53</v>
      </c>
      <c r="C302">
        <f>YEAR(IPL_Matches_2008_2020___New[[#This Row],[Date ]])</f>
        <v>2012</v>
      </c>
      <c r="D302" s="1">
        <v>41041</v>
      </c>
      <c r="E302" t="s">
        <v>190</v>
      </c>
      <c r="F302" t="s">
        <v>55</v>
      </c>
      <c r="G302" t="s">
        <v>22</v>
      </c>
      <c r="H302" t="s">
        <v>50</v>
      </c>
      <c r="I302" t="s">
        <v>50</v>
      </c>
      <c r="J302" t="s">
        <v>35</v>
      </c>
      <c r="K302" t="s">
        <v>50</v>
      </c>
      <c r="L302" t="s">
        <v>24</v>
      </c>
      <c r="M302">
        <v>27</v>
      </c>
      <c r="N302" t="s">
        <v>25</v>
      </c>
      <c r="O302" t="s">
        <v>796</v>
      </c>
      <c r="P302" t="s">
        <v>183</v>
      </c>
      <c r="Q302" t="s">
        <v>149</v>
      </c>
      <c r="R302">
        <v>2012</v>
      </c>
      <c r="S302" t="s">
        <v>797</v>
      </c>
      <c r="T302">
        <f>IF(IPL_Matches_2008_2020___New[[#This Row],[Toss Winner]]=IPL_Matches_2008_2020___New[[#This Row],[Winner]],1,0)</f>
        <v>1</v>
      </c>
      <c r="U302" t="s">
        <v>801</v>
      </c>
    </row>
    <row r="303" spans="1:21" x14ac:dyDescent="0.3">
      <c r="A303" t="s">
        <v>1102</v>
      </c>
      <c r="B303" t="s">
        <v>70</v>
      </c>
      <c r="C303">
        <f>YEAR(IPL_Matches_2008_2020___New[[#This Row],[Date ]])</f>
        <v>2012</v>
      </c>
      <c r="D303" s="1">
        <v>41041</v>
      </c>
      <c r="E303" t="s">
        <v>390</v>
      </c>
      <c r="F303" t="s">
        <v>73</v>
      </c>
      <c r="G303" t="s">
        <v>34</v>
      </c>
      <c r="H303" t="s">
        <v>692</v>
      </c>
      <c r="I303" t="s">
        <v>34</v>
      </c>
      <c r="J303" t="s">
        <v>23</v>
      </c>
      <c r="K303" t="s">
        <v>34</v>
      </c>
      <c r="L303" t="s">
        <v>43</v>
      </c>
      <c r="M303">
        <v>9</v>
      </c>
      <c r="N303" t="s">
        <v>25</v>
      </c>
      <c r="O303" t="s">
        <v>796</v>
      </c>
      <c r="P303" t="s">
        <v>228</v>
      </c>
      <c r="Q303" t="s">
        <v>88</v>
      </c>
      <c r="R303">
        <v>2012</v>
      </c>
      <c r="S303" t="s">
        <v>803</v>
      </c>
      <c r="T303">
        <f>IF(IPL_Matches_2008_2020___New[[#This Row],[Toss Winner]]=IPL_Matches_2008_2020___New[[#This Row],[Winner]],1,0)</f>
        <v>1</v>
      </c>
      <c r="U303" t="s">
        <v>801</v>
      </c>
    </row>
    <row r="304" spans="1:21" x14ac:dyDescent="0.3">
      <c r="A304" t="s">
        <v>1103</v>
      </c>
      <c r="B304" t="s">
        <v>59</v>
      </c>
      <c r="C304">
        <f>YEAR(IPL_Matches_2008_2020___New[[#This Row],[Date ]])</f>
        <v>2012</v>
      </c>
      <c r="D304" s="1">
        <v>41042</v>
      </c>
      <c r="E304" t="s">
        <v>392</v>
      </c>
      <c r="F304" t="s">
        <v>62</v>
      </c>
      <c r="G304" t="s">
        <v>42</v>
      </c>
      <c r="H304" t="s">
        <v>292</v>
      </c>
      <c r="I304" t="s">
        <v>42</v>
      </c>
      <c r="J304" t="s">
        <v>35</v>
      </c>
      <c r="K304" t="s">
        <v>42</v>
      </c>
      <c r="L304" t="s">
        <v>24</v>
      </c>
      <c r="M304">
        <v>45</v>
      </c>
      <c r="N304" t="s">
        <v>25</v>
      </c>
      <c r="O304" t="s">
        <v>796</v>
      </c>
      <c r="P304" t="s">
        <v>57</v>
      </c>
      <c r="Q304" t="s">
        <v>181</v>
      </c>
      <c r="R304">
        <v>2012</v>
      </c>
      <c r="S304" t="s">
        <v>797</v>
      </c>
      <c r="T304">
        <f>IF(IPL_Matches_2008_2020___New[[#This Row],[Toss Winner]]=IPL_Matches_2008_2020___New[[#This Row],[Winner]],1,0)</f>
        <v>1</v>
      </c>
      <c r="U304" t="s">
        <v>801</v>
      </c>
    </row>
    <row r="305" spans="1:21" x14ac:dyDescent="0.3">
      <c r="A305" t="s">
        <v>1104</v>
      </c>
      <c r="B305" t="s">
        <v>29</v>
      </c>
      <c r="C305">
        <f>YEAR(IPL_Matches_2008_2020___New[[#This Row],[Date ]])</f>
        <v>2012</v>
      </c>
      <c r="D305" s="1">
        <v>41042</v>
      </c>
      <c r="E305" t="s">
        <v>54</v>
      </c>
      <c r="F305" t="s">
        <v>32</v>
      </c>
      <c r="G305" t="s">
        <v>800</v>
      </c>
      <c r="H305" t="s">
        <v>56</v>
      </c>
      <c r="I305" t="s">
        <v>56</v>
      </c>
      <c r="J305" t="s">
        <v>35</v>
      </c>
      <c r="K305" t="s">
        <v>800</v>
      </c>
      <c r="L305" t="s">
        <v>43</v>
      </c>
      <c r="M305">
        <v>4</v>
      </c>
      <c r="N305" t="s">
        <v>25</v>
      </c>
      <c r="O305" t="s">
        <v>796</v>
      </c>
      <c r="P305" t="s">
        <v>165</v>
      </c>
      <c r="Q305" t="s">
        <v>359</v>
      </c>
      <c r="R305">
        <v>2012</v>
      </c>
      <c r="S305" t="s">
        <v>803</v>
      </c>
      <c r="T305">
        <f>IF(IPL_Matches_2008_2020___New[[#This Row],[Toss Winner]]=IPL_Matches_2008_2020___New[[#This Row],[Winner]],1,0)</f>
        <v>0</v>
      </c>
      <c r="U305" t="s">
        <v>798</v>
      </c>
    </row>
    <row r="306" spans="1:21" x14ac:dyDescent="0.3">
      <c r="A306" t="s">
        <v>1105</v>
      </c>
      <c r="B306" t="s">
        <v>17</v>
      </c>
      <c r="C306">
        <f>YEAR(IPL_Matches_2008_2020___New[[#This Row],[Date ]])</f>
        <v>2012</v>
      </c>
      <c r="D306" s="1">
        <v>41043</v>
      </c>
      <c r="E306" t="s">
        <v>257</v>
      </c>
      <c r="F306" t="s">
        <v>795</v>
      </c>
      <c r="G306" t="s">
        <v>21</v>
      </c>
      <c r="H306" t="s">
        <v>50</v>
      </c>
      <c r="I306" t="s">
        <v>50</v>
      </c>
      <c r="J306" t="s">
        <v>23</v>
      </c>
      <c r="K306" t="s">
        <v>50</v>
      </c>
      <c r="L306" t="s">
        <v>43</v>
      </c>
      <c r="M306">
        <v>5</v>
      </c>
      <c r="N306" t="s">
        <v>25</v>
      </c>
      <c r="O306" t="s">
        <v>796</v>
      </c>
      <c r="P306" t="s">
        <v>228</v>
      </c>
      <c r="Q306" t="s">
        <v>88</v>
      </c>
      <c r="R306">
        <v>2012</v>
      </c>
      <c r="S306" t="s">
        <v>803</v>
      </c>
      <c r="T306">
        <f>IF(IPL_Matches_2008_2020___New[[#This Row],[Toss Winner]]=IPL_Matches_2008_2020___New[[#This Row],[Winner]],1,0)</f>
        <v>1</v>
      </c>
      <c r="U306" t="s">
        <v>801</v>
      </c>
    </row>
    <row r="307" spans="1:21" x14ac:dyDescent="0.3">
      <c r="A307" t="s">
        <v>1106</v>
      </c>
      <c r="B307" t="s">
        <v>53</v>
      </c>
      <c r="C307">
        <f>YEAR(IPL_Matches_2008_2020___New[[#This Row],[Date ]])</f>
        <v>2012</v>
      </c>
      <c r="D307" s="1">
        <v>41043</v>
      </c>
      <c r="E307" t="s">
        <v>31</v>
      </c>
      <c r="F307" t="s">
        <v>55</v>
      </c>
      <c r="G307" t="s">
        <v>22</v>
      </c>
      <c r="H307" t="s">
        <v>34</v>
      </c>
      <c r="I307" t="s">
        <v>34</v>
      </c>
      <c r="J307" t="s">
        <v>23</v>
      </c>
      <c r="K307" t="s">
        <v>34</v>
      </c>
      <c r="L307" t="s">
        <v>43</v>
      </c>
      <c r="M307">
        <v>5</v>
      </c>
      <c r="N307" t="s">
        <v>25</v>
      </c>
      <c r="O307" t="s">
        <v>796</v>
      </c>
      <c r="P307" t="s">
        <v>347</v>
      </c>
      <c r="Q307" t="s">
        <v>149</v>
      </c>
      <c r="R307">
        <v>2012</v>
      </c>
      <c r="S307" t="s">
        <v>803</v>
      </c>
      <c r="T307">
        <f>IF(IPL_Matches_2008_2020___New[[#This Row],[Toss Winner]]=IPL_Matches_2008_2020___New[[#This Row],[Winner]],1,0)</f>
        <v>1</v>
      </c>
      <c r="U307" t="s">
        <v>801</v>
      </c>
    </row>
    <row r="308" spans="1:21" x14ac:dyDescent="0.3">
      <c r="A308" t="s">
        <v>1107</v>
      </c>
      <c r="B308" t="s">
        <v>38</v>
      </c>
      <c r="C308">
        <f>YEAR(IPL_Matches_2008_2020___New[[#This Row],[Date ]])</f>
        <v>2012</v>
      </c>
      <c r="D308" s="1">
        <v>41044</v>
      </c>
      <c r="E308" t="s">
        <v>395</v>
      </c>
      <c r="F308" t="s">
        <v>40</v>
      </c>
      <c r="G308" t="s">
        <v>692</v>
      </c>
      <c r="H308" t="s">
        <v>800</v>
      </c>
      <c r="I308" t="s">
        <v>800</v>
      </c>
      <c r="J308" t="s">
        <v>35</v>
      </c>
      <c r="K308" t="s">
        <v>692</v>
      </c>
      <c r="L308" t="s">
        <v>43</v>
      </c>
      <c r="M308">
        <v>5</v>
      </c>
      <c r="N308" t="s">
        <v>25</v>
      </c>
      <c r="O308" t="s">
        <v>796</v>
      </c>
      <c r="P308" t="s">
        <v>165</v>
      </c>
      <c r="Q308" t="s">
        <v>359</v>
      </c>
      <c r="R308">
        <v>2012</v>
      </c>
      <c r="S308" t="s">
        <v>803</v>
      </c>
      <c r="T308">
        <f>IF(IPL_Matches_2008_2020___New[[#This Row],[Toss Winner]]=IPL_Matches_2008_2020___New[[#This Row],[Winner]],1,0)</f>
        <v>0</v>
      </c>
      <c r="U308" t="s">
        <v>798</v>
      </c>
    </row>
    <row r="309" spans="1:21" x14ac:dyDescent="0.3">
      <c r="A309" t="s">
        <v>1108</v>
      </c>
      <c r="B309" t="s">
        <v>46</v>
      </c>
      <c r="C309">
        <f>YEAR(IPL_Matches_2008_2020___New[[#This Row],[Date ]])</f>
        <v>2012</v>
      </c>
      <c r="D309" s="1">
        <v>41045</v>
      </c>
      <c r="E309" t="s">
        <v>368</v>
      </c>
      <c r="F309" t="s">
        <v>49</v>
      </c>
      <c r="G309" t="s">
        <v>50</v>
      </c>
      <c r="H309" t="s">
        <v>22</v>
      </c>
      <c r="I309" t="s">
        <v>50</v>
      </c>
      <c r="J309" t="s">
        <v>23</v>
      </c>
      <c r="K309" t="s">
        <v>22</v>
      </c>
      <c r="L309" t="s">
        <v>24</v>
      </c>
      <c r="M309">
        <v>32</v>
      </c>
      <c r="N309" t="s">
        <v>25</v>
      </c>
      <c r="O309" t="s">
        <v>796</v>
      </c>
      <c r="P309" t="s">
        <v>228</v>
      </c>
      <c r="Q309" t="s">
        <v>88</v>
      </c>
      <c r="R309">
        <v>2012</v>
      </c>
      <c r="S309" t="s">
        <v>797</v>
      </c>
      <c r="T309">
        <f>IF(IPL_Matches_2008_2020___New[[#This Row],[Toss Winner]]=IPL_Matches_2008_2020___New[[#This Row],[Winner]],1,0)</f>
        <v>0</v>
      </c>
      <c r="U309" t="s">
        <v>798</v>
      </c>
    </row>
    <row r="310" spans="1:21" x14ac:dyDescent="0.3">
      <c r="A310" t="s">
        <v>1109</v>
      </c>
      <c r="B310" t="s">
        <v>271</v>
      </c>
      <c r="C310">
        <f>YEAR(IPL_Matches_2008_2020___New[[#This Row],[Date ]])</f>
        <v>2012</v>
      </c>
      <c r="D310" s="1">
        <v>41046</v>
      </c>
      <c r="E310" t="s">
        <v>82</v>
      </c>
      <c r="F310" t="s">
        <v>273</v>
      </c>
      <c r="G310" t="s">
        <v>800</v>
      </c>
      <c r="H310" t="s">
        <v>34</v>
      </c>
      <c r="I310" t="s">
        <v>800</v>
      </c>
      <c r="J310" t="s">
        <v>23</v>
      </c>
      <c r="K310" t="s">
        <v>800</v>
      </c>
      <c r="L310" t="s">
        <v>43</v>
      </c>
      <c r="M310">
        <v>6</v>
      </c>
      <c r="N310" t="s">
        <v>25</v>
      </c>
      <c r="O310" t="s">
        <v>796</v>
      </c>
      <c r="P310" t="s">
        <v>354</v>
      </c>
      <c r="Q310" t="s">
        <v>181</v>
      </c>
      <c r="R310">
        <v>2012</v>
      </c>
      <c r="S310" t="s">
        <v>803</v>
      </c>
      <c r="T310">
        <f>IF(IPL_Matches_2008_2020___New[[#This Row],[Toss Winner]]=IPL_Matches_2008_2020___New[[#This Row],[Winner]],1,0)</f>
        <v>1</v>
      </c>
      <c r="U310" t="s">
        <v>801</v>
      </c>
    </row>
    <row r="311" spans="1:21" x14ac:dyDescent="0.3">
      <c r="A311" t="s">
        <v>1110</v>
      </c>
      <c r="B311" t="s">
        <v>38</v>
      </c>
      <c r="C311">
        <f>YEAR(IPL_Matches_2008_2020___New[[#This Row],[Date ]])</f>
        <v>2012</v>
      </c>
      <c r="D311" s="1">
        <v>41046</v>
      </c>
      <c r="E311" t="s">
        <v>152</v>
      </c>
      <c r="F311" t="s">
        <v>40</v>
      </c>
      <c r="G311" t="s">
        <v>692</v>
      </c>
      <c r="H311" t="s">
        <v>21</v>
      </c>
      <c r="I311" t="s">
        <v>692</v>
      </c>
      <c r="J311" t="s">
        <v>23</v>
      </c>
      <c r="K311" t="s">
        <v>21</v>
      </c>
      <c r="L311" t="s">
        <v>24</v>
      </c>
      <c r="M311">
        <v>21</v>
      </c>
      <c r="N311" t="s">
        <v>25</v>
      </c>
      <c r="O311" t="s">
        <v>796</v>
      </c>
      <c r="P311" t="s">
        <v>165</v>
      </c>
      <c r="Q311" t="s">
        <v>387</v>
      </c>
      <c r="R311">
        <v>2012</v>
      </c>
      <c r="S311" t="s">
        <v>797</v>
      </c>
      <c r="T311">
        <f>IF(IPL_Matches_2008_2020___New[[#This Row],[Toss Winner]]=IPL_Matches_2008_2020___New[[#This Row],[Winner]],1,0)</f>
        <v>0</v>
      </c>
      <c r="U311" t="s">
        <v>798</v>
      </c>
    </row>
    <row r="312" spans="1:21" x14ac:dyDescent="0.3">
      <c r="A312" t="s">
        <v>1111</v>
      </c>
      <c r="B312" t="s">
        <v>64</v>
      </c>
      <c r="C312">
        <f>YEAR(IPL_Matches_2008_2020___New[[#This Row],[Date ]])</f>
        <v>2012</v>
      </c>
      <c r="D312" s="1">
        <v>41047</v>
      </c>
      <c r="E312" t="s">
        <v>298</v>
      </c>
      <c r="F312" t="s">
        <v>67</v>
      </c>
      <c r="G312" t="s">
        <v>56</v>
      </c>
      <c r="H312" t="s">
        <v>42</v>
      </c>
      <c r="I312" t="s">
        <v>42</v>
      </c>
      <c r="J312" t="s">
        <v>35</v>
      </c>
      <c r="K312" t="s">
        <v>56</v>
      </c>
      <c r="L312" t="s">
        <v>43</v>
      </c>
      <c r="M312">
        <v>5</v>
      </c>
      <c r="N312" t="s">
        <v>25</v>
      </c>
      <c r="O312" t="s">
        <v>796</v>
      </c>
      <c r="P312" t="s">
        <v>183</v>
      </c>
      <c r="Q312" t="s">
        <v>149</v>
      </c>
      <c r="R312">
        <v>2012</v>
      </c>
      <c r="S312" t="s">
        <v>803</v>
      </c>
      <c r="T312">
        <f>IF(IPL_Matches_2008_2020___New[[#This Row],[Toss Winner]]=IPL_Matches_2008_2020___New[[#This Row],[Winner]],1,0)</f>
        <v>0</v>
      </c>
      <c r="U312" t="s">
        <v>798</v>
      </c>
    </row>
    <row r="313" spans="1:21" x14ac:dyDescent="0.3">
      <c r="A313" t="s">
        <v>1112</v>
      </c>
      <c r="B313" t="s">
        <v>271</v>
      </c>
      <c r="C313">
        <f>YEAR(IPL_Matches_2008_2020___New[[#This Row],[Date ]])</f>
        <v>2012</v>
      </c>
      <c r="D313" s="1">
        <v>41048</v>
      </c>
      <c r="E313" t="s">
        <v>395</v>
      </c>
      <c r="F313" t="s">
        <v>273</v>
      </c>
      <c r="G313" t="s">
        <v>800</v>
      </c>
      <c r="H313" t="s">
        <v>692</v>
      </c>
      <c r="I313" t="s">
        <v>692</v>
      </c>
      <c r="J313" t="s">
        <v>23</v>
      </c>
      <c r="K313" t="s">
        <v>692</v>
      </c>
      <c r="L313" t="s">
        <v>43</v>
      </c>
      <c r="M313">
        <v>6</v>
      </c>
      <c r="N313" t="s">
        <v>25</v>
      </c>
      <c r="O313" t="s">
        <v>796</v>
      </c>
      <c r="P313" t="s">
        <v>57</v>
      </c>
      <c r="Q313" t="s">
        <v>354</v>
      </c>
      <c r="R313">
        <v>2012</v>
      </c>
      <c r="S313" t="s">
        <v>803</v>
      </c>
      <c r="T313">
        <f>IF(IPL_Matches_2008_2020___New[[#This Row],[Toss Winner]]=IPL_Matches_2008_2020___New[[#This Row],[Winner]],1,0)</f>
        <v>1</v>
      </c>
      <c r="U313" t="s">
        <v>801</v>
      </c>
    </row>
    <row r="314" spans="1:21" x14ac:dyDescent="0.3">
      <c r="A314" t="s">
        <v>1113</v>
      </c>
      <c r="B314" t="s">
        <v>355</v>
      </c>
      <c r="C314">
        <f>YEAR(IPL_Matches_2008_2020___New[[#This Row],[Date ]])</f>
        <v>2012</v>
      </c>
      <c r="D314" s="1">
        <v>41048</v>
      </c>
      <c r="E314" t="s">
        <v>363</v>
      </c>
      <c r="F314" t="s">
        <v>357</v>
      </c>
      <c r="G314" t="s">
        <v>292</v>
      </c>
      <c r="H314" t="s">
        <v>22</v>
      </c>
      <c r="I314" t="s">
        <v>22</v>
      </c>
      <c r="J314" t="s">
        <v>35</v>
      </c>
      <c r="K314" t="s">
        <v>22</v>
      </c>
      <c r="L314" t="s">
        <v>24</v>
      </c>
      <c r="M314">
        <v>34</v>
      </c>
      <c r="N314" t="s">
        <v>25</v>
      </c>
      <c r="O314" t="s">
        <v>796</v>
      </c>
      <c r="P314" t="s">
        <v>168</v>
      </c>
      <c r="Q314" t="s">
        <v>88</v>
      </c>
      <c r="R314">
        <v>2012</v>
      </c>
      <c r="S314" t="s">
        <v>797</v>
      </c>
      <c r="T314">
        <f>IF(IPL_Matches_2008_2020___New[[#This Row],[Toss Winner]]=IPL_Matches_2008_2020___New[[#This Row],[Winner]],1,0)</f>
        <v>1</v>
      </c>
      <c r="U314" t="s">
        <v>801</v>
      </c>
    </row>
    <row r="315" spans="1:21" x14ac:dyDescent="0.3">
      <c r="A315" t="s">
        <v>1114</v>
      </c>
      <c r="B315" t="s">
        <v>64</v>
      </c>
      <c r="C315">
        <f>YEAR(IPL_Matches_2008_2020___New[[#This Row],[Date ]])</f>
        <v>2012</v>
      </c>
      <c r="D315" s="1">
        <v>41049</v>
      </c>
      <c r="E315" t="s">
        <v>298</v>
      </c>
      <c r="F315" t="s">
        <v>67</v>
      </c>
      <c r="G315" t="s">
        <v>56</v>
      </c>
      <c r="H315" t="s">
        <v>21</v>
      </c>
      <c r="I315" t="s">
        <v>21</v>
      </c>
      <c r="J315" t="s">
        <v>23</v>
      </c>
      <c r="K315" t="s">
        <v>56</v>
      </c>
      <c r="L315" t="s">
        <v>24</v>
      </c>
      <c r="M315">
        <v>9</v>
      </c>
      <c r="N315" t="s">
        <v>25</v>
      </c>
      <c r="O315" t="s">
        <v>796</v>
      </c>
      <c r="P315" t="s">
        <v>183</v>
      </c>
      <c r="Q315" t="s">
        <v>149</v>
      </c>
      <c r="R315">
        <v>2012</v>
      </c>
      <c r="S315" t="s">
        <v>797</v>
      </c>
      <c r="T315">
        <f>IF(IPL_Matches_2008_2020___New[[#This Row],[Toss Winner]]=IPL_Matches_2008_2020___New[[#This Row],[Winner]],1,0)</f>
        <v>0</v>
      </c>
      <c r="U315" t="s">
        <v>798</v>
      </c>
    </row>
    <row r="316" spans="1:21" x14ac:dyDescent="0.3">
      <c r="A316" t="s">
        <v>1115</v>
      </c>
      <c r="B316" t="s">
        <v>59</v>
      </c>
      <c r="C316">
        <f>YEAR(IPL_Matches_2008_2020___New[[#This Row],[Date ]])</f>
        <v>2012</v>
      </c>
      <c r="D316" s="1">
        <v>41049</v>
      </c>
      <c r="E316" t="s">
        <v>195</v>
      </c>
      <c r="F316" t="s">
        <v>62</v>
      </c>
      <c r="G316" t="s">
        <v>42</v>
      </c>
      <c r="H316" t="s">
        <v>50</v>
      </c>
      <c r="I316" t="s">
        <v>42</v>
      </c>
      <c r="J316" t="s">
        <v>35</v>
      </c>
      <c r="K316" t="s">
        <v>50</v>
      </c>
      <c r="L316" t="s">
        <v>43</v>
      </c>
      <c r="M316">
        <v>10</v>
      </c>
      <c r="N316" t="s">
        <v>25</v>
      </c>
      <c r="O316" t="s">
        <v>796</v>
      </c>
      <c r="P316" t="s">
        <v>165</v>
      </c>
      <c r="Q316" t="s">
        <v>387</v>
      </c>
      <c r="R316">
        <v>2012</v>
      </c>
      <c r="S316" t="s">
        <v>803</v>
      </c>
      <c r="T316">
        <f>IF(IPL_Matches_2008_2020___New[[#This Row],[Toss Winner]]=IPL_Matches_2008_2020___New[[#This Row],[Winner]],1,0)</f>
        <v>0</v>
      </c>
      <c r="U316" t="s">
        <v>798</v>
      </c>
    </row>
    <row r="317" spans="1:21" x14ac:dyDescent="0.3">
      <c r="A317" t="s">
        <v>1116</v>
      </c>
      <c r="B317" t="s">
        <v>355</v>
      </c>
      <c r="C317">
        <f>YEAR(IPL_Matches_2008_2020___New[[#This Row],[Date ]])</f>
        <v>2012</v>
      </c>
      <c r="D317" s="1">
        <v>41051</v>
      </c>
      <c r="E317" t="s">
        <v>75</v>
      </c>
      <c r="F317" t="s">
        <v>357</v>
      </c>
      <c r="G317" t="s">
        <v>692</v>
      </c>
      <c r="H317" t="s">
        <v>22</v>
      </c>
      <c r="I317" t="s">
        <v>22</v>
      </c>
      <c r="J317" t="s">
        <v>35</v>
      </c>
      <c r="K317" t="s">
        <v>22</v>
      </c>
      <c r="L317" t="s">
        <v>24</v>
      </c>
      <c r="M317">
        <v>18</v>
      </c>
      <c r="N317" t="s">
        <v>25</v>
      </c>
      <c r="O317" t="s">
        <v>796</v>
      </c>
      <c r="P317" t="s">
        <v>88</v>
      </c>
      <c r="Q317" t="s">
        <v>149</v>
      </c>
      <c r="R317">
        <v>2012</v>
      </c>
      <c r="S317" t="s">
        <v>797</v>
      </c>
      <c r="T317">
        <f>IF(IPL_Matches_2008_2020___New[[#This Row],[Toss Winner]]=IPL_Matches_2008_2020___New[[#This Row],[Winner]],1,0)</f>
        <v>1</v>
      </c>
      <c r="U317" t="s">
        <v>801</v>
      </c>
    </row>
    <row r="318" spans="1:21" x14ac:dyDescent="0.3">
      <c r="A318" t="s">
        <v>1117</v>
      </c>
      <c r="B318" t="s">
        <v>17</v>
      </c>
      <c r="C318">
        <f>YEAR(IPL_Matches_2008_2020___New[[#This Row],[Date ]])</f>
        <v>2012</v>
      </c>
      <c r="D318" s="1">
        <v>41052</v>
      </c>
      <c r="E318" t="s">
        <v>87</v>
      </c>
      <c r="F318" t="s">
        <v>795</v>
      </c>
      <c r="G318" t="s">
        <v>34</v>
      </c>
      <c r="H318" t="s">
        <v>50</v>
      </c>
      <c r="I318" t="s">
        <v>50</v>
      </c>
      <c r="J318" t="s">
        <v>23</v>
      </c>
      <c r="K318" t="s">
        <v>34</v>
      </c>
      <c r="L318" t="s">
        <v>24</v>
      </c>
      <c r="M318">
        <v>38</v>
      </c>
      <c r="N318" t="s">
        <v>25</v>
      </c>
      <c r="O318" t="s">
        <v>796</v>
      </c>
      <c r="P318" t="s">
        <v>57</v>
      </c>
      <c r="Q318" t="s">
        <v>165</v>
      </c>
      <c r="R318">
        <v>2012</v>
      </c>
      <c r="S318" t="s">
        <v>797</v>
      </c>
      <c r="T318">
        <f>IF(IPL_Matches_2008_2020___New[[#This Row],[Toss Winner]]=IPL_Matches_2008_2020___New[[#This Row],[Winner]],1,0)</f>
        <v>0</v>
      </c>
      <c r="U318" t="s">
        <v>798</v>
      </c>
    </row>
    <row r="319" spans="1:21" x14ac:dyDescent="0.3">
      <c r="A319" t="s">
        <v>1118</v>
      </c>
      <c r="B319" t="s">
        <v>70</v>
      </c>
      <c r="C319">
        <f>YEAR(IPL_Matches_2008_2020___New[[#This Row],[Date ]])</f>
        <v>2012</v>
      </c>
      <c r="D319" s="1">
        <v>41054</v>
      </c>
      <c r="E319" t="s">
        <v>255</v>
      </c>
      <c r="F319" t="s">
        <v>73</v>
      </c>
      <c r="G319" t="s">
        <v>692</v>
      </c>
      <c r="H319" t="s">
        <v>34</v>
      </c>
      <c r="I319" t="s">
        <v>692</v>
      </c>
      <c r="J319" t="s">
        <v>23</v>
      </c>
      <c r="K319" t="s">
        <v>34</v>
      </c>
      <c r="L319" t="s">
        <v>24</v>
      </c>
      <c r="M319">
        <v>86</v>
      </c>
      <c r="N319" t="s">
        <v>25</v>
      </c>
      <c r="O319" t="s">
        <v>796</v>
      </c>
      <c r="P319" t="s">
        <v>88</v>
      </c>
      <c r="Q319" t="s">
        <v>149</v>
      </c>
      <c r="R319">
        <v>2012</v>
      </c>
      <c r="S319" t="s">
        <v>797</v>
      </c>
      <c r="T319">
        <f>IF(IPL_Matches_2008_2020___New[[#This Row],[Toss Winner]]=IPL_Matches_2008_2020___New[[#This Row],[Winner]],1,0)</f>
        <v>0</v>
      </c>
      <c r="U319" t="s">
        <v>798</v>
      </c>
    </row>
    <row r="320" spans="1:21" x14ac:dyDescent="0.3">
      <c r="A320" t="s">
        <v>1119</v>
      </c>
      <c r="B320" t="s">
        <v>70</v>
      </c>
      <c r="C320">
        <f>YEAR(IPL_Matches_2008_2020___New[[#This Row],[Date ]])</f>
        <v>2012</v>
      </c>
      <c r="D320" s="1">
        <v>41056</v>
      </c>
      <c r="E320" t="s">
        <v>405</v>
      </c>
      <c r="F320" t="s">
        <v>73</v>
      </c>
      <c r="G320" t="s">
        <v>22</v>
      </c>
      <c r="H320" t="s">
        <v>34</v>
      </c>
      <c r="I320" t="s">
        <v>34</v>
      </c>
      <c r="J320" t="s">
        <v>35</v>
      </c>
      <c r="K320" t="s">
        <v>22</v>
      </c>
      <c r="L320" t="s">
        <v>43</v>
      </c>
      <c r="M320">
        <v>5</v>
      </c>
      <c r="N320" t="s">
        <v>25</v>
      </c>
      <c r="O320" t="s">
        <v>796</v>
      </c>
      <c r="P320" t="s">
        <v>57</v>
      </c>
      <c r="Q320" t="s">
        <v>149</v>
      </c>
      <c r="R320">
        <v>2012</v>
      </c>
      <c r="S320" t="s">
        <v>803</v>
      </c>
      <c r="T320">
        <f>IF(IPL_Matches_2008_2020___New[[#This Row],[Toss Winner]]=IPL_Matches_2008_2020___New[[#This Row],[Winner]],1,0)</f>
        <v>0</v>
      </c>
      <c r="U320" t="s">
        <v>798</v>
      </c>
    </row>
    <row r="321" spans="1:21" x14ac:dyDescent="0.3">
      <c r="A321" t="s">
        <v>1120</v>
      </c>
      <c r="B321" t="s">
        <v>53</v>
      </c>
      <c r="C321">
        <f>YEAR(IPL_Matches_2008_2020___New[[#This Row],[Date ]])</f>
        <v>2013</v>
      </c>
      <c r="D321" s="1">
        <v>41367</v>
      </c>
      <c r="E321" t="s">
        <v>368</v>
      </c>
      <c r="F321" t="s">
        <v>55</v>
      </c>
      <c r="G321" t="s">
        <v>22</v>
      </c>
      <c r="H321" t="s">
        <v>692</v>
      </c>
      <c r="I321" t="s">
        <v>22</v>
      </c>
      <c r="J321" t="s">
        <v>23</v>
      </c>
      <c r="K321" t="s">
        <v>22</v>
      </c>
      <c r="L321" t="s">
        <v>43</v>
      </c>
      <c r="M321">
        <v>6</v>
      </c>
      <c r="N321" t="s">
        <v>25</v>
      </c>
      <c r="O321" t="s">
        <v>796</v>
      </c>
      <c r="P321" t="s">
        <v>183</v>
      </c>
      <c r="Q321" t="s">
        <v>149</v>
      </c>
      <c r="R321">
        <v>2013</v>
      </c>
      <c r="S321" t="s">
        <v>803</v>
      </c>
      <c r="T321">
        <f>IF(IPL_Matches_2008_2020___New[[#This Row],[Toss Winner]]=IPL_Matches_2008_2020___New[[#This Row],[Winner]],1,0)</f>
        <v>1</v>
      </c>
      <c r="U321" t="s">
        <v>801</v>
      </c>
    </row>
    <row r="322" spans="1:21" x14ac:dyDescent="0.3">
      <c r="A322" t="s">
        <v>1121</v>
      </c>
      <c r="B322" t="s">
        <v>17</v>
      </c>
      <c r="C322">
        <f>YEAR(IPL_Matches_2008_2020___New[[#This Row],[Date ]])</f>
        <v>2013</v>
      </c>
      <c r="D322" s="1">
        <v>41368</v>
      </c>
      <c r="E322" t="s">
        <v>152</v>
      </c>
      <c r="F322" t="s">
        <v>795</v>
      </c>
      <c r="G322" t="s">
        <v>21</v>
      </c>
      <c r="H322" t="s">
        <v>50</v>
      </c>
      <c r="I322" t="s">
        <v>50</v>
      </c>
      <c r="J322" t="s">
        <v>23</v>
      </c>
      <c r="K322" t="s">
        <v>21</v>
      </c>
      <c r="L322" t="s">
        <v>24</v>
      </c>
      <c r="M322">
        <v>2</v>
      </c>
      <c r="N322" t="s">
        <v>25</v>
      </c>
      <c r="O322" t="s">
        <v>796</v>
      </c>
      <c r="P322" t="s">
        <v>354</v>
      </c>
      <c r="Q322" t="s">
        <v>387</v>
      </c>
      <c r="R322">
        <v>2013</v>
      </c>
      <c r="S322" t="s">
        <v>797</v>
      </c>
      <c r="T322">
        <f>IF(IPL_Matches_2008_2020___New[[#This Row],[Toss Winner]]=IPL_Matches_2008_2020___New[[#This Row],[Winner]],1,0)</f>
        <v>0</v>
      </c>
      <c r="U322" t="s">
        <v>798</v>
      </c>
    </row>
    <row r="323" spans="1:21" x14ac:dyDescent="0.3">
      <c r="A323" t="s">
        <v>1122</v>
      </c>
      <c r="B323" t="s">
        <v>64</v>
      </c>
      <c r="C323">
        <f>YEAR(IPL_Matches_2008_2020___New[[#This Row],[Date ]])</f>
        <v>2013</v>
      </c>
      <c r="D323" s="1">
        <v>41369</v>
      </c>
      <c r="E323" t="s">
        <v>111</v>
      </c>
      <c r="F323" t="s">
        <v>67</v>
      </c>
      <c r="G323" t="s">
        <v>406</v>
      </c>
      <c r="H323" t="s">
        <v>292</v>
      </c>
      <c r="I323" t="s">
        <v>292</v>
      </c>
      <c r="J323" t="s">
        <v>23</v>
      </c>
      <c r="K323" t="s">
        <v>406</v>
      </c>
      <c r="L323" t="s">
        <v>24</v>
      </c>
      <c r="M323">
        <v>22</v>
      </c>
      <c r="N323" t="s">
        <v>25</v>
      </c>
      <c r="O323" t="s">
        <v>796</v>
      </c>
      <c r="P323" t="s">
        <v>183</v>
      </c>
      <c r="Q323" t="s">
        <v>149</v>
      </c>
      <c r="R323">
        <v>2013</v>
      </c>
      <c r="S323" t="s">
        <v>797</v>
      </c>
      <c r="T323">
        <f>IF(IPL_Matches_2008_2020___New[[#This Row],[Toss Winner]]=IPL_Matches_2008_2020___New[[#This Row],[Winner]],1,0)</f>
        <v>0</v>
      </c>
      <c r="U323" t="s">
        <v>798</v>
      </c>
    </row>
    <row r="324" spans="1:21" x14ac:dyDescent="0.3">
      <c r="A324" t="s">
        <v>1123</v>
      </c>
      <c r="B324" t="s">
        <v>38</v>
      </c>
      <c r="C324">
        <f>YEAR(IPL_Matches_2008_2020___New[[#This Row],[Date ]])</f>
        <v>2013</v>
      </c>
      <c r="D324" s="1">
        <v>41370</v>
      </c>
      <c r="E324" t="s">
        <v>140</v>
      </c>
      <c r="F324" t="s">
        <v>40</v>
      </c>
      <c r="G324" t="s">
        <v>692</v>
      </c>
      <c r="H324" t="s">
        <v>42</v>
      </c>
      <c r="I324" t="s">
        <v>42</v>
      </c>
      <c r="J324" t="s">
        <v>35</v>
      </c>
      <c r="K324" t="s">
        <v>42</v>
      </c>
      <c r="L324" t="s">
        <v>24</v>
      </c>
      <c r="M324">
        <v>5</v>
      </c>
      <c r="N324" t="s">
        <v>25</v>
      </c>
      <c r="O324" t="s">
        <v>796</v>
      </c>
      <c r="P324" t="s">
        <v>228</v>
      </c>
      <c r="Q324" t="s">
        <v>387</v>
      </c>
      <c r="R324">
        <v>2013</v>
      </c>
      <c r="S324" t="s">
        <v>797</v>
      </c>
      <c r="T324">
        <f>IF(IPL_Matches_2008_2020___New[[#This Row],[Toss Winner]]=IPL_Matches_2008_2020___New[[#This Row],[Winner]],1,0)</f>
        <v>1</v>
      </c>
      <c r="U324" t="s">
        <v>801</v>
      </c>
    </row>
    <row r="325" spans="1:21" x14ac:dyDescent="0.3">
      <c r="A325" t="s">
        <v>1124</v>
      </c>
      <c r="B325" t="s">
        <v>70</v>
      </c>
      <c r="C325">
        <f>YEAR(IPL_Matches_2008_2020___New[[#This Row],[Date ]])</f>
        <v>2013</v>
      </c>
      <c r="D325" s="1">
        <v>41370</v>
      </c>
      <c r="E325" t="s">
        <v>267</v>
      </c>
      <c r="F325" t="s">
        <v>73</v>
      </c>
      <c r="G325" t="s">
        <v>34</v>
      </c>
      <c r="H325" t="s">
        <v>50</v>
      </c>
      <c r="I325" t="s">
        <v>50</v>
      </c>
      <c r="J325" t="s">
        <v>35</v>
      </c>
      <c r="K325" t="s">
        <v>50</v>
      </c>
      <c r="L325" t="s">
        <v>24</v>
      </c>
      <c r="M325">
        <v>9</v>
      </c>
      <c r="N325" t="s">
        <v>25</v>
      </c>
      <c r="O325" t="s">
        <v>796</v>
      </c>
      <c r="P325" t="s">
        <v>155</v>
      </c>
      <c r="Q325" t="s">
        <v>354</v>
      </c>
      <c r="R325">
        <v>2013</v>
      </c>
      <c r="S325" t="s">
        <v>797</v>
      </c>
      <c r="T325">
        <f>IF(IPL_Matches_2008_2020___New[[#This Row],[Toss Winner]]=IPL_Matches_2008_2020___New[[#This Row],[Winner]],1,0)</f>
        <v>1</v>
      </c>
      <c r="U325" t="s">
        <v>801</v>
      </c>
    </row>
    <row r="326" spans="1:21" x14ac:dyDescent="0.3">
      <c r="A326" t="s">
        <v>1125</v>
      </c>
      <c r="B326" t="s">
        <v>355</v>
      </c>
      <c r="C326">
        <f>YEAR(IPL_Matches_2008_2020___New[[#This Row],[Date ]])</f>
        <v>2013</v>
      </c>
      <c r="D326" s="1">
        <v>41371</v>
      </c>
      <c r="E326" t="s">
        <v>407</v>
      </c>
      <c r="F326" t="s">
        <v>357</v>
      </c>
      <c r="G326" t="s">
        <v>292</v>
      </c>
      <c r="H326" t="s">
        <v>800</v>
      </c>
      <c r="I326" t="s">
        <v>292</v>
      </c>
      <c r="J326" t="s">
        <v>35</v>
      </c>
      <c r="K326" t="s">
        <v>800</v>
      </c>
      <c r="L326" t="s">
        <v>43</v>
      </c>
      <c r="M326">
        <v>8</v>
      </c>
      <c r="N326" t="s">
        <v>25</v>
      </c>
      <c r="O326" t="s">
        <v>796</v>
      </c>
      <c r="P326" t="s">
        <v>168</v>
      </c>
      <c r="Q326" t="s">
        <v>149</v>
      </c>
      <c r="R326">
        <v>2013</v>
      </c>
      <c r="S326" t="s">
        <v>803</v>
      </c>
      <c r="T326">
        <f>IF(IPL_Matches_2008_2020___New[[#This Row],[Toss Winner]]=IPL_Matches_2008_2020___New[[#This Row],[Winner]],1,0)</f>
        <v>0</v>
      </c>
      <c r="U326" t="s">
        <v>798</v>
      </c>
    </row>
    <row r="327" spans="1:21" x14ac:dyDescent="0.3">
      <c r="A327" t="s">
        <v>1126</v>
      </c>
      <c r="B327" t="s">
        <v>59</v>
      </c>
      <c r="C327">
        <f>YEAR(IPL_Matches_2008_2020___New[[#This Row],[Date ]])</f>
        <v>2013</v>
      </c>
      <c r="D327" s="1">
        <v>41372</v>
      </c>
      <c r="E327" t="s">
        <v>287</v>
      </c>
      <c r="F327" t="s">
        <v>62</v>
      </c>
      <c r="G327" t="s">
        <v>42</v>
      </c>
      <c r="H327" t="s">
        <v>22</v>
      </c>
      <c r="I327" t="s">
        <v>22</v>
      </c>
      <c r="J327" t="s">
        <v>23</v>
      </c>
      <c r="K327" t="s">
        <v>42</v>
      </c>
      <c r="L327" t="s">
        <v>24</v>
      </c>
      <c r="M327">
        <v>19</v>
      </c>
      <c r="N327" t="s">
        <v>25</v>
      </c>
      <c r="O327" t="s">
        <v>796</v>
      </c>
      <c r="P327" t="s">
        <v>44</v>
      </c>
      <c r="Q327" t="s">
        <v>228</v>
      </c>
      <c r="R327">
        <v>2013</v>
      </c>
      <c r="S327" t="s">
        <v>797</v>
      </c>
      <c r="T327">
        <f>IF(IPL_Matches_2008_2020___New[[#This Row],[Toss Winner]]=IPL_Matches_2008_2020___New[[#This Row],[Winner]],1,0)</f>
        <v>0</v>
      </c>
      <c r="U327" t="s">
        <v>798</v>
      </c>
    </row>
    <row r="328" spans="1:21" x14ac:dyDescent="0.3">
      <c r="A328" t="s">
        <v>1127</v>
      </c>
      <c r="B328" t="s">
        <v>46</v>
      </c>
      <c r="C328">
        <f>YEAR(IPL_Matches_2008_2020___New[[#This Row],[Date ]])</f>
        <v>2013</v>
      </c>
      <c r="D328" s="1">
        <v>41373</v>
      </c>
      <c r="E328" t="s">
        <v>127</v>
      </c>
      <c r="F328" t="s">
        <v>49</v>
      </c>
      <c r="G328" t="s">
        <v>50</v>
      </c>
      <c r="H328" t="s">
        <v>692</v>
      </c>
      <c r="I328" t="s">
        <v>50</v>
      </c>
      <c r="J328" t="s">
        <v>35</v>
      </c>
      <c r="K328" t="s">
        <v>50</v>
      </c>
      <c r="L328" t="s">
        <v>24</v>
      </c>
      <c r="M328">
        <v>44</v>
      </c>
      <c r="N328" t="s">
        <v>25</v>
      </c>
      <c r="O328" t="s">
        <v>796</v>
      </c>
      <c r="P328" t="s">
        <v>155</v>
      </c>
      <c r="Q328" t="s">
        <v>354</v>
      </c>
      <c r="R328">
        <v>2013</v>
      </c>
      <c r="S328" t="s">
        <v>797</v>
      </c>
      <c r="T328">
        <f>IF(IPL_Matches_2008_2020___New[[#This Row],[Toss Winner]]=IPL_Matches_2008_2020___New[[#This Row],[Winner]],1,0)</f>
        <v>1</v>
      </c>
      <c r="U328" t="s">
        <v>801</v>
      </c>
    </row>
    <row r="329" spans="1:21" x14ac:dyDescent="0.3">
      <c r="A329" t="s">
        <v>1128</v>
      </c>
      <c r="B329" t="s">
        <v>29</v>
      </c>
      <c r="C329">
        <f>YEAR(IPL_Matches_2008_2020___New[[#This Row],[Date ]])</f>
        <v>2013</v>
      </c>
      <c r="D329" s="1">
        <v>41374</v>
      </c>
      <c r="E329" t="s">
        <v>31</v>
      </c>
      <c r="F329" t="s">
        <v>32</v>
      </c>
      <c r="G329" t="s">
        <v>800</v>
      </c>
      <c r="H329" t="s">
        <v>34</v>
      </c>
      <c r="I329" t="s">
        <v>34</v>
      </c>
      <c r="J329" t="s">
        <v>23</v>
      </c>
      <c r="K329" t="s">
        <v>34</v>
      </c>
      <c r="L329" t="s">
        <v>43</v>
      </c>
      <c r="M329">
        <v>10</v>
      </c>
      <c r="N329" t="s">
        <v>25</v>
      </c>
      <c r="O329" t="s">
        <v>796</v>
      </c>
      <c r="P329" t="s">
        <v>44</v>
      </c>
      <c r="Q329" t="s">
        <v>387</v>
      </c>
      <c r="R329">
        <v>2013</v>
      </c>
      <c r="S329" t="s">
        <v>803</v>
      </c>
      <c r="T329">
        <f>IF(IPL_Matches_2008_2020___New[[#This Row],[Toss Winner]]=IPL_Matches_2008_2020___New[[#This Row],[Winner]],1,0)</f>
        <v>1</v>
      </c>
      <c r="U329" t="s">
        <v>801</v>
      </c>
    </row>
    <row r="330" spans="1:21" x14ac:dyDescent="0.3">
      <c r="A330" t="s">
        <v>1129</v>
      </c>
      <c r="B330" t="s">
        <v>17</v>
      </c>
      <c r="C330">
        <f>YEAR(IPL_Matches_2008_2020___New[[#This Row],[Date ]])</f>
        <v>2013</v>
      </c>
      <c r="D330" s="1">
        <v>41375</v>
      </c>
      <c r="E330" t="s">
        <v>152</v>
      </c>
      <c r="F330" t="s">
        <v>795</v>
      </c>
      <c r="G330" t="s">
        <v>21</v>
      </c>
      <c r="H330" t="s">
        <v>22</v>
      </c>
      <c r="I330" t="s">
        <v>21</v>
      </c>
      <c r="J330" t="s">
        <v>23</v>
      </c>
      <c r="K330" t="s">
        <v>21</v>
      </c>
      <c r="L330" t="s">
        <v>43</v>
      </c>
      <c r="M330">
        <v>8</v>
      </c>
      <c r="N330" t="s">
        <v>25</v>
      </c>
      <c r="O330" t="s">
        <v>796</v>
      </c>
      <c r="P330" t="s">
        <v>27</v>
      </c>
      <c r="Q330" t="s">
        <v>349</v>
      </c>
      <c r="R330">
        <v>2013</v>
      </c>
      <c r="S330" t="s">
        <v>803</v>
      </c>
      <c r="T330">
        <f>IF(IPL_Matches_2008_2020___New[[#This Row],[Toss Winner]]=IPL_Matches_2008_2020___New[[#This Row],[Winner]],1,0)</f>
        <v>1</v>
      </c>
      <c r="U330" t="s">
        <v>801</v>
      </c>
    </row>
    <row r="331" spans="1:21" x14ac:dyDescent="0.3">
      <c r="A331" t="s">
        <v>1130</v>
      </c>
      <c r="B331" t="s">
        <v>355</v>
      </c>
      <c r="C331">
        <f>YEAR(IPL_Matches_2008_2020___New[[#This Row],[Date ]])</f>
        <v>2013</v>
      </c>
      <c r="D331" s="1">
        <v>41375</v>
      </c>
      <c r="E331" t="s">
        <v>409</v>
      </c>
      <c r="F331" t="s">
        <v>357</v>
      </c>
      <c r="G331" t="s">
        <v>292</v>
      </c>
      <c r="H331" t="s">
        <v>42</v>
      </c>
      <c r="I331" t="s">
        <v>42</v>
      </c>
      <c r="J331" t="s">
        <v>35</v>
      </c>
      <c r="K331" t="s">
        <v>292</v>
      </c>
      <c r="L331" t="s">
        <v>43</v>
      </c>
      <c r="M331">
        <v>7</v>
      </c>
      <c r="N331" t="s">
        <v>25</v>
      </c>
      <c r="O331" t="s">
        <v>796</v>
      </c>
      <c r="P331" t="s">
        <v>155</v>
      </c>
      <c r="Q331" t="s">
        <v>410</v>
      </c>
      <c r="R331">
        <v>2013</v>
      </c>
      <c r="S331" t="s">
        <v>803</v>
      </c>
      <c r="T331">
        <f>IF(IPL_Matches_2008_2020___New[[#This Row],[Toss Winner]]=IPL_Matches_2008_2020___New[[#This Row],[Winner]],1,0)</f>
        <v>0</v>
      </c>
      <c r="U331" t="s">
        <v>798</v>
      </c>
    </row>
    <row r="332" spans="1:21" x14ac:dyDescent="0.3">
      <c r="A332" t="s">
        <v>1131</v>
      </c>
      <c r="B332" t="s">
        <v>38</v>
      </c>
      <c r="C332">
        <f>YEAR(IPL_Matches_2008_2020___New[[#This Row],[Date ]])</f>
        <v>2013</v>
      </c>
      <c r="D332" s="1">
        <v>41376</v>
      </c>
      <c r="E332" t="s">
        <v>111</v>
      </c>
      <c r="F332" t="s">
        <v>40</v>
      </c>
      <c r="G332" t="s">
        <v>692</v>
      </c>
      <c r="H332" t="s">
        <v>406</v>
      </c>
      <c r="I332" t="s">
        <v>692</v>
      </c>
      <c r="J332" t="s">
        <v>35</v>
      </c>
      <c r="K332" t="s">
        <v>406</v>
      </c>
      <c r="L332" t="s">
        <v>43</v>
      </c>
      <c r="M332">
        <v>3</v>
      </c>
      <c r="N332" t="s">
        <v>25</v>
      </c>
      <c r="O332" t="s">
        <v>796</v>
      </c>
      <c r="P332" t="s">
        <v>44</v>
      </c>
      <c r="Q332" t="s">
        <v>411</v>
      </c>
      <c r="R332">
        <v>2013</v>
      </c>
      <c r="S332" t="s">
        <v>803</v>
      </c>
      <c r="T332">
        <f>IF(IPL_Matches_2008_2020___New[[#This Row],[Toss Winner]]=IPL_Matches_2008_2020___New[[#This Row],[Winner]],1,0)</f>
        <v>0</v>
      </c>
      <c r="U332" t="s">
        <v>798</v>
      </c>
    </row>
    <row r="333" spans="1:21" x14ac:dyDescent="0.3">
      <c r="A333" t="s">
        <v>1132</v>
      </c>
      <c r="B333" t="s">
        <v>46</v>
      </c>
      <c r="C333">
        <f>YEAR(IPL_Matches_2008_2020___New[[#This Row],[Date ]])</f>
        <v>2013</v>
      </c>
      <c r="D333" s="1">
        <v>41377</v>
      </c>
      <c r="E333" t="s">
        <v>190</v>
      </c>
      <c r="F333" t="s">
        <v>49</v>
      </c>
      <c r="G333" t="s">
        <v>50</v>
      </c>
      <c r="H333" t="s">
        <v>292</v>
      </c>
      <c r="I333" t="s">
        <v>50</v>
      </c>
      <c r="J333" t="s">
        <v>35</v>
      </c>
      <c r="K333" t="s">
        <v>50</v>
      </c>
      <c r="L333" t="s">
        <v>24</v>
      </c>
      <c r="M333">
        <v>41</v>
      </c>
      <c r="N333" t="s">
        <v>25</v>
      </c>
      <c r="O333" t="s">
        <v>796</v>
      </c>
      <c r="P333" t="s">
        <v>183</v>
      </c>
      <c r="Q333" t="s">
        <v>149</v>
      </c>
      <c r="R333">
        <v>2013</v>
      </c>
      <c r="S333" t="s">
        <v>797</v>
      </c>
      <c r="T333">
        <f>IF(IPL_Matches_2008_2020___New[[#This Row],[Toss Winner]]=IPL_Matches_2008_2020___New[[#This Row],[Winner]],1,0)</f>
        <v>1</v>
      </c>
      <c r="U333" t="s">
        <v>801</v>
      </c>
    </row>
    <row r="334" spans="1:21" x14ac:dyDescent="0.3">
      <c r="A334" t="s">
        <v>1133</v>
      </c>
      <c r="B334" t="s">
        <v>70</v>
      </c>
      <c r="C334">
        <f>YEAR(IPL_Matches_2008_2020___New[[#This Row],[Date ]])</f>
        <v>2013</v>
      </c>
      <c r="D334" s="1">
        <v>41377</v>
      </c>
      <c r="E334" t="s">
        <v>352</v>
      </c>
      <c r="F334" t="s">
        <v>73</v>
      </c>
      <c r="G334" t="s">
        <v>34</v>
      </c>
      <c r="H334" t="s">
        <v>21</v>
      </c>
      <c r="I334" t="s">
        <v>34</v>
      </c>
      <c r="J334" t="s">
        <v>23</v>
      </c>
      <c r="K334" t="s">
        <v>34</v>
      </c>
      <c r="L334" t="s">
        <v>43</v>
      </c>
      <c r="M334">
        <v>4</v>
      </c>
      <c r="N334" t="s">
        <v>25</v>
      </c>
      <c r="O334" t="s">
        <v>796</v>
      </c>
      <c r="P334" t="s">
        <v>27</v>
      </c>
      <c r="Q334" t="s">
        <v>349</v>
      </c>
      <c r="R334">
        <v>2013</v>
      </c>
      <c r="S334" t="s">
        <v>803</v>
      </c>
      <c r="T334">
        <f>IF(IPL_Matches_2008_2020___New[[#This Row],[Toss Winner]]=IPL_Matches_2008_2020___New[[#This Row],[Winner]],1,0)</f>
        <v>1</v>
      </c>
      <c r="U334" t="s">
        <v>801</v>
      </c>
    </row>
    <row r="335" spans="1:21" x14ac:dyDescent="0.3">
      <c r="A335" t="s">
        <v>1134</v>
      </c>
      <c r="B335" t="s">
        <v>53</v>
      </c>
      <c r="C335">
        <f>YEAR(IPL_Matches_2008_2020___New[[#This Row],[Date ]])</f>
        <v>2013</v>
      </c>
      <c r="D335" s="1">
        <v>41378</v>
      </c>
      <c r="E335" t="s">
        <v>189</v>
      </c>
      <c r="F335" t="s">
        <v>55</v>
      </c>
      <c r="G335" t="s">
        <v>22</v>
      </c>
      <c r="H335" t="s">
        <v>406</v>
      </c>
      <c r="I335" t="s">
        <v>22</v>
      </c>
      <c r="J335" t="s">
        <v>35</v>
      </c>
      <c r="K335" t="s">
        <v>22</v>
      </c>
      <c r="L335" t="s">
        <v>24</v>
      </c>
      <c r="M335">
        <v>48</v>
      </c>
      <c r="N335" t="s">
        <v>25</v>
      </c>
      <c r="O335" t="s">
        <v>796</v>
      </c>
      <c r="P335" t="s">
        <v>155</v>
      </c>
      <c r="Q335" t="s">
        <v>354</v>
      </c>
      <c r="R335">
        <v>2013</v>
      </c>
      <c r="S335" t="s">
        <v>797</v>
      </c>
      <c r="T335">
        <f>IF(IPL_Matches_2008_2020___New[[#This Row],[Toss Winner]]=IPL_Matches_2008_2020___New[[#This Row],[Winner]],1,0)</f>
        <v>1</v>
      </c>
      <c r="U335" t="s">
        <v>801</v>
      </c>
    </row>
    <row r="336" spans="1:21" x14ac:dyDescent="0.3">
      <c r="A336" t="s">
        <v>1135</v>
      </c>
      <c r="B336" t="s">
        <v>59</v>
      </c>
      <c r="C336">
        <f>YEAR(IPL_Matches_2008_2020___New[[#This Row],[Date ]])</f>
        <v>2013</v>
      </c>
      <c r="D336" s="1">
        <v>41378</v>
      </c>
      <c r="E336" t="s">
        <v>414</v>
      </c>
      <c r="F336" t="s">
        <v>62</v>
      </c>
      <c r="G336" t="s">
        <v>42</v>
      </c>
      <c r="H336" t="s">
        <v>800</v>
      </c>
      <c r="I336" t="s">
        <v>42</v>
      </c>
      <c r="J336" t="s">
        <v>23</v>
      </c>
      <c r="K336" t="s">
        <v>42</v>
      </c>
      <c r="L336" t="s">
        <v>43</v>
      </c>
      <c r="M336">
        <v>6</v>
      </c>
      <c r="N336" t="s">
        <v>25</v>
      </c>
      <c r="O336" t="s">
        <v>796</v>
      </c>
      <c r="P336" t="s">
        <v>44</v>
      </c>
      <c r="Q336" t="s">
        <v>387</v>
      </c>
      <c r="R336">
        <v>2013</v>
      </c>
      <c r="S336" t="s">
        <v>803</v>
      </c>
      <c r="T336">
        <f>IF(IPL_Matches_2008_2020___New[[#This Row],[Toss Winner]]=IPL_Matches_2008_2020___New[[#This Row],[Winner]],1,0)</f>
        <v>1</v>
      </c>
      <c r="U336" t="s">
        <v>801</v>
      </c>
    </row>
    <row r="337" spans="1:21" x14ac:dyDescent="0.3">
      <c r="A337" t="s">
        <v>1136</v>
      </c>
      <c r="B337" t="s">
        <v>70</v>
      </c>
      <c r="C337">
        <f>YEAR(IPL_Matches_2008_2020___New[[#This Row],[Date ]])</f>
        <v>2013</v>
      </c>
      <c r="D337" s="1">
        <v>41379</v>
      </c>
      <c r="E337" t="s">
        <v>348</v>
      </c>
      <c r="F337" t="s">
        <v>73</v>
      </c>
      <c r="G337" t="s">
        <v>34</v>
      </c>
      <c r="H337" t="s">
        <v>292</v>
      </c>
      <c r="I337" t="s">
        <v>292</v>
      </c>
      <c r="J337" t="s">
        <v>35</v>
      </c>
      <c r="K337" t="s">
        <v>292</v>
      </c>
      <c r="L337" t="s">
        <v>24</v>
      </c>
      <c r="M337">
        <v>24</v>
      </c>
      <c r="N337" t="s">
        <v>25</v>
      </c>
      <c r="O337" t="s">
        <v>796</v>
      </c>
      <c r="P337" t="s">
        <v>27</v>
      </c>
      <c r="Q337" t="s">
        <v>349</v>
      </c>
      <c r="R337">
        <v>2013</v>
      </c>
      <c r="S337" t="s">
        <v>797</v>
      </c>
      <c r="T337">
        <f>IF(IPL_Matches_2008_2020___New[[#This Row],[Toss Winner]]=IPL_Matches_2008_2020___New[[#This Row],[Winner]],1,0)</f>
        <v>1</v>
      </c>
      <c r="U337" t="s">
        <v>801</v>
      </c>
    </row>
    <row r="338" spans="1:21" x14ac:dyDescent="0.3">
      <c r="A338" t="s">
        <v>1137</v>
      </c>
      <c r="B338" t="s">
        <v>29</v>
      </c>
      <c r="C338">
        <f>YEAR(IPL_Matches_2008_2020___New[[#This Row],[Date ]])</f>
        <v>2013</v>
      </c>
      <c r="D338" s="1">
        <v>41380</v>
      </c>
      <c r="E338" t="s">
        <v>417</v>
      </c>
      <c r="F338" t="s">
        <v>32</v>
      </c>
      <c r="G338" t="s">
        <v>800</v>
      </c>
      <c r="H338" t="s">
        <v>22</v>
      </c>
      <c r="I338" t="s">
        <v>22</v>
      </c>
      <c r="J338" t="s">
        <v>23</v>
      </c>
      <c r="K338" t="s">
        <v>800</v>
      </c>
      <c r="L338" t="s">
        <v>24</v>
      </c>
      <c r="M338">
        <v>4</v>
      </c>
      <c r="N338" t="s">
        <v>25</v>
      </c>
      <c r="O338" t="s">
        <v>796</v>
      </c>
      <c r="P338" t="s">
        <v>418</v>
      </c>
      <c r="Q338" t="s">
        <v>149</v>
      </c>
      <c r="R338">
        <v>2013</v>
      </c>
      <c r="S338" t="s">
        <v>797</v>
      </c>
      <c r="T338">
        <f>IF(IPL_Matches_2008_2020___New[[#This Row],[Toss Winner]]=IPL_Matches_2008_2020___New[[#This Row],[Winner]],1,0)</f>
        <v>0</v>
      </c>
      <c r="U338" t="s">
        <v>798</v>
      </c>
    </row>
    <row r="339" spans="1:21" x14ac:dyDescent="0.3">
      <c r="A339" t="s">
        <v>1138</v>
      </c>
      <c r="B339" t="s">
        <v>355</v>
      </c>
      <c r="C339">
        <f>YEAR(IPL_Matches_2008_2020___New[[#This Row],[Date ]])</f>
        <v>2013</v>
      </c>
      <c r="D339" s="1">
        <v>41381</v>
      </c>
      <c r="E339" t="s">
        <v>111</v>
      </c>
      <c r="F339" t="s">
        <v>357</v>
      </c>
      <c r="G339" t="s">
        <v>292</v>
      </c>
      <c r="H339" t="s">
        <v>406</v>
      </c>
      <c r="I339" t="s">
        <v>292</v>
      </c>
      <c r="J339" t="s">
        <v>23</v>
      </c>
      <c r="K339" t="s">
        <v>406</v>
      </c>
      <c r="L339" t="s">
        <v>24</v>
      </c>
      <c r="M339">
        <v>11</v>
      </c>
      <c r="N339" t="s">
        <v>25</v>
      </c>
      <c r="O339" t="s">
        <v>796</v>
      </c>
      <c r="P339" t="s">
        <v>27</v>
      </c>
      <c r="Q339" t="s">
        <v>349</v>
      </c>
      <c r="R339">
        <v>2013</v>
      </c>
      <c r="S339" t="s">
        <v>797</v>
      </c>
      <c r="T339">
        <f>IF(IPL_Matches_2008_2020___New[[#This Row],[Toss Winner]]=IPL_Matches_2008_2020___New[[#This Row],[Winner]],1,0)</f>
        <v>0</v>
      </c>
      <c r="U339" t="s">
        <v>798</v>
      </c>
    </row>
    <row r="340" spans="1:21" x14ac:dyDescent="0.3">
      <c r="A340" t="s">
        <v>1139</v>
      </c>
      <c r="B340" t="s">
        <v>59</v>
      </c>
      <c r="C340">
        <f>YEAR(IPL_Matches_2008_2020___New[[#This Row],[Date ]])</f>
        <v>2013</v>
      </c>
      <c r="D340" s="1">
        <v>41381</v>
      </c>
      <c r="E340" t="s">
        <v>350</v>
      </c>
      <c r="F340" t="s">
        <v>62</v>
      </c>
      <c r="G340" t="s">
        <v>42</v>
      </c>
      <c r="H340" t="s">
        <v>50</v>
      </c>
      <c r="I340" t="s">
        <v>42</v>
      </c>
      <c r="J340" t="s">
        <v>35</v>
      </c>
      <c r="K340" t="s">
        <v>42</v>
      </c>
      <c r="L340" t="s">
        <v>24</v>
      </c>
      <c r="M340">
        <v>87</v>
      </c>
      <c r="N340" t="s">
        <v>25</v>
      </c>
      <c r="O340" t="s">
        <v>796</v>
      </c>
      <c r="P340" t="s">
        <v>44</v>
      </c>
      <c r="Q340" t="s">
        <v>387</v>
      </c>
      <c r="R340">
        <v>2013</v>
      </c>
      <c r="S340" t="s">
        <v>797</v>
      </c>
      <c r="T340">
        <f>IF(IPL_Matches_2008_2020___New[[#This Row],[Toss Winner]]=IPL_Matches_2008_2020___New[[#This Row],[Winner]],1,0)</f>
        <v>1</v>
      </c>
      <c r="U340" t="s">
        <v>801</v>
      </c>
    </row>
    <row r="341" spans="1:21" x14ac:dyDescent="0.3">
      <c r="A341" t="s">
        <v>1140</v>
      </c>
      <c r="B341" t="s">
        <v>38</v>
      </c>
      <c r="C341">
        <f>YEAR(IPL_Matches_2008_2020___New[[#This Row],[Date ]])</f>
        <v>2013</v>
      </c>
      <c r="D341" s="1">
        <v>41382</v>
      </c>
      <c r="E341" t="s">
        <v>31</v>
      </c>
      <c r="F341" t="s">
        <v>40</v>
      </c>
      <c r="G341" t="s">
        <v>692</v>
      </c>
      <c r="H341" t="s">
        <v>34</v>
      </c>
      <c r="I341" t="s">
        <v>34</v>
      </c>
      <c r="J341" t="s">
        <v>35</v>
      </c>
      <c r="K341" t="s">
        <v>34</v>
      </c>
      <c r="L341" t="s">
        <v>24</v>
      </c>
      <c r="M341">
        <v>86</v>
      </c>
      <c r="N341" t="s">
        <v>25</v>
      </c>
      <c r="O341" t="s">
        <v>796</v>
      </c>
      <c r="P341" t="s">
        <v>155</v>
      </c>
      <c r="Q341" t="s">
        <v>354</v>
      </c>
      <c r="R341">
        <v>2013</v>
      </c>
      <c r="S341" t="s">
        <v>797</v>
      </c>
      <c r="T341">
        <f>IF(IPL_Matches_2008_2020___New[[#This Row],[Toss Winner]]=IPL_Matches_2008_2020___New[[#This Row],[Winner]],1,0)</f>
        <v>1</v>
      </c>
      <c r="U341" t="s">
        <v>801</v>
      </c>
    </row>
    <row r="342" spans="1:21" x14ac:dyDescent="0.3">
      <c r="A342" t="s">
        <v>1141</v>
      </c>
      <c r="B342" t="s">
        <v>64</v>
      </c>
      <c r="C342">
        <f>YEAR(IPL_Matches_2008_2020___New[[#This Row],[Date ]])</f>
        <v>2013</v>
      </c>
      <c r="D342" s="1">
        <v>41383</v>
      </c>
      <c r="E342" t="s">
        <v>408</v>
      </c>
      <c r="F342" t="s">
        <v>67</v>
      </c>
      <c r="G342" t="s">
        <v>406</v>
      </c>
      <c r="H342" t="s">
        <v>800</v>
      </c>
      <c r="I342" t="s">
        <v>800</v>
      </c>
      <c r="J342" t="s">
        <v>35</v>
      </c>
      <c r="K342" t="s">
        <v>406</v>
      </c>
      <c r="L342" t="s">
        <v>43</v>
      </c>
      <c r="M342">
        <v>5</v>
      </c>
      <c r="N342" t="s">
        <v>25</v>
      </c>
      <c r="O342" t="s">
        <v>796</v>
      </c>
      <c r="P342" t="s">
        <v>165</v>
      </c>
      <c r="Q342" t="s">
        <v>418</v>
      </c>
      <c r="R342">
        <v>2013</v>
      </c>
      <c r="S342" t="s">
        <v>803</v>
      </c>
      <c r="T342">
        <f>IF(IPL_Matches_2008_2020___New[[#This Row],[Toss Winner]]=IPL_Matches_2008_2020___New[[#This Row],[Winner]],1,0)</f>
        <v>0</v>
      </c>
      <c r="U342" t="s">
        <v>798</v>
      </c>
    </row>
    <row r="343" spans="1:21" x14ac:dyDescent="0.3">
      <c r="A343" t="s">
        <v>1142</v>
      </c>
      <c r="B343" t="s">
        <v>53</v>
      </c>
      <c r="C343">
        <f>YEAR(IPL_Matches_2008_2020___New[[#This Row],[Date ]])</f>
        <v>2013</v>
      </c>
      <c r="D343" s="1">
        <v>41384</v>
      </c>
      <c r="E343" t="s">
        <v>352</v>
      </c>
      <c r="F343" t="s">
        <v>55</v>
      </c>
      <c r="G343" t="s">
        <v>22</v>
      </c>
      <c r="H343" t="s">
        <v>34</v>
      </c>
      <c r="I343" t="s">
        <v>22</v>
      </c>
      <c r="J343" t="s">
        <v>35</v>
      </c>
      <c r="K343" t="s">
        <v>34</v>
      </c>
      <c r="L343" t="s">
        <v>43</v>
      </c>
      <c r="M343">
        <v>4</v>
      </c>
      <c r="N343" t="s">
        <v>25</v>
      </c>
      <c r="O343" t="s">
        <v>796</v>
      </c>
      <c r="P343" t="s">
        <v>27</v>
      </c>
      <c r="Q343" t="s">
        <v>349</v>
      </c>
      <c r="R343">
        <v>2013</v>
      </c>
      <c r="S343" t="s">
        <v>803</v>
      </c>
      <c r="T343">
        <f>IF(IPL_Matches_2008_2020___New[[#This Row],[Toss Winner]]=IPL_Matches_2008_2020___New[[#This Row],[Winner]],1,0)</f>
        <v>0</v>
      </c>
      <c r="U343" t="s">
        <v>798</v>
      </c>
    </row>
    <row r="344" spans="1:21" x14ac:dyDescent="0.3">
      <c r="A344" t="s">
        <v>1143</v>
      </c>
      <c r="B344" t="s">
        <v>17</v>
      </c>
      <c r="C344">
        <f>YEAR(IPL_Matches_2008_2020___New[[#This Row],[Date ]])</f>
        <v>2013</v>
      </c>
      <c r="D344" s="1">
        <v>41384</v>
      </c>
      <c r="E344" t="s">
        <v>96</v>
      </c>
      <c r="F344" t="s">
        <v>795</v>
      </c>
      <c r="G344" t="s">
        <v>21</v>
      </c>
      <c r="H344" t="s">
        <v>42</v>
      </c>
      <c r="I344" t="s">
        <v>21</v>
      </c>
      <c r="J344" t="s">
        <v>23</v>
      </c>
      <c r="K344" t="s">
        <v>21</v>
      </c>
      <c r="L344" t="s">
        <v>43</v>
      </c>
      <c r="M344">
        <v>7</v>
      </c>
      <c r="N344" t="s">
        <v>25</v>
      </c>
      <c r="O344" t="s">
        <v>796</v>
      </c>
      <c r="P344" t="s">
        <v>44</v>
      </c>
      <c r="Q344" t="s">
        <v>387</v>
      </c>
      <c r="R344">
        <v>2013</v>
      </c>
      <c r="S344" t="s">
        <v>803</v>
      </c>
      <c r="T344">
        <f>IF(IPL_Matches_2008_2020___New[[#This Row],[Toss Winner]]=IPL_Matches_2008_2020___New[[#This Row],[Winner]],1,0)</f>
        <v>1</v>
      </c>
      <c r="U344" t="s">
        <v>801</v>
      </c>
    </row>
    <row r="345" spans="1:21" x14ac:dyDescent="0.3">
      <c r="A345" t="s">
        <v>1144</v>
      </c>
      <c r="B345" t="s">
        <v>38</v>
      </c>
      <c r="C345">
        <f>YEAR(IPL_Matches_2008_2020___New[[#This Row],[Date ]])</f>
        <v>2013</v>
      </c>
      <c r="D345" s="1">
        <v>41385</v>
      </c>
      <c r="E345" t="s">
        <v>66</v>
      </c>
      <c r="F345" t="s">
        <v>40</v>
      </c>
      <c r="G345" t="s">
        <v>692</v>
      </c>
      <c r="H345" t="s">
        <v>50</v>
      </c>
      <c r="I345" t="s">
        <v>50</v>
      </c>
      <c r="J345" t="s">
        <v>35</v>
      </c>
      <c r="K345" t="s">
        <v>692</v>
      </c>
      <c r="L345" t="s">
        <v>43</v>
      </c>
      <c r="M345">
        <v>9</v>
      </c>
      <c r="N345" t="s">
        <v>25</v>
      </c>
      <c r="O345" t="s">
        <v>796</v>
      </c>
      <c r="P345" t="s">
        <v>165</v>
      </c>
      <c r="Q345" t="s">
        <v>183</v>
      </c>
      <c r="R345">
        <v>2013</v>
      </c>
      <c r="S345" t="s">
        <v>803</v>
      </c>
      <c r="T345">
        <f>IF(IPL_Matches_2008_2020___New[[#This Row],[Toss Winner]]=IPL_Matches_2008_2020___New[[#This Row],[Winner]],1,0)</f>
        <v>0</v>
      </c>
      <c r="U345" t="s">
        <v>798</v>
      </c>
    </row>
    <row r="346" spans="1:21" x14ac:dyDescent="0.3">
      <c r="A346" t="s">
        <v>1145</v>
      </c>
      <c r="B346" t="s">
        <v>29</v>
      </c>
      <c r="C346">
        <f>YEAR(IPL_Matches_2008_2020___New[[#This Row],[Date ]])</f>
        <v>2013</v>
      </c>
      <c r="D346" s="1">
        <v>41385</v>
      </c>
      <c r="E346" t="s">
        <v>424</v>
      </c>
      <c r="F346" t="s">
        <v>32</v>
      </c>
      <c r="G346" t="s">
        <v>800</v>
      </c>
      <c r="H346" t="s">
        <v>292</v>
      </c>
      <c r="I346" t="s">
        <v>800</v>
      </c>
      <c r="J346" t="s">
        <v>23</v>
      </c>
      <c r="K346" t="s">
        <v>800</v>
      </c>
      <c r="L346" t="s">
        <v>43</v>
      </c>
      <c r="M346">
        <v>7</v>
      </c>
      <c r="N346" t="s">
        <v>25</v>
      </c>
      <c r="O346" t="s">
        <v>796</v>
      </c>
      <c r="P346" t="s">
        <v>155</v>
      </c>
      <c r="Q346" t="s">
        <v>410</v>
      </c>
      <c r="R346">
        <v>2013</v>
      </c>
      <c r="S346" t="s">
        <v>803</v>
      </c>
      <c r="T346">
        <f>IF(IPL_Matches_2008_2020___New[[#This Row],[Toss Winner]]=IPL_Matches_2008_2020___New[[#This Row],[Winner]],1,0)</f>
        <v>1</v>
      </c>
      <c r="U346" t="s">
        <v>801</v>
      </c>
    </row>
    <row r="347" spans="1:21" x14ac:dyDescent="0.3">
      <c r="A347" t="s">
        <v>1146</v>
      </c>
      <c r="B347" t="s">
        <v>70</v>
      </c>
      <c r="C347">
        <f>YEAR(IPL_Matches_2008_2020___New[[#This Row],[Date ]])</f>
        <v>2013</v>
      </c>
      <c r="D347" s="1">
        <v>41386</v>
      </c>
      <c r="E347" t="s">
        <v>31</v>
      </c>
      <c r="F347" t="s">
        <v>73</v>
      </c>
      <c r="G347" t="s">
        <v>34</v>
      </c>
      <c r="H347" t="s">
        <v>42</v>
      </c>
      <c r="I347" t="s">
        <v>42</v>
      </c>
      <c r="J347" t="s">
        <v>35</v>
      </c>
      <c r="K347" t="s">
        <v>34</v>
      </c>
      <c r="L347" t="s">
        <v>43</v>
      </c>
      <c r="M347">
        <v>5</v>
      </c>
      <c r="N347" t="s">
        <v>25</v>
      </c>
      <c r="O347" t="s">
        <v>796</v>
      </c>
      <c r="P347" t="s">
        <v>168</v>
      </c>
      <c r="Q347" t="s">
        <v>349</v>
      </c>
      <c r="R347">
        <v>2013</v>
      </c>
      <c r="S347" t="s">
        <v>803</v>
      </c>
      <c r="T347">
        <f>IF(IPL_Matches_2008_2020___New[[#This Row],[Toss Winner]]=IPL_Matches_2008_2020___New[[#This Row],[Winner]],1,0)</f>
        <v>0</v>
      </c>
      <c r="U347" t="s">
        <v>798</v>
      </c>
    </row>
    <row r="348" spans="1:21" x14ac:dyDescent="0.3">
      <c r="A348" t="s">
        <v>1147</v>
      </c>
      <c r="B348" t="s">
        <v>17</v>
      </c>
      <c r="C348">
        <f>YEAR(IPL_Matches_2008_2020___New[[#This Row],[Date ]])</f>
        <v>2013</v>
      </c>
      <c r="D348" s="1">
        <v>41387</v>
      </c>
      <c r="E348" t="s">
        <v>152</v>
      </c>
      <c r="F348" t="s">
        <v>795</v>
      </c>
      <c r="G348" t="s">
        <v>21</v>
      </c>
      <c r="H348" t="s">
        <v>292</v>
      </c>
      <c r="I348" t="s">
        <v>292</v>
      </c>
      <c r="J348" t="s">
        <v>23</v>
      </c>
      <c r="K348" t="s">
        <v>21</v>
      </c>
      <c r="L348" t="s">
        <v>24</v>
      </c>
      <c r="M348">
        <v>130</v>
      </c>
      <c r="N348" t="s">
        <v>25</v>
      </c>
      <c r="O348" t="s">
        <v>796</v>
      </c>
      <c r="P348" t="s">
        <v>44</v>
      </c>
      <c r="Q348" t="s">
        <v>387</v>
      </c>
      <c r="R348">
        <v>2013</v>
      </c>
      <c r="S348" t="s">
        <v>797</v>
      </c>
      <c r="T348">
        <f>IF(IPL_Matches_2008_2020___New[[#This Row],[Toss Winner]]=IPL_Matches_2008_2020___New[[#This Row],[Winner]],1,0)</f>
        <v>0</v>
      </c>
      <c r="U348" t="s">
        <v>798</v>
      </c>
    </row>
    <row r="349" spans="1:21" x14ac:dyDescent="0.3">
      <c r="A349" t="s">
        <v>1148</v>
      </c>
      <c r="B349" t="s">
        <v>271</v>
      </c>
      <c r="C349">
        <f>YEAR(IPL_Matches_2008_2020___New[[#This Row],[Date ]])</f>
        <v>2013</v>
      </c>
      <c r="D349" s="1">
        <v>41410</v>
      </c>
      <c r="E349" t="s">
        <v>424</v>
      </c>
      <c r="F349" t="s">
        <v>273</v>
      </c>
      <c r="G349" t="s">
        <v>800</v>
      </c>
      <c r="H349" t="s">
        <v>692</v>
      </c>
      <c r="I349" t="s">
        <v>692</v>
      </c>
      <c r="J349" t="s">
        <v>23</v>
      </c>
      <c r="K349" t="s">
        <v>800</v>
      </c>
      <c r="L349" t="s">
        <v>24</v>
      </c>
      <c r="M349">
        <v>7</v>
      </c>
      <c r="N349" t="s">
        <v>25</v>
      </c>
      <c r="O349" t="s">
        <v>796</v>
      </c>
      <c r="P349" t="s">
        <v>165</v>
      </c>
      <c r="Q349" t="s">
        <v>183</v>
      </c>
      <c r="R349">
        <v>2013</v>
      </c>
      <c r="S349" t="s">
        <v>797</v>
      </c>
      <c r="T349">
        <f>IF(IPL_Matches_2008_2020___New[[#This Row],[Toss Winner]]=IPL_Matches_2008_2020___New[[#This Row],[Winner]],1,0)</f>
        <v>0</v>
      </c>
      <c r="U349" t="s">
        <v>798</v>
      </c>
    </row>
    <row r="350" spans="1:21" x14ac:dyDescent="0.3">
      <c r="A350" t="s">
        <v>1149</v>
      </c>
      <c r="B350" t="s">
        <v>53</v>
      </c>
      <c r="C350">
        <f>YEAR(IPL_Matches_2008_2020___New[[#This Row],[Date ]])</f>
        <v>2013</v>
      </c>
      <c r="D350" s="1">
        <v>41388</v>
      </c>
      <c r="E350" t="s">
        <v>195</v>
      </c>
      <c r="F350" t="s">
        <v>55</v>
      </c>
      <c r="G350" t="s">
        <v>22</v>
      </c>
      <c r="H350" t="s">
        <v>50</v>
      </c>
      <c r="I350" t="s">
        <v>22</v>
      </c>
      <c r="J350" t="s">
        <v>35</v>
      </c>
      <c r="K350" t="s">
        <v>50</v>
      </c>
      <c r="L350" t="s">
        <v>43</v>
      </c>
      <c r="M350">
        <v>5</v>
      </c>
      <c r="N350" t="s">
        <v>25</v>
      </c>
      <c r="O350" t="s">
        <v>796</v>
      </c>
      <c r="P350" t="s">
        <v>165</v>
      </c>
      <c r="Q350" t="s">
        <v>183</v>
      </c>
      <c r="R350">
        <v>2013</v>
      </c>
      <c r="S350" t="s">
        <v>803</v>
      </c>
      <c r="T350">
        <f>IF(IPL_Matches_2008_2020___New[[#This Row],[Toss Winner]]=IPL_Matches_2008_2020___New[[#This Row],[Winner]],1,0)</f>
        <v>0</v>
      </c>
      <c r="U350" t="s">
        <v>798</v>
      </c>
    </row>
    <row r="351" spans="1:21" x14ac:dyDescent="0.3">
      <c r="A351" t="s">
        <v>1150</v>
      </c>
      <c r="B351" t="s">
        <v>70</v>
      </c>
      <c r="C351">
        <f>YEAR(IPL_Matches_2008_2020___New[[#This Row],[Date ]])</f>
        <v>2013</v>
      </c>
      <c r="D351" s="1">
        <v>41389</v>
      </c>
      <c r="E351" t="s">
        <v>87</v>
      </c>
      <c r="F351" t="s">
        <v>73</v>
      </c>
      <c r="G351" t="s">
        <v>34</v>
      </c>
      <c r="H351" t="s">
        <v>406</v>
      </c>
      <c r="I351" t="s">
        <v>406</v>
      </c>
      <c r="J351" t="s">
        <v>35</v>
      </c>
      <c r="K351" t="s">
        <v>34</v>
      </c>
      <c r="L351" t="s">
        <v>43</v>
      </c>
      <c r="M351">
        <v>5</v>
      </c>
      <c r="N351" t="s">
        <v>25</v>
      </c>
      <c r="O351" t="s">
        <v>796</v>
      </c>
      <c r="P351" t="s">
        <v>44</v>
      </c>
      <c r="Q351" t="s">
        <v>228</v>
      </c>
      <c r="R351">
        <v>2013</v>
      </c>
      <c r="S351" t="s">
        <v>803</v>
      </c>
      <c r="T351">
        <f>IF(IPL_Matches_2008_2020___New[[#This Row],[Toss Winner]]=IPL_Matches_2008_2020___New[[#This Row],[Winner]],1,0)</f>
        <v>0</v>
      </c>
      <c r="U351" t="s">
        <v>798</v>
      </c>
    </row>
    <row r="352" spans="1:21" x14ac:dyDescent="0.3">
      <c r="A352" t="s">
        <v>1151</v>
      </c>
      <c r="B352" t="s">
        <v>53</v>
      </c>
      <c r="C352">
        <f>YEAR(IPL_Matches_2008_2020___New[[#This Row],[Date ]])</f>
        <v>2013</v>
      </c>
      <c r="D352" s="1">
        <v>41390</v>
      </c>
      <c r="E352" t="s">
        <v>187</v>
      </c>
      <c r="F352" t="s">
        <v>55</v>
      </c>
      <c r="G352" t="s">
        <v>22</v>
      </c>
      <c r="H352" t="s">
        <v>800</v>
      </c>
      <c r="I352" t="s">
        <v>800</v>
      </c>
      <c r="J352" t="s">
        <v>35</v>
      </c>
      <c r="K352" t="s">
        <v>22</v>
      </c>
      <c r="L352" t="s">
        <v>43</v>
      </c>
      <c r="M352">
        <v>6</v>
      </c>
      <c r="N352" t="s">
        <v>25</v>
      </c>
      <c r="O352" t="s">
        <v>796</v>
      </c>
      <c r="P352" t="s">
        <v>418</v>
      </c>
      <c r="Q352" t="s">
        <v>183</v>
      </c>
      <c r="R352">
        <v>2013</v>
      </c>
      <c r="S352" t="s">
        <v>803</v>
      </c>
      <c r="T352">
        <f>IF(IPL_Matches_2008_2020___New[[#This Row],[Toss Winner]]=IPL_Matches_2008_2020___New[[#This Row],[Winner]],1,0)</f>
        <v>0</v>
      </c>
      <c r="U352" t="s">
        <v>798</v>
      </c>
    </row>
    <row r="353" spans="1:21" x14ac:dyDescent="0.3">
      <c r="A353" t="s">
        <v>1152</v>
      </c>
      <c r="B353" t="s">
        <v>59</v>
      </c>
      <c r="C353">
        <f>YEAR(IPL_Matches_2008_2020___New[[#This Row],[Date ]])</f>
        <v>2013</v>
      </c>
      <c r="D353" s="1">
        <v>41391</v>
      </c>
      <c r="E353" t="s">
        <v>414</v>
      </c>
      <c r="F353" t="s">
        <v>62</v>
      </c>
      <c r="G353" t="s">
        <v>42</v>
      </c>
      <c r="H353" t="s">
        <v>406</v>
      </c>
      <c r="I353" t="s">
        <v>406</v>
      </c>
      <c r="J353" t="s">
        <v>35</v>
      </c>
      <c r="K353" t="s">
        <v>42</v>
      </c>
      <c r="L353" t="s">
        <v>43</v>
      </c>
      <c r="M353">
        <v>8</v>
      </c>
      <c r="N353" t="s">
        <v>25</v>
      </c>
      <c r="O353" t="s">
        <v>796</v>
      </c>
      <c r="P353" t="s">
        <v>354</v>
      </c>
      <c r="Q353" t="s">
        <v>410</v>
      </c>
      <c r="R353">
        <v>2013</v>
      </c>
      <c r="S353" t="s">
        <v>803</v>
      </c>
      <c r="T353">
        <f>IF(IPL_Matches_2008_2020___New[[#This Row],[Toss Winner]]=IPL_Matches_2008_2020___New[[#This Row],[Winner]],1,0)</f>
        <v>0</v>
      </c>
      <c r="U353" t="s">
        <v>798</v>
      </c>
    </row>
    <row r="354" spans="1:21" x14ac:dyDescent="0.3">
      <c r="A354" t="s">
        <v>1153</v>
      </c>
      <c r="B354" t="s">
        <v>46</v>
      </c>
      <c r="C354">
        <f>YEAR(IPL_Matches_2008_2020___New[[#This Row],[Date ]])</f>
        <v>2013</v>
      </c>
      <c r="D354" s="1">
        <v>41391</v>
      </c>
      <c r="E354" t="s">
        <v>195</v>
      </c>
      <c r="F354" t="s">
        <v>49</v>
      </c>
      <c r="G354" t="s">
        <v>50</v>
      </c>
      <c r="H354" t="s">
        <v>21</v>
      </c>
      <c r="I354" t="s">
        <v>50</v>
      </c>
      <c r="J354" t="s">
        <v>35</v>
      </c>
      <c r="K354" t="s">
        <v>50</v>
      </c>
      <c r="L354" t="s">
        <v>24</v>
      </c>
      <c r="M354">
        <v>58</v>
      </c>
      <c r="N354" t="s">
        <v>25</v>
      </c>
      <c r="O354" t="s">
        <v>796</v>
      </c>
      <c r="P354" t="s">
        <v>27</v>
      </c>
      <c r="Q354" t="s">
        <v>168</v>
      </c>
      <c r="R354">
        <v>2013</v>
      </c>
      <c r="S354" t="s">
        <v>797</v>
      </c>
      <c r="T354">
        <f>IF(IPL_Matches_2008_2020___New[[#This Row],[Toss Winner]]=IPL_Matches_2008_2020___New[[#This Row],[Winner]],1,0)</f>
        <v>1</v>
      </c>
      <c r="U354" t="s">
        <v>801</v>
      </c>
    </row>
    <row r="355" spans="1:21" x14ac:dyDescent="0.3">
      <c r="A355" t="s">
        <v>1154</v>
      </c>
      <c r="B355" t="s">
        <v>70</v>
      </c>
      <c r="C355">
        <f>YEAR(IPL_Matches_2008_2020___New[[#This Row],[Date ]])</f>
        <v>2013</v>
      </c>
      <c r="D355" s="1">
        <v>41392</v>
      </c>
      <c r="E355" t="s">
        <v>31</v>
      </c>
      <c r="F355" t="s">
        <v>73</v>
      </c>
      <c r="G355" t="s">
        <v>34</v>
      </c>
      <c r="H355" t="s">
        <v>22</v>
      </c>
      <c r="I355" t="s">
        <v>22</v>
      </c>
      <c r="J355" t="s">
        <v>23</v>
      </c>
      <c r="K355" t="s">
        <v>34</v>
      </c>
      <c r="L355" t="s">
        <v>24</v>
      </c>
      <c r="M355">
        <v>14</v>
      </c>
      <c r="N355" t="s">
        <v>25</v>
      </c>
      <c r="O355" t="s">
        <v>796</v>
      </c>
      <c r="P355" t="s">
        <v>44</v>
      </c>
      <c r="Q355" t="s">
        <v>149</v>
      </c>
      <c r="R355">
        <v>2013</v>
      </c>
      <c r="S355" t="s">
        <v>797</v>
      </c>
      <c r="T355">
        <f>IF(IPL_Matches_2008_2020___New[[#This Row],[Toss Winner]]=IPL_Matches_2008_2020___New[[#This Row],[Winner]],1,0)</f>
        <v>0</v>
      </c>
      <c r="U355" t="s">
        <v>798</v>
      </c>
    </row>
    <row r="356" spans="1:21" x14ac:dyDescent="0.3">
      <c r="A356" t="s">
        <v>1155</v>
      </c>
      <c r="B356" t="s">
        <v>433</v>
      </c>
      <c r="C356">
        <f>YEAR(IPL_Matches_2008_2020___New[[#This Row],[Date ]])</f>
        <v>2013</v>
      </c>
      <c r="D356" s="1">
        <v>41392</v>
      </c>
      <c r="E356" t="s">
        <v>251</v>
      </c>
      <c r="F356" t="s">
        <v>434</v>
      </c>
      <c r="G356" t="s">
        <v>692</v>
      </c>
      <c r="H356" t="s">
        <v>292</v>
      </c>
      <c r="I356" t="s">
        <v>292</v>
      </c>
      <c r="J356" t="s">
        <v>23</v>
      </c>
      <c r="K356" t="s">
        <v>692</v>
      </c>
      <c r="L356" t="s">
        <v>24</v>
      </c>
      <c r="M356">
        <v>15</v>
      </c>
      <c r="N356" t="s">
        <v>25</v>
      </c>
      <c r="O356" t="s">
        <v>796</v>
      </c>
      <c r="P356" t="s">
        <v>418</v>
      </c>
      <c r="Q356" t="s">
        <v>183</v>
      </c>
      <c r="R356">
        <v>2013</v>
      </c>
      <c r="S356" t="s">
        <v>797</v>
      </c>
      <c r="T356">
        <f>IF(IPL_Matches_2008_2020___New[[#This Row],[Toss Winner]]=IPL_Matches_2008_2020___New[[#This Row],[Winner]],1,0)</f>
        <v>0</v>
      </c>
      <c r="U356" t="s">
        <v>798</v>
      </c>
    </row>
    <row r="357" spans="1:21" x14ac:dyDescent="0.3">
      <c r="A357" t="s">
        <v>1156</v>
      </c>
      <c r="B357" t="s">
        <v>59</v>
      </c>
      <c r="C357">
        <f>YEAR(IPL_Matches_2008_2020___New[[#This Row],[Date ]])</f>
        <v>2013</v>
      </c>
      <c r="D357" s="1">
        <v>41393</v>
      </c>
      <c r="E357" t="s">
        <v>436</v>
      </c>
      <c r="F357" t="s">
        <v>62</v>
      </c>
      <c r="G357" t="s">
        <v>42</v>
      </c>
      <c r="H357" t="s">
        <v>21</v>
      </c>
      <c r="I357" t="s">
        <v>42</v>
      </c>
      <c r="J357" t="s">
        <v>23</v>
      </c>
      <c r="K357" t="s">
        <v>42</v>
      </c>
      <c r="L357" t="s">
        <v>43</v>
      </c>
      <c r="M357">
        <v>4</v>
      </c>
      <c r="N357" t="s">
        <v>25</v>
      </c>
      <c r="O357" t="s">
        <v>796</v>
      </c>
      <c r="P357" t="s">
        <v>155</v>
      </c>
      <c r="Q357" t="s">
        <v>410</v>
      </c>
      <c r="R357">
        <v>2013</v>
      </c>
      <c r="S357" t="s">
        <v>803</v>
      </c>
      <c r="T357">
        <f>IF(IPL_Matches_2008_2020___New[[#This Row],[Toss Winner]]=IPL_Matches_2008_2020___New[[#This Row],[Winner]],1,0)</f>
        <v>1</v>
      </c>
      <c r="U357" t="s">
        <v>801</v>
      </c>
    </row>
    <row r="358" spans="1:21" x14ac:dyDescent="0.3">
      <c r="A358" t="s">
        <v>1157</v>
      </c>
      <c r="B358" t="s">
        <v>46</v>
      </c>
      <c r="C358">
        <f>YEAR(IPL_Matches_2008_2020___New[[#This Row],[Date ]])</f>
        <v>2013</v>
      </c>
      <c r="D358" s="1">
        <v>41393</v>
      </c>
      <c r="E358" t="s">
        <v>190</v>
      </c>
      <c r="F358" t="s">
        <v>49</v>
      </c>
      <c r="G358" t="s">
        <v>50</v>
      </c>
      <c r="H358" t="s">
        <v>800</v>
      </c>
      <c r="I358" t="s">
        <v>50</v>
      </c>
      <c r="J358" t="s">
        <v>35</v>
      </c>
      <c r="K358" t="s">
        <v>50</v>
      </c>
      <c r="L358" t="s">
        <v>24</v>
      </c>
      <c r="M358">
        <v>4</v>
      </c>
      <c r="N358" t="s">
        <v>25</v>
      </c>
      <c r="O358" t="s">
        <v>796</v>
      </c>
      <c r="P358" t="s">
        <v>27</v>
      </c>
      <c r="Q358" t="s">
        <v>349</v>
      </c>
      <c r="R358">
        <v>2013</v>
      </c>
      <c r="S358" t="s">
        <v>797</v>
      </c>
      <c r="T358">
        <f>IF(IPL_Matches_2008_2020___New[[#This Row],[Toss Winner]]=IPL_Matches_2008_2020___New[[#This Row],[Winner]],1,0)</f>
        <v>1</v>
      </c>
      <c r="U358" t="s">
        <v>801</v>
      </c>
    </row>
    <row r="359" spans="1:21" x14ac:dyDescent="0.3">
      <c r="A359" t="s">
        <v>1158</v>
      </c>
      <c r="B359" t="s">
        <v>355</v>
      </c>
      <c r="C359">
        <f>YEAR(IPL_Matches_2008_2020___New[[#This Row],[Date ]])</f>
        <v>2013</v>
      </c>
      <c r="D359" s="1">
        <v>41394</v>
      </c>
      <c r="E359" t="s">
        <v>87</v>
      </c>
      <c r="F359" t="s">
        <v>357</v>
      </c>
      <c r="G359" t="s">
        <v>292</v>
      </c>
      <c r="H359" t="s">
        <v>34</v>
      </c>
      <c r="I359" t="s">
        <v>34</v>
      </c>
      <c r="J359" t="s">
        <v>35</v>
      </c>
      <c r="K359" t="s">
        <v>34</v>
      </c>
      <c r="L359" t="s">
        <v>24</v>
      </c>
      <c r="M359">
        <v>37</v>
      </c>
      <c r="N359" t="s">
        <v>25</v>
      </c>
      <c r="O359" t="s">
        <v>796</v>
      </c>
      <c r="P359" t="s">
        <v>228</v>
      </c>
      <c r="Q359" t="s">
        <v>149</v>
      </c>
      <c r="R359">
        <v>2013</v>
      </c>
      <c r="S359" t="s">
        <v>797</v>
      </c>
      <c r="T359">
        <f>IF(IPL_Matches_2008_2020___New[[#This Row],[Toss Winner]]=IPL_Matches_2008_2020___New[[#This Row],[Winner]],1,0)</f>
        <v>1</v>
      </c>
      <c r="U359" t="s">
        <v>801</v>
      </c>
    </row>
    <row r="360" spans="1:21" x14ac:dyDescent="0.3">
      <c r="A360" t="s">
        <v>1159</v>
      </c>
      <c r="B360" t="s">
        <v>64</v>
      </c>
      <c r="C360">
        <f>YEAR(IPL_Matches_2008_2020___New[[#This Row],[Date ]])</f>
        <v>2013</v>
      </c>
      <c r="D360" s="1">
        <v>41395</v>
      </c>
      <c r="E360" t="s">
        <v>316</v>
      </c>
      <c r="F360" t="s">
        <v>67</v>
      </c>
      <c r="G360" t="s">
        <v>406</v>
      </c>
      <c r="H360" t="s">
        <v>50</v>
      </c>
      <c r="I360" t="s">
        <v>50</v>
      </c>
      <c r="J360" t="s">
        <v>35</v>
      </c>
      <c r="K360" t="s">
        <v>406</v>
      </c>
      <c r="L360" t="s">
        <v>43</v>
      </c>
      <c r="M360">
        <v>7</v>
      </c>
      <c r="N360" t="s">
        <v>25</v>
      </c>
      <c r="O360" t="s">
        <v>796</v>
      </c>
      <c r="P360" t="s">
        <v>27</v>
      </c>
      <c r="Q360" t="s">
        <v>168</v>
      </c>
      <c r="R360">
        <v>2013</v>
      </c>
      <c r="S360" t="s">
        <v>803</v>
      </c>
      <c r="T360">
        <f>IF(IPL_Matches_2008_2020___New[[#This Row],[Toss Winner]]=IPL_Matches_2008_2020___New[[#This Row],[Winner]],1,0)</f>
        <v>0</v>
      </c>
      <c r="U360" t="s">
        <v>798</v>
      </c>
    </row>
    <row r="361" spans="1:21" x14ac:dyDescent="0.3">
      <c r="A361" t="s">
        <v>1160</v>
      </c>
      <c r="B361" t="s">
        <v>433</v>
      </c>
      <c r="C361">
        <f>YEAR(IPL_Matches_2008_2020___New[[#This Row],[Date ]])</f>
        <v>2013</v>
      </c>
      <c r="D361" s="1">
        <v>41395</v>
      </c>
      <c r="E361" t="s">
        <v>251</v>
      </c>
      <c r="F361" t="s">
        <v>434</v>
      </c>
      <c r="G361" t="s">
        <v>692</v>
      </c>
      <c r="H361" t="s">
        <v>22</v>
      </c>
      <c r="I361" t="s">
        <v>22</v>
      </c>
      <c r="J361" t="s">
        <v>35</v>
      </c>
      <c r="K361" t="s">
        <v>692</v>
      </c>
      <c r="L361" t="s">
        <v>43</v>
      </c>
      <c r="M361">
        <v>7</v>
      </c>
      <c r="N361" t="s">
        <v>25</v>
      </c>
      <c r="O361" t="s">
        <v>796</v>
      </c>
      <c r="P361" t="s">
        <v>165</v>
      </c>
      <c r="Q361" t="s">
        <v>418</v>
      </c>
      <c r="R361">
        <v>2013</v>
      </c>
      <c r="S361" t="s">
        <v>803</v>
      </c>
      <c r="T361">
        <f>IF(IPL_Matches_2008_2020___New[[#This Row],[Toss Winner]]=IPL_Matches_2008_2020___New[[#This Row],[Winner]],1,0)</f>
        <v>0</v>
      </c>
      <c r="U361" t="s">
        <v>798</v>
      </c>
    </row>
    <row r="362" spans="1:21" x14ac:dyDescent="0.3">
      <c r="A362" t="s">
        <v>1161</v>
      </c>
      <c r="B362" t="s">
        <v>70</v>
      </c>
      <c r="C362">
        <f>YEAR(IPL_Matches_2008_2020___New[[#This Row],[Date ]])</f>
        <v>2013</v>
      </c>
      <c r="D362" s="1">
        <v>41396</v>
      </c>
      <c r="E362" t="s">
        <v>133</v>
      </c>
      <c r="F362" t="s">
        <v>73</v>
      </c>
      <c r="G362" t="s">
        <v>34</v>
      </c>
      <c r="H362" t="s">
        <v>800</v>
      </c>
      <c r="I362" t="s">
        <v>34</v>
      </c>
      <c r="J362" t="s">
        <v>35</v>
      </c>
      <c r="K362" t="s">
        <v>34</v>
      </c>
      <c r="L362" t="s">
        <v>24</v>
      </c>
      <c r="M362">
        <v>15</v>
      </c>
      <c r="N362" t="s">
        <v>25</v>
      </c>
      <c r="O362" t="s">
        <v>796</v>
      </c>
      <c r="P362" t="s">
        <v>155</v>
      </c>
      <c r="Q362" t="s">
        <v>354</v>
      </c>
      <c r="R362">
        <v>2013</v>
      </c>
      <c r="S362" t="s">
        <v>797</v>
      </c>
      <c r="T362">
        <f>IF(IPL_Matches_2008_2020___New[[#This Row],[Toss Winner]]=IPL_Matches_2008_2020___New[[#This Row],[Winner]],1,0)</f>
        <v>1</v>
      </c>
      <c r="U362" t="s">
        <v>801</v>
      </c>
    </row>
    <row r="363" spans="1:21" x14ac:dyDescent="0.3">
      <c r="A363" t="s">
        <v>1162</v>
      </c>
      <c r="B363" t="s">
        <v>355</v>
      </c>
      <c r="C363">
        <f>YEAR(IPL_Matches_2008_2020___New[[#This Row],[Date ]])</f>
        <v>2013</v>
      </c>
      <c r="D363" s="1">
        <v>41396</v>
      </c>
      <c r="E363" t="s">
        <v>157</v>
      </c>
      <c r="F363" t="s">
        <v>357</v>
      </c>
      <c r="G363" t="s">
        <v>292</v>
      </c>
      <c r="H363" t="s">
        <v>21</v>
      </c>
      <c r="I363" t="s">
        <v>21</v>
      </c>
      <c r="J363" t="s">
        <v>35</v>
      </c>
      <c r="K363" t="s">
        <v>21</v>
      </c>
      <c r="L363" t="s">
        <v>24</v>
      </c>
      <c r="M363">
        <v>17</v>
      </c>
      <c r="N363" t="s">
        <v>25</v>
      </c>
      <c r="O363" t="s">
        <v>796</v>
      </c>
      <c r="P363" t="s">
        <v>44</v>
      </c>
      <c r="Q363" t="s">
        <v>387</v>
      </c>
      <c r="R363">
        <v>2013</v>
      </c>
      <c r="S363" t="s">
        <v>797</v>
      </c>
      <c r="T363">
        <f>IF(IPL_Matches_2008_2020___New[[#This Row],[Toss Winner]]=IPL_Matches_2008_2020___New[[#This Row],[Winner]],1,0)</f>
        <v>1</v>
      </c>
      <c r="U363" t="s">
        <v>801</v>
      </c>
    </row>
    <row r="364" spans="1:21" x14ac:dyDescent="0.3">
      <c r="A364" t="s">
        <v>1163</v>
      </c>
      <c r="B364" t="s">
        <v>53</v>
      </c>
      <c r="C364">
        <f>YEAR(IPL_Matches_2008_2020___New[[#This Row],[Date ]])</f>
        <v>2013</v>
      </c>
      <c r="D364" s="1">
        <v>41397</v>
      </c>
      <c r="E364" t="s">
        <v>75</v>
      </c>
      <c r="F364" t="s">
        <v>55</v>
      </c>
      <c r="G364" t="s">
        <v>22</v>
      </c>
      <c r="H364" t="s">
        <v>42</v>
      </c>
      <c r="I364" t="s">
        <v>42</v>
      </c>
      <c r="J364" t="s">
        <v>35</v>
      </c>
      <c r="K364" t="s">
        <v>22</v>
      </c>
      <c r="L364" t="s">
        <v>43</v>
      </c>
      <c r="M364">
        <v>8</v>
      </c>
      <c r="N364" t="s">
        <v>25</v>
      </c>
      <c r="O364" t="s">
        <v>796</v>
      </c>
      <c r="P364" t="s">
        <v>165</v>
      </c>
      <c r="Q364" t="s">
        <v>418</v>
      </c>
      <c r="R364">
        <v>2013</v>
      </c>
      <c r="S364" t="s">
        <v>803</v>
      </c>
      <c r="T364">
        <f>IF(IPL_Matches_2008_2020___New[[#This Row],[Toss Winner]]=IPL_Matches_2008_2020___New[[#This Row],[Winner]],1,0)</f>
        <v>0</v>
      </c>
      <c r="U364" t="s">
        <v>798</v>
      </c>
    </row>
    <row r="365" spans="1:21" x14ac:dyDescent="0.3">
      <c r="A365" t="s">
        <v>1164</v>
      </c>
      <c r="B365" t="s">
        <v>64</v>
      </c>
      <c r="C365">
        <f>YEAR(IPL_Matches_2008_2020___New[[#This Row],[Date ]])</f>
        <v>2013</v>
      </c>
      <c r="D365" s="1">
        <v>41398</v>
      </c>
      <c r="E365" t="s">
        <v>438</v>
      </c>
      <c r="F365" t="s">
        <v>67</v>
      </c>
      <c r="G365" t="s">
        <v>406</v>
      </c>
      <c r="H365" t="s">
        <v>692</v>
      </c>
      <c r="I365" t="s">
        <v>692</v>
      </c>
      <c r="J365" t="s">
        <v>35</v>
      </c>
      <c r="K365" t="s">
        <v>406</v>
      </c>
      <c r="L365" t="s">
        <v>43</v>
      </c>
      <c r="M365">
        <v>6</v>
      </c>
      <c r="N365" t="s">
        <v>25</v>
      </c>
      <c r="O365" t="s">
        <v>796</v>
      </c>
      <c r="P365" t="s">
        <v>27</v>
      </c>
      <c r="Q365" t="s">
        <v>168</v>
      </c>
      <c r="R365">
        <v>2013</v>
      </c>
      <c r="S365" t="s">
        <v>803</v>
      </c>
      <c r="T365">
        <f>IF(IPL_Matches_2008_2020___New[[#This Row],[Toss Winner]]=IPL_Matches_2008_2020___New[[#This Row],[Winner]],1,0)</f>
        <v>0</v>
      </c>
      <c r="U365" t="s">
        <v>798</v>
      </c>
    </row>
    <row r="366" spans="1:21" x14ac:dyDescent="0.3">
      <c r="A366" t="s">
        <v>1165</v>
      </c>
      <c r="B366" t="s">
        <v>17</v>
      </c>
      <c r="C366">
        <f>YEAR(IPL_Matches_2008_2020___New[[#This Row],[Date ]])</f>
        <v>2013</v>
      </c>
      <c r="D366" s="1">
        <v>41408</v>
      </c>
      <c r="E366" t="s">
        <v>82</v>
      </c>
      <c r="F366" t="s">
        <v>795</v>
      </c>
      <c r="G366" t="s">
        <v>21</v>
      </c>
      <c r="H366" t="s">
        <v>800</v>
      </c>
      <c r="I366" t="s">
        <v>800</v>
      </c>
      <c r="J366" t="s">
        <v>23</v>
      </c>
      <c r="K366" t="s">
        <v>800</v>
      </c>
      <c r="L366" t="s">
        <v>43</v>
      </c>
      <c r="M366">
        <v>7</v>
      </c>
      <c r="N366" t="s">
        <v>25</v>
      </c>
      <c r="O366" t="s">
        <v>796</v>
      </c>
      <c r="P366" t="s">
        <v>165</v>
      </c>
      <c r="Q366" t="s">
        <v>183</v>
      </c>
      <c r="R366">
        <v>2013</v>
      </c>
      <c r="S366" t="s">
        <v>803</v>
      </c>
      <c r="T366">
        <f>IF(IPL_Matches_2008_2020___New[[#This Row],[Toss Winner]]=IPL_Matches_2008_2020___New[[#This Row],[Winner]],1,0)</f>
        <v>1</v>
      </c>
      <c r="U366" t="s">
        <v>801</v>
      </c>
    </row>
    <row r="367" spans="1:21" x14ac:dyDescent="0.3">
      <c r="A367" t="s">
        <v>1166</v>
      </c>
      <c r="B367" t="s">
        <v>46</v>
      </c>
      <c r="C367">
        <f>YEAR(IPL_Matches_2008_2020___New[[#This Row],[Date ]])</f>
        <v>2013</v>
      </c>
      <c r="D367" s="1">
        <v>41399</v>
      </c>
      <c r="E367" t="s">
        <v>440</v>
      </c>
      <c r="F367" t="s">
        <v>49</v>
      </c>
      <c r="G367" t="s">
        <v>50</v>
      </c>
      <c r="H367" t="s">
        <v>34</v>
      </c>
      <c r="I367" t="s">
        <v>50</v>
      </c>
      <c r="J367" t="s">
        <v>35</v>
      </c>
      <c r="K367" t="s">
        <v>50</v>
      </c>
      <c r="L367" t="s">
        <v>24</v>
      </c>
      <c r="M367">
        <v>60</v>
      </c>
      <c r="N367" t="s">
        <v>25</v>
      </c>
      <c r="O367" t="s">
        <v>796</v>
      </c>
      <c r="P367" t="s">
        <v>165</v>
      </c>
      <c r="Q367" t="s">
        <v>418</v>
      </c>
      <c r="R367">
        <v>2013</v>
      </c>
      <c r="S367" t="s">
        <v>797</v>
      </c>
      <c r="T367">
        <f>IF(IPL_Matches_2008_2020___New[[#This Row],[Toss Winner]]=IPL_Matches_2008_2020___New[[#This Row],[Winner]],1,0)</f>
        <v>1</v>
      </c>
      <c r="U367" t="s">
        <v>801</v>
      </c>
    </row>
    <row r="368" spans="1:21" x14ac:dyDescent="0.3">
      <c r="A368" t="s">
        <v>1167</v>
      </c>
      <c r="B368" t="s">
        <v>59</v>
      </c>
      <c r="C368">
        <f>YEAR(IPL_Matches_2008_2020___New[[#This Row],[Date ]])</f>
        <v>2013</v>
      </c>
      <c r="D368" s="1">
        <v>41399</v>
      </c>
      <c r="E368" t="s">
        <v>350</v>
      </c>
      <c r="F368" t="s">
        <v>62</v>
      </c>
      <c r="G368" t="s">
        <v>42</v>
      </c>
      <c r="H368" t="s">
        <v>292</v>
      </c>
      <c r="I368" t="s">
        <v>292</v>
      </c>
      <c r="J368" t="s">
        <v>35</v>
      </c>
      <c r="K368" t="s">
        <v>42</v>
      </c>
      <c r="L368" t="s">
        <v>43</v>
      </c>
      <c r="M368">
        <v>5</v>
      </c>
      <c r="N368" t="s">
        <v>25</v>
      </c>
      <c r="O368" t="s">
        <v>796</v>
      </c>
      <c r="P368" t="s">
        <v>387</v>
      </c>
      <c r="Q368" t="s">
        <v>305</v>
      </c>
      <c r="R368">
        <v>2013</v>
      </c>
      <c r="S368" t="s">
        <v>803</v>
      </c>
      <c r="T368">
        <f>IF(IPL_Matches_2008_2020___New[[#This Row],[Toss Winner]]=IPL_Matches_2008_2020___New[[#This Row],[Winner]],1,0)</f>
        <v>0</v>
      </c>
      <c r="U368" t="s">
        <v>798</v>
      </c>
    </row>
    <row r="369" spans="1:21" x14ac:dyDescent="0.3">
      <c r="A369" t="s">
        <v>1168</v>
      </c>
      <c r="B369" t="s">
        <v>17</v>
      </c>
      <c r="C369">
        <f>YEAR(IPL_Matches_2008_2020___New[[#This Row],[Date ]])</f>
        <v>2013</v>
      </c>
      <c r="D369" s="1">
        <v>41373</v>
      </c>
      <c r="E369" t="s">
        <v>314</v>
      </c>
      <c r="F369" t="s">
        <v>795</v>
      </c>
      <c r="G369" t="s">
        <v>21</v>
      </c>
      <c r="H369" t="s">
        <v>406</v>
      </c>
      <c r="I369" t="s">
        <v>406</v>
      </c>
      <c r="J369" t="s">
        <v>35</v>
      </c>
      <c r="K369" t="s">
        <v>21</v>
      </c>
      <c r="L369" t="s">
        <v>43</v>
      </c>
      <c r="M369">
        <v>7</v>
      </c>
      <c r="N369" t="s">
        <v>25</v>
      </c>
      <c r="O369" t="s">
        <v>796</v>
      </c>
      <c r="P369" t="s">
        <v>183</v>
      </c>
      <c r="Q369" t="s">
        <v>149</v>
      </c>
      <c r="R369">
        <v>2013</v>
      </c>
      <c r="S369" t="s">
        <v>803</v>
      </c>
      <c r="T369">
        <f>IF(IPL_Matches_2008_2020___New[[#This Row],[Toss Winner]]=IPL_Matches_2008_2020___New[[#This Row],[Winner]],1,0)</f>
        <v>0</v>
      </c>
      <c r="U369" t="s">
        <v>798</v>
      </c>
    </row>
    <row r="370" spans="1:21" x14ac:dyDescent="0.3">
      <c r="A370" t="s">
        <v>1169</v>
      </c>
      <c r="B370" t="s">
        <v>59</v>
      </c>
      <c r="C370">
        <f>YEAR(IPL_Matches_2008_2020___New[[#This Row],[Date ]])</f>
        <v>2013</v>
      </c>
      <c r="D370" s="1">
        <v>41401</v>
      </c>
      <c r="E370" t="s">
        <v>350</v>
      </c>
      <c r="F370" t="s">
        <v>62</v>
      </c>
      <c r="G370" t="s">
        <v>42</v>
      </c>
      <c r="H370" t="s">
        <v>692</v>
      </c>
      <c r="I370" t="s">
        <v>692</v>
      </c>
      <c r="J370" t="s">
        <v>35</v>
      </c>
      <c r="K370" t="s">
        <v>42</v>
      </c>
      <c r="L370" t="s">
        <v>43</v>
      </c>
      <c r="M370">
        <v>9</v>
      </c>
      <c r="N370" t="s">
        <v>25</v>
      </c>
      <c r="O370" t="s">
        <v>796</v>
      </c>
      <c r="P370" t="s">
        <v>44</v>
      </c>
      <c r="Q370" t="s">
        <v>305</v>
      </c>
      <c r="R370">
        <v>2013</v>
      </c>
      <c r="S370" t="s">
        <v>803</v>
      </c>
      <c r="T370">
        <f>IF(IPL_Matches_2008_2020___New[[#This Row],[Toss Winner]]=IPL_Matches_2008_2020___New[[#This Row],[Winner]],1,0)</f>
        <v>0</v>
      </c>
      <c r="U370" t="s">
        <v>798</v>
      </c>
    </row>
    <row r="371" spans="1:21" x14ac:dyDescent="0.3">
      <c r="A371" t="s">
        <v>1170</v>
      </c>
      <c r="B371" t="s">
        <v>46</v>
      </c>
      <c r="C371">
        <f>YEAR(IPL_Matches_2008_2020___New[[#This Row],[Date ]])</f>
        <v>2013</v>
      </c>
      <c r="D371" s="1">
        <v>41401</v>
      </c>
      <c r="E371" t="s">
        <v>138</v>
      </c>
      <c r="F371" t="s">
        <v>49</v>
      </c>
      <c r="G371" t="s">
        <v>50</v>
      </c>
      <c r="H371" t="s">
        <v>22</v>
      </c>
      <c r="I371" t="s">
        <v>50</v>
      </c>
      <c r="J371" t="s">
        <v>35</v>
      </c>
      <c r="K371" t="s">
        <v>50</v>
      </c>
      <c r="L371" t="s">
        <v>24</v>
      </c>
      <c r="M371">
        <v>65</v>
      </c>
      <c r="N371" t="s">
        <v>25</v>
      </c>
      <c r="O371" t="s">
        <v>796</v>
      </c>
      <c r="P371" t="s">
        <v>165</v>
      </c>
      <c r="Q371" t="s">
        <v>183</v>
      </c>
      <c r="R371">
        <v>2013</v>
      </c>
      <c r="S371" t="s">
        <v>797</v>
      </c>
      <c r="T371">
        <f>IF(IPL_Matches_2008_2020___New[[#This Row],[Toss Winner]]=IPL_Matches_2008_2020___New[[#This Row],[Winner]],1,0)</f>
        <v>1</v>
      </c>
      <c r="U371" t="s">
        <v>801</v>
      </c>
    </row>
    <row r="372" spans="1:21" x14ac:dyDescent="0.3">
      <c r="A372" t="s">
        <v>1171</v>
      </c>
      <c r="B372" t="s">
        <v>64</v>
      </c>
      <c r="C372">
        <f>YEAR(IPL_Matches_2008_2020___New[[#This Row],[Date ]])</f>
        <v>2013</v>
      </c>
      <c r="D372" s="1">
        <v>41402</v>
      </c>
      <c r="E372" t="s">
        <v>133</v>
      </c>
      <c r="F372" t="s">
        <v>67</v>
      </c>
      <c r="G372" t="s">
        <v>406</v>
      </c>
      <c r="H372" t="s">
        <v>34</v>
      </c>
      <c r="I372" t="s">
        <v>406</v>
      </c>
      <c r="J372" t="s">
        <v>23</v>
      </c>
      <c r="K372" t="s">
        <v>34</v>
      </c>
      <c r="L372" t="s">
        <v>24</v>
      </c>
      <c r="M372">
        <v>77</v>
      </c>
      <c r="N372" t="s">
        <v>25</v>
      </c>
      <c r="O372" t="s">
        <v>796</v>
      </c>
      <c r="P372" t="s">
        <v>228</v>
      </c>
      <c r="Q372" t="s">
        <v>441</v>
      </c>
      <c r="R372">
        <v>2013</v>
      </c>
      <c r="S372" t="s">
        <v>797</v>
      </c>
      <c r="T372">
        <f>IF(IPL_Matches_2008_2020___New[[#This Row],[Toss Winner]]=IPL_Matches_2008_2020___New[[#This Row],[Winner]],1,0)</f>
        <v>0</v>
      </c>
      <c r="U372" t="s">
        <v>798</v>
      </c>
    </row>
    <row r="373" spans="1:21" x14ac:dyDescent="0.3">
      <c r="A373" t="s">
        <v>1172</v>
      </c>
      <c r="B373" t="s">
        <v>29</v>
      </c>
      <c r="C373">
        <f>YEAR(IPL_Matches_2008_2020___New[[#This Row],[Date ]])</f>
        <v>2013</v>
      </c>
      <c r="D373" s="1">
        <v>41403</v>
      </c>
      <c r="E373" t="s">
        <v>442</v>
      </c>
      <c r="F373" t="s">
        <v>32</v>
      </c>
      <c r="G373" t="s">
        <v>800</v>
      </c>
      <c r="H373" t="s">
        <v>42</v>
      </c>
      <c r="I373" t="s">
        <v>42</v>
      </c>
      <c r="J373" t="s">
        <v>23</v>
      </c>
      <c r="K373" t="s">
        <v>42</v>
      </c>
      <c r="L373" t="s">
        <v>43</v>
      </c>
      <c r="M373">
        <v>8</v>
      </c>
      <c r="N373" t="s">
        <v>25</v>
      </c>
      <c r="O373" t="s">
        <v>796</v>
      </c>
      <c r="P373" t="s">
        <v>165</v>
      </c>
      <c r="Q373" t="s">
        <v>183</v>
      </c>
      <c r="R373">
        <v>2013</v>
      </c>
      <c r="S373" t="s">
        <v>803</v>
      </c>
      <c r="T373">
        <f>IF(IPL_Matches_2008_2020___New[[#This Row],[Toss Winner]]=IPL_Matches_2008_2020___New[[#This Row],[Winner]],1,0)</f>
        <v>1</v>
      </c>
      <c r="U373" t="s">
        <v>801</v>
      </c>
    </row>
    <row r="374" spans="1:21" x14ac:dyDescent="0.3">
      <c r="A374" t="s">
        <v>1173</v>
      </c>
      <c r="B374" t="s">
        <v>355</v>
      </c>
      <c r="C374">
        <f>YEAR(IPL_Matches_2008_2020___New[[#This Row],[Date ]])</f>
        <v>2013</v>
      </c>
      <c r="D374" s="1">
        <v>41403</v>
      </c>
      <c r="E374" t="s">
        <v>189</v>
      </c>
      <c r="F374" t="s">
        <v>357</v>
      </c>
      <c r="G374" t="s">
        <v>292</v>
      </c>
      <c r="H374" t="s">
        <v>22</v>
      </c>
      <c r="I374" t="s">
        <v>22</v>
      </c>
      <c r="J374" t="s">
        <v>35</v>
      </c>
      <c r="K374" t="s">
        <v>22</v>
      </c>
      <c r="L374" t="s">
        <v>24</v>
      </c>
      <c r="M374">
        <v>46</v>
      </c>
      <c r="N374" t="s">
        <v>25</v>
      </c>
      <c r="O374" t="s">
        <v>796</v>
      </c>
      <c r="P374" t="s">
        <v>27</v>
      </c>
      <c r="Q374" t="s">
        <v>168</v>
      </c>
      <c r="R374">
        <v>2013</v>
      </c>
      <c r="S374" t="s">
        <v>797</v>
      </c>
      <c r="T374">
        <f>IF(IPL_Matches_2008_2020___New[[#This Row],[Toss Winner]]=IPL_Matches_2008_2020___New[[#This Row],[Winner]],1,0)</f>
        <v>1</v>
      </c>
      <c r="U374" t="s">
        <v>801</v>
      </c>
    </row>
    <row r="375" spans="1:21" x14ac:dyDescent="0.3">
      <c r="A375" t="s">
        <v>1174</v>
      </c>
      <c r="B375" t="s">
        <v>38</v>
      </c>
      <c r="C375">
        <f>YEAR(IPL_Matches_2008_2020___New[[#This Row],[Date ]])</f>
        <v>2013</v>
      </c>
      <c r="D375" s="1">
        <v>41404</v>
      </c>
      <c r="E375" t="s">
        <v>276</v>
      </c>
      <c r="F375" t="s">
        <v>40</v>
      </c>
      <c r="G375" t="s">
        <v>692</v>
      </c>
      <c r="H375" t="s">
        <v>21</v>
      </c>
      <c r="I375" t="s">
        <v>692</v>
      </c>
      <c r="J375" t="s">
        <v>23</v>
      </c>
      <c r="K375" t="s">
        <v>21</v>
      </c>
      <c r="L375" t="s">
        <v>24</v>
      </c>
      <c r="M375">
        <v>4</v>
      </c>
      <c r="N375" t="s">
        <v>25</v>
      </c>
      <c r="O375" t="s">
        <v>796</v>
      </c>
      <c r="P375" t="s">
        <v>441</v>
      </c>
      <c r="Q375" t="s">
        <v>410</v>
      </c>
      <c r="R375">
        <v>2013</v>
      </c>
      <c r="S375" t="s">
        <v>797</v>
      </c>
      <c r="T375">
        <f>IF(IPL_Matches_2008_2020___New[[#This Row],[Toss Winner]]=IPL_Matches_2008_2020___New[[#This Row],[Winner]],1,0)</f>
        <v>0</v>
      </c>
      <c r="U375" t="s">
        <v>798</v>
      </c>
    </row>
    <row r="376" spans="1:21" x14ac:dyDescent="0.3">
      <c r="A376" t="s">
        <v>1175</v>
      </c>
      <c r="B376" t="s">
        <v>355</v>
      </c>
      <c r="C376">
        <f>YEAR(IPL_Matches_2008_2020___New[[#This Row],[Date ]])</f>
        <v>2013</v>
      </c>
      <c r="D376" s="1">
        <v>41405</v>
      </c>
      <c r="E376" t="s">
        <v>440</v>
      </c>
      <c r="F376" t="s">
        <v>357</v>
      </c>
      <c r="G376" t="s">
        <v>292</v>
      </c>
      <c r="H376" t="s">
        <v>50</v>
      </c>
      <c r="I376" t="s">
        <v>292</v>
      </c>
      <c r="J376" t="s">
        <v>35</v>
      </c>
      <c r="K376" t="s">
        <v>50</v>
      </c>
      <c r="L376" t="s">
        <v>43</v>
      </c>
      <c r="M376">
        <v>5</v>
      </c>
      <c r="N376" t="s">
        <v>25</v>
      </c>
      <c r="O376" t="s">
        <v>796</v>
      </c>
      <c r="P376" t="s">
        <v>27</v>
      </c>
      <c r="Q376" t="s">
        <v>349</v>
      </c>
      <c r="R376">
        <v>2013</v>
      </c>
      <c r="S376" t="s">
        <v>803</v>
      </c>
      <c r="T376">
        <f>IF(IPL_Matches_2008_2020___New[[#This Row],[Toss Winner]]=IPL_Matches_2008_2020___New[[#This Row],[Winner]],1,0)</f>
        <v>0</v>
      </c>
      <c r="U376" t="s">
        <v>798</v>
      </c>
    </row>
    <row r="377" spans="1:21" x14ac:dyDescent="0.3">
      <c r="A377" t="s">
        <v>1176</v>
      </c>
      <c r="B377" t="s">
        <v>29</v>
      </c>
      <c r="C377">
        <f>YEAR(IPL_Matches_2008_2020___New[[#This Row],[Date ]])</f>
        <v>2013</v>
      </c>
      <c r="D377" s="1">
        <v>41405</v>
      </c>
      <c r="E377" t="s">
        <v>443</v>
      </c>
      <c r="F377" t="s">
        <v>32</v>
      </c>
      <c r="G377" t="s">
        <v>800</v>
      </c>
      <c r="H377" t="s">
        <v>406</v>
      </c>
      <c r="I377" t="s">
        <v>800</v>
      </c>
      <c r="J377" t="s">
        <v>23</v>
      </c>
      <c r="K377" t="s">
        <v>406</v>
      </c>
      <c r="L377" t="s">
        <v>24</v>
      </c>
      <c r="M377">
        <v>30</v>
      </c>
      <c r="N377" t="s">
        <v>25</v>
      </c>
      <c r="O377" t="s">
        <v>796</v>
      </c>
      <c r="P377" t="s">
        <v>228</v>
      </c>
      <c r="Q377" t="s">
        <v>305</v>
      </c>
      <c r="R377">
        <v>2013</v>
      </c>
      <c r="S377" t="s">
        <v>797</v>
      </c>
      <c r="T377">
        <f>IF(IPL_Matches_2008_2020___New[[#This Row],[Toss Winner]]=IPL_Matches_2008_2020___New[[#This Row],[Winner]],1,0)</f>
        <v>0</v>
      </c>
      <c r="U377" t="s">
        <v>798</v>
      </c>
    </row>
    <row r="378" spans="1:21" x14ac:dyDescent="0.3">
      <c r="A378" t="s">
        <v>1177</v>
      </c>
      <c r="B378" t="s">
        <v>444</v>
      </c>
      <c r="C378">
        <f>YEAR(IPL_Matches_2008_2020___New[[#This Row],[Date ]])</f>
        <v>2013</v>
      </c>
      <c r="D378" s="1">
        <v>41406</v>
      </c>
      <c r="E378" t="s">
        <v>187</v>
      </c>
      <c r="F378" t="s">
        <v>445</v>
      </c>
      <c r="G378" t="s">
        <v>22</v>
      </c>
      <c r="H378" t="s">
        <v>21</v>
      </c>
      <c r="I378" t="s">
        <v>22</v>
      </c>
      <c r="J378" t="s">
        <v>23</v>
      </c>
      <c r="K378" t="s">
        <v>22</v>
      </c>
      <c r="L378" t="s">
        <v>43</v>
      </c>
      <c r="M378">
        <v>5</v>
      </c>
      <c r="N378" t="s">
        <v>25</v>
      </c>
      <c r="O378" t="s">
        <v>796</v>
      </c>
      <c r="P378" t="s">
        <v>441</v>
      </c>
      <c r="Q378" t="s">
        <v>410</v>
      </c>
      <c r="R378">
        <v>2013</v>
      </c>
      <c r="S378" t="s">
        <v>803</v>
      </c>
      <c r="T378">
        <f>IF(IPL_Matches_2008_2020___New[[#This Row],[Toss Winner]]=IPL_Matches_2008_2020___New[[#This Row],[Winner]],1,0)</f>
        <v>1</v>
      </c>
      <c r="U378" t="s">
        <v>801</v>
      </c>
    </row>
    <row r="379" spans="1:21" x14ac:dyDescent="0.3">
      <c r="A379" t="s">
        <v>1178</v>
      </c>
      <c r="B379" t="s">
        <v>59</v>
      </c>
      <c r="C379">
        <f>YEAR(IPL_Matches_2008_2020___New[[#This Row],[Date ]])</f>
        <v>2013</v>
      </c>
      <c r="D379" s="1">
        <v>41406</v>
      </c>
      <c r="E379" t="s">
        <v>61</v>
      </c>
      <c r="F379" t="s">
        <v>62</v>
      </c>
      <c r="G379" t="s">
        <v>42</v>
      </c>
      <c r="H379" t="s">
        <v>34</v>
      </c>
      <c r="I379" t="s">
        <v>42</v>
      </c>
      <c r="J379" t="s">
        <v>23</v>
      </c>
      <c r="K379" t="s">
        <v>42</v>
      </c>
      <c r="L379" t="s">
        <v>43</v>
      </c>
      <c r="M379">
        <v>5</v>
      </c>
      <c r="N379" t="s">
        <v>25</v>
      </c>
      <c r="O379" t="s">
        <v>796</v>
      </c>
      <c r="P379" t="s">
        <v>165</v>
      </c>
      <c r="Q379" t="s">
        <v>418</v>
      </c>
      <c r="R379">
        <v>2013</v>
      </c>
      <c r="S379" t="s">
        <v>803</v>
      </c>
      <c r="T379">
        <f>IF(IPL_Matches_2008_2020___New[[#This Row],[Toss Winner]]=IPL_Matches_2008_2020___New[[#This Row],[Winner]],1,0)</f>
        <v>1</v>
      </c>
      <c r="U379" t="s">
        <v>801</v>
      </c>
    </row>
    <row r="380" spans="1:21" x14ac:dyDescent="0.3">
      <c r="A380" t="s">
        <v>1179</v>
      </c>
      <c r="B380" t="s">
        <v>38</v>
      </c>
      <c r="C380">
        <f>YEAR(IPL_Matches_2008_2020___New[[#This Row],[Date ]])</f>
        <v>2013</v>
      </c>
      <c r="D380" s="1">
        <v>41387</v>
      </c>
      <c r="E380" t="s">
        <v>265</v>
      </c>
      <c r="F380" t="s">
        <v>40</v>
      </c>
      <c r="G380" t="s">
        <v>692</v>
      </c>
      <c r="H380" t="s">
        <v>800</v>
      </c>
      <c r="I380" t="s">
        <v>800</v>
      </c>
      <c r="J380" t="s">
        <v>23</v>
      </c>
      <c r="K380" t="s">
        <v>800</v>
      </c>
      <c r="L380" t="s">
        <v>43</v>
      </c>
      <c r="M380">
        <v>5</v>
      </c>
      <c r="N380" t="s">
        <v>25</v>
      </c>
      <c r="O380" t="s">
        <v>796</v>
      </c>
      <c r="P380" t="s">
        <v>354</v>
      </c>
      <c r="Q380" t="s">
        <v>410</v>
      </c>
      <c r="R380">
        <v>2013</v>
      </c>
      <c r="S380" t="s">
        <v>803</v>
      </c>
      <c r="T380">
        <f>IF(IPL_Matches_2008_2020___New[[#This Row],[Toss Winner]]=IPL_Matches_2008_2020___New[[#This Row],[Winner]],1,0)</f>
        <v>1</v>
      </c>
      <c r="U380" t="s">
        <v>801</v>
      </c>
    </row>
    <row r="381" spans="1:21" x14ac:dyDescent="0.3">
      <c r="A381" t="s">
        <v>1180</v>
      </c>
      <c r="B381" t="s">
        <v>46</v>
      </c>
      <c r="C381">
        <f>YEAR(IPL_Matches_2008_2020___New[[#This Row],[Date ]])</f>
        <v>2013</v>
      </c>
      <c r="D381" s="1">
        <v>41407</v>
      </c>
      <c r="E381" t="s">
        <v>267</v>
      </c>
      <c r="F381" t="s">
        <v>49</v>
      </c>
      <c r="G381" t="s">
        <v>50</v>
      </c>
      <c r="H381" t="s">
        <v>406</v>
      </c>
      <c r="I381" t="s">
        <v>406</v>
      </c>
      <c r="J381" t="s">
        <v>35</v>
      </c>
      <c r="K381" t="s">
        <v>50</v>
      </c>
      <c r="L381" t="s">
        <v>43</v>
      </c>
      <c r="M381">
        <v>7</v>
      </c>
      <c r="N381" t="s">
        <v>25</v>
      </c>
      <c r="O381" t="s">
        <v>796</v>
      </c>
      <c r="P381" t="s">
        <v>349</v>
      </c>
      <c r="Q381" t="s">
        <v>149</v>
      </c>
      <c r="R381">
        <v>2013</v>
      </c>
      <c r="S381" t="s">
        <v>803</v>
      </c>
      <c r="T381">
        <f>IF(IPL_Matches_2008_2020___New[[#This Row],[Toss Winner]]=IPL_Matches_2008_2020___New[[#This Row],[Winner]],1,0)</f>
        <v>0</v>
      </c>
      <c r="U381" t="s">
        <v>798</v>
      </c>
    </row>
    <row r="382" spans="1:21" x14ac:dyDescent="0.3">
      <c r="A382" t="s">
        <v>1181</v>
      </c>
      <c r="B382" t="s">
        <v>444</v>
      </c>
      <c r="C382">
        <f>YEAR(IPL_Matches_2008_2020___New[[#This Row],[Date ]])</f>
        <v>2013</v>
      </c>
      <c r="D382" s="1">
        <v>41409</v>
      </c>
      <c r="E382" t="s">
        <v>214</v>
      </c>
      <c r="F382" t="s">
        <v>445</v>
      </c>
      <c r="G382" t="s">
        <v>22</v>
      </c>
      <c r="H382" t="s">
        <v>292</v>
      </c>
      <c r="I382" t="s">
        <v>22</v>
      </c>
      <c r="J382" t="s">
        <v>23</v>
      </c>
      <c r="K382" t="s">
        <v>292</v>
      </c>
      <c r="L382" t="s">
        <v>24</v>
      </c>
      <c r="M382">
        <v>7</v>
      </c>
      <c r="N382" t="s">
        <v>25</v>
      </c>
      <c r="O382" t="s">
        <v>796</v>
      </c>
      <c r="P382" t="s">
        <v>441</v>
      </c>
      <c r="Q382" t="s">
        <v>410</v>
      </c>
      <c r="R382">
        <v>2013</v>
      </c>
      <c r="S382" t="s">
        <v>797</v>
      </c>
      <c r="T382">
        <f>IF(IPL_Matches_2008_2020___New[[#This Row],[Toss Winner]]=IPL_Matches_2008_2020___New[[#This Row],[Winner]],1,0)</f>
        <v>0</v>
      </c>
      <c r="U382" t="s">
        <v>798</v>
      </c>
    </row>
    <row r="383" spans="1:21" x14ac:dyDescent="0.3">
      <c r="A383" t="s">
        <v>1182</v>
      </c>
      <c r="B383" t="s">
        <v>70</v>
      </c>
      <c r="C383">
        <f>YEAR(IPL_Matches_2008_2020___New[[#This Row],[Date ]])</f>
        <v>2013</v>
      </c>
      <c r="D383" s="1">
        <v>41408</v>
      </c>
      <c r="E383" t="s">
        <v>87</v>
      </c>
      <c r="F383" t="s">
        <v>73</v>
      </c>
      <c r="G383" t="s">
        <v>34</v>
      </c>
      <c r="H383" t="s">
        <v>692</v>
      </c>
      <c r="I383" t="s">
        <v>34</v>
      </c>
      <c r="J383" t="s">
        <v>35</v>
      </c>
      <c r="K383" t="s">
        <v>34</v>
      </c>
      <c r="L383" t="s">
        <v>24</v>
      </c>
      <c r="M383">
        <v>33</v>
      </c>
      <c r="N383" t="s">
        <v>25</v>
      </c>
      <c r="O383" t="s">
        <v>796</v>
      </c>
      <c r="P383" t="s">
        <v>387</v>
      </c>
      <c r="Q383" t="s">
        <v>305</v>
      </c>
      <c r="R383">
        <v>2013</v>
      </c>
      <c r="S383" t="s">
        <v>797</v>
      </c>
      <c r="T383">
        <f>IF(IPL_Matches_2008_2020___New[[#This Row],[Toss Winner]]=IPL_Matches_2008_2020___New[[#This Row],[Winner]],1,0)</f>
        <v>1</v>
      </c>
      <c r="U383" t="s">
        <v>801</v>
      </c>
    </row>
    <row r="384" spans="1:21" x14ac:dyDescent="0.3">
      <c r="A384" t="s">
        <v>1183</v>
      </c>
      <c r="B384" t="s">
        <v>46</v>
      </c>
      <c r="C384">
        <f>YEAR(IPL_Matches_2008_2020___New[[#This Row],[Date ]])</f>
        <v>2013</v>
      </c>
      <c r="D384" s="1">
        <v>41409</v>
      </c>
      <c r="E384" t="s">
        <v>448</v>
      </c>
      <c r="F384" t="s">
        <v>49</v>
      </c>
      <c r="G384" t="s">
        <v>50</v>
      </c>
      <c r="H384" t="s">
        <v>42</v>
      </c>
      <c r="I384" t="s">
        <v>42</v>
      </c>
      <c r="J384" t="s">
        <v>23</v>
      </c>
      <c r="K384" t="s">
        <v>50</v>
      </c>
      <c r="L384" t="s">
        <v>24</v>
      </c>
      <c r="M384">
        <v>14</v>
      </c>
      <c r="N384" t="s">
        <v>25</v>
      </c>
      <c r="O384" t="s">
        <v>796</v>
      </c>
      <c r="P384" t="s">
        <v>27</v>
      </c>
      <c r="Q384" t="s">
        <v>168</v>
      </c>
      <c r="R384">
        <v>2013</v>
      </c>
      <c r="S384" t="s">
        <v>797</v>
      </c>
      <c r="T384">
        <f>IF(IPL_Matches_2008_2020___New[[#This Row],[Toss Winner]]=IPL_Matches_2008_2020___New[[#This Row],[Winner]],1,0)</f>
        <v>0</v>
      </c>
      <c r="U384" t="s">
        <v>798</v>
      </c>
    </row>
    <row r="385" spans="1:21" x14ac:dyDescent="0.3">
      <c r="A385" t="s">
        <v>1184</v>
      </c>
      <c r="B385" t="s">
        <v>29</v>
      </c>
      <c r="C385">
        <f>YEAR(IPL_Matches_2008_2020___New[[#This Row],[Date ]])</f>
        <v>2013</v>
      </c>
      <c r="D385" s="1">
        <v>41400</v>
      </c>
      <c r="E385" t="s">
        <v>424</v>
      </c>
      <c r="F385" t="s">
        <v>32</v>
      </c>
      <c r="G385" t="s">
        <v>800</v>
      </c>
      <c r="H385" t="s">
        <v>21</v>
      </c>
      <c r="I385" t="s">
        <v>800</v>
      </c>
      <c r="J385" t="s">
        <v>23</v>
      </c>
      <c r="K385" t="s">
        <v>800</v>
      </c>
      <c r="L385" t="s">
        <v>43</v>
      </c>
      <c r="M385">
        <v>6</v>
      </c>
      <c r="N385" t="s">
        <v>25</v>
      </c>
      <c r="O385" t="s">
        <v>796</v>
      </c>
      <c r="P385" t="s">
        <v>354</v>
      </c>
      <c r="Q385" t="s">
        <v>441</v>
      </c>
      <c r="R385">
        <v>2013</v>
      </c>
      <c r="S385" t="s">
        <v>803</v>
      </c>
      <c r="T385">
        <f>IF(IPL_Matches_2008_2020___New[[#This Row],[Toss Winner]]=IPL_Matches_2008_2020___New[[#This Row],[Winner]],1,0)</f>
        <v>1</v>
      </c>
      <c r="U385" t="s">
        <v>801</v>
      </c>
    </row>
    <row r="386" spans="1:21" x14ac:dyDescent="0.3">
      <c r="A386" t="s">
        <v>1185</v>
      </c>
      <c r="B386" t="s">
        <v>64</v>
      </c>
      <c r="C386">
        <f>YEAR(IPL_Matches_2008_2020___New[[#This Row],[Date ]])</f>
        <v>2013</v>
      </c>
      <c r="D386" s="1">
        <v>41411</v>
      </c>
      <c r="E386" t="s">
        <v>111</v>
      </c>
      <c r="F386" t="s">
        <v>67</v>
      </c>
      <c r="G386" t="s">
        <v>406</v>
      </c>
      <c r="H386" t="s">
        <v>42</v>
      </c>
      <c r="I386" t="s">
        <v>406</v>
      </c>
      <c r="J386" t="s">
        <v>35</v>
      </c>
      <c r="K386" t="s">
        <v>406</v>
      </c>
      <c r="L386" t="s">
        <v>24</v>
      </c>
      <c r="M386">
        <v>23</v>
      </c>
      <c r="N386" t="s">
        <v>25</v>
      </c>
      <c r="O386" t="s">
        <v>796</v>
      </c>
      <c r="P386" t="s">
        <v>27</v>
      </c>
      <c r="Q386" t="s">
        <v>349</v>
      </c>
      <c r="R386">
        <v>2013</v>
      </c>
      <c r="S386" t="s">
        <v>797</v>
      </c>
      <c r="T386">
        <f>IF(IPL_Matches_2008_2020___New[[#This Row],[Toss Winner]]=IPL_Matches_2008_2020___New[[#This Row],[Winner]],1,0)</f>
        <v>1</v>
      </c>
      <c r="U386" t="s">
        <v>801</v>
      </c>
    </row>
    <row r="387" spans="1:21" x14ac:dyDescent="0.3">
      <c r="A387" t="s">
        <v>1186</v>
      </c>
      <c r="B387" t="s">
        <v>271</v>
      </c>
      <c r="C387">
        <f>YEAR(IPL_Matches_2008_2020___New[[#This Row],[Date ]])</f>
        <v>2013</v>
      </c>
      <c r="D387" s="1">
        <v>41412</v>
      </c>
      <c r="E387" t="s">
        <v>389</v>
      </c>
      <c r="F387" t="s">
        <v>273</v>
      </c>
      <c r="G387" t="s">
        <v>800</v>
      </c>
      <c r="H387" t="s">
        <v>50</v>
      </c>
      <c r="I387" t="s">
        <v>50</v>
      </c>
      <c r="J387" t="s">
        <v>23</v>
      </c>
      <c r="K387" t="s">
        <v>800</v>
      </c>
      <c r="L387" t="s">
        <v>24</v>
      </c>
      <c r="M387">
        <v>50</v>
      </c>
      <c r="N387" t="s">
        <v>25</v>
      </c>
      <c r="O387" t="s">
        <v>796</v>
      </c>
      <c r="P387" t="s">
        <v>165</v>
      </c>
      <c r="Q387" t="s">
        <v>418</v>
      </c>
      <c r="R387">
        <v>2013</v>
      </c>
      <c r="S387" t="s">
        <v>797</v>
      </c>
      <c r="T387">
        <f>IF(IPL_Matches_2008_2020___New[[#This Row],[Toss Winner]]=IPL_Matches_2008_2020___New[[#This Row],[Winner]],1,0)</f>
        <v>0</v>
      </c>
      <c r="U387" t="s">
        <v>798</v>
      </c>
    </row>
    <row r="388" spans="1:21" x14ac:dyDescent="0.3">
      <c r="A388" t="s">
        <v>1187</v>
      </c>
      <c r="B388" t="s">
        <v>355</v>
      </c>
      <c r="C388">
        <f>YEAR(IPL_Matches_2008_2020___New[[#This Row],[Date ]])</f>
        <v>2013</v>
      </c>
      <c r="D388" s="1">
        <v>41413</v>
      </c>
      <c r="E388" t="s">
        <v>452</v>
      </c>
      <c r="F388" t="s">
        <v>357</v>
      </c>
      <c r="G388" t="s">
        <v>292</v>
      </c>
      <c r="H388" t="s">
        <v>692</v>
      </c>
      <c r="I388" t="s">
        <v>292</v>
      </c>
      <c r="J388" t="s">
        <v>35</v>
      </c>
      <c r="K388" t="s">
        <v>292</v>
      </c>
      <c r="L388" t="s">
        <v>24</v>
      </c>
      <c r="M388">
        <v>38</v>
      </c>
      <c r="N388" t="s">
        <v>25</v>
      </c>
      <c r="O388" t="s">
        <v>796</v>
      </c>
      <c r="P388" t="s">
        <v>441</v>
      </c>
      <c r="Q388" t="s">
        <v>149</v>
      </c>
      <c r="R388">
        <v>2013</v>
      </c>
      <c r="S388" t="s">
        <v>797</v>
      </c>
      <c r="T388">
        <f>IF(IPL_Matches_2008_2020___New[[#This Row],[Toss Winner]]=IPL_Matches_2008_2020___New[[#This Row],[Winner]],1,0)</f>
        <v>1</v>
      </c>
      <c r="U388" t="s">
        <v>801</v>
      </c>
    </row>
    <row r="389" spans="1:21" x14ac:dyDescent="0.3">
      <c r="A389" t="s">
        <v>1188</v>
      </c>
      <c r="B389" t="s">
        <v>17</v>
      </c>
      <c r="C389">
        <f>YEAR(IPL_Matches_2008_2020___New[[#This Row],[Date ]])</f>
        <v>2013</v>
      </c>
      <c r="D389" s="1">
        <v>41412</v>
      </c>
      <c r="E389" t="s">
        <v>314</v>
      </c>
      <c r="F389" t="s">
        <v>795</v>
      </c>
      <c r="G389" t="s">
        <v>21</v>
      </c>
      <c r="H389" t="s">
        <v>34</v>
      </c>
      <c r="I389" t="s">
        <v>34</v>
      </c>
      <c r="J389" t="s">
        <v>23</v>
      </c>
      <c r="K389" t="s">
        <v>21</v>
      </c>
      <c r="L389" t="s">
        <v>24</v>
      </c>
      <c r="M389">
        <v>24</v>
      </c>
      <c r="N389" t="s">
        <v>25</v>
      </c>
      <c r="O389" t="s">
        <v>796</v>
      </c>
      <c r="P389" t="s">
        <v>387</v>
      </c>
      <c r="Q389" t="s">
        <v>305</v>
      </c>
      <c r="R389">
        <v>2013</v>
      </c>
      <c r="S389" t="s">
        <v>797</v>
      </c>
      <c r="T389">
        <f>IF(IPL_Matches_2008_2020___New[[#This Row],[Toss Winner]]=IPL_Matches_2008_2020___New[[#This Row],[Winner]],1,0)</f>
        <v>0</v>
      </c>
      <c r="U389" t="s">
        <v>798</v>
      </c>
    </row>
    <row r="390" spans="1:21" x14ac:dyDescent="0.3">
      <c r="A390" t="s">
        <v>1189</v>
      </c>
      <c r="B390" t="s">
        <v>64</v>
      </c>
      <c r="C390">
        <f>YEAR(IPL_Matches_2008_2020___New[[#This Row],[Date ]])</f>
        <v>2013</v>
      </c>
      <c r="D390" s="1">
        <v>41413</v>
      </c>
      <c r="E390" t="s">
        <v>443</v>
      </c>
      <c r="F390" t="s">
        <v>67</v>
      </c>
      <c r="G390" t="s">
        <v>406</v>
      </c>
      <c r="H390" t="s">
        <v>22</v>
      </c>
      <c r="I390" t="s">
        <v>22</v>
      </c>
      <c r="J390" t="s">
        <v>35</v>
      </c>
      <c r="K390" t="s">
        <v>406</v>
      </c>
      <c r="L390" t="s">
        <v>43</v>
      </c>
      <c r="M390">
        <v>5</v>
      </c>
      <c r="N390" t="s">
        <v>25</v>
      </c>
      <c r="O390" t="s">
        <v>796</v>
      </c>
      <c r="P390" t="s">
        <v>27</v>
      </c>
      <c r="Q390" t="s">
        <v>168</v>
      </c>
      <c r="R390">
        <v>2013</v>
      </c>
      <c r="S390" t="s">
        <v>803</v>
      </c>
      <c r="T390">
        <f>IF(IPL_Matches_2008_2020___New[[#This Row],[Toss Winner]]=IPL_Matches_2008_2020___New[[#This Row],[Winner]],1,0)</f>
        <v>0</v>
      </c>
      <c r="U390" t="s">
        <v>798</v>
      </c>
    </row>
    <row r="391" spans="1:21" x14ac:dyDescent="0.3">
      <c r="A391" t="s">
        <v>1190</v>
      </c>
      <c r="B391" t="s">
        <v>38</v>
      </c>
      <c r="C391">
        <f>YEAR(IPL_Matches_2008_2020___New[[#This Row],[Date ]])</f>
        <v>2013</v>
      </c>
      <c r="D391" s="1">
        <v>41415</v>
      </c>
      <c r="E391" t="s">
        <v>31</v>
      </c>
      <c r="F391" t="s">
        <v>40</v>
      </c>
      <c r="G391" t="s">
        <v>34</v>
      </c>
      <c r="H391" t="s">
        <v>50</v>
      </c>
      <c r="I391" t="s">
        <v>34</v>
      </c>
      <c r="J391" t="s">
        <v>35</v>
      </c>
      <c r="K391" t="s">
        <v>34</v>
      </c>
      <c r="L391" t="s">
        <v>24</v>
      </c>
      <c r="M391">
        <v>48</v>
      </c>
      <c r="N391" t="s">
        <v>25</v>
      </c>
      <c r="O391" t="s">
        <v>796</v>
      </c>
      <c r="P391" t="s">
        <v>441</v>
      </c>
      <c r="Q391" t="s">
        <v>305</v>
      </c>
      <c r="R391">
        <v>2013</v>
      </c>
      <c r="S391" t="s">
        <v>797</v>
      </c>
      <c r="T391">
        <f>IF(IPL_Matches_2008_2020___New[[#This Row],[Toss Winner]]=IPL_Matches_2008_2020___New[[#This Row],[Winner]],1,0)</f>
        <v>1</v>
      </c>
      <c r="U391" t="s">
        <v>801</v>
      </c>
    </row>
    <row r="392" spans="1:21" x14ac:dyDescent="0.3">
      <c r="A392" t="s">
        <v>1191</v>
      </c>
      <c r="B392" t="s">
        <v>38</v>
      </c>
      <c r="C392">
        <f>YEAR(IPL_Matches_2008_2020___New[[#This Row],[Date ]])</f>
        <v>2013</v>
      </c>
      <c r="D392" s="1">
        <v>41416</v>
      </c>
      <c r="E392" t="s">
        <v>209</v>
      </c>
      <c r="F392" t="s">
        <v>40</v>
      </c>
      <c r="G392" t="s">
        <v>42</v>
      </c>
      <c r="H392" t="s">
        <v>406</v>
      </c>
      <c r="I392" t="s">
        <v>406</v>
      </c>
      <c r="J392" t="s">
        <v>35</v>
      </c>
      <c r="K392" t="s">
        <v>42</v>
      </c>
      <c r="L392" t="s">
        <v>43</v>
      </c>
      <c r="M392">
        <v>4</v>
      </c>
      <c r="N392" t="s">
        <v>25</v>
      </c>
      <c r="O392" t="s">
        <v>796</v>
      </c>
      <c r="P392" t="s">
        <v>183</v>
      </c>
      <c r="Q392" t="s">
        <v>305</v>
      </c>
      <c r="R392">
        <v>2013</v>
      </c>
      <c r="S392" t="s">
        <v>803</v>
      </c>
      <c r="T392">
        <f>IF(IPL_Matches_2008_2020___New[[#This Row],[Toss Winner]]=IPL_Matches_2008_2020___New[[#This Row],[Winner]],1,0)</f>
        <v>0</v>
      </c>
      <c r="U392" t="s">
        <v>798</v>
      </c>
    </row>
    <row r="393" spans="1:21" x14ac:dyDescent="0.3">
      <c r="A393" t="s">
        <v>1192</v>
      </c>
      <c r="B393" t="s">
        <v>53</v>
      </c>
      <c r="C393">
        <f>YEAR(IPL_Matches_2008_2020___New[[#This Row],[Date ]])</f>
        <v>2013</v>
      </c>
      <c r="D393" s="1">
        <v>41418</v>
      </c>
      <c r="E393" t="s">
        <v>197</v>
      </c>
      <c r="F393" t="s">
        <v>55</v>
      </c>
      <c r="G393" t="s">
        <v>50</v>
      </c>
      <c r="H393" t="s">
        <v>42</v>
      </c>
      <c r="I393" t="s">
        <v>42</v>
      </c>
      <c r="J393" t="s">
        <v>35</v>
      </c>
      <c r="K393" t="s">
        <v>50</v>
      </c>
      <c r="L393" t="s">
        <v>43</v>
      </c>
      <c r="M393">
        <v>4</v>
      </c>
      <c r="N393" t="s">
        <v>25</v>
      </c>
      <c r="O393" t="s">
        <v>796</v>
      </c>
      <c r="P393" t="s">
        <v>387</v>
      </c>
      <c r="Q393" t="s">
        <v>149</v>
      </c>
      <c r="R393">
        <v>2013</v>
      </c>
      <c r="S393" t="s">
        <v>803</v>
      </c>
      <c r="T393">
        <f>IF(IPL_Matches_2008_2020___New[[#This Row],[Toss Winner]]=IPL_Matches_2008_2020___New[[#This Row],[Winner]],1,0)</f>
        <v>0</v>
      </c>
      <c r="U393" t="s">
        <v>798</v>
      </c>
    </row>
    <row r="394" spans="1:21" x14ac:dyDescent="0.3">
      <c r="A394" t="s">
        <v>1193</v>
      </c>
      <c r="B394" t="s">
        <v>53</v>
      </c>
      <c r="C394">
        <f>YEAR(IPL_Matches_2008_2020___New[[#This Row],[Date ]])</f>
        <v>2013</v>
      </c>
      <c r="D394" s="1">
        <v>41420</v>
      </c>
      <c r="E394" t="s">
        <v>267</v>
      </c>
      <c r="F394" t="s">
        <v>55</v>
      </c>
      <c r="G394" t="s">
        <v>34</v>
      </c>
      <c r="H394" t="s">
        <v>50</v>
      </c>
      <c r="I394" t="s">
        <v>50</v>
      </c>
      <c r="J394" t="s">
        <v>35</v>
      </c>
      <c r="K394" t="s">
        <v>50</v>
      </c>
      <c r="L394" t="s">
        <v>24</v>
      </c>
      <c r="M394">
        <v>23</v>
      </c>
      <c r="N394" t="s">
        <v>25</v>
      </c>
      <c r="O394" t="s">
        <v>796</v>
      </c>
      <c r="P394" t="s">
        <v>165</v>
      </c>
      <c r="Q394" t="s">
        <v>149</v>
      </c>
      <c r="R394">
        <v>2013</v>
      </c>
      <c r="S394" t="s">
        <v>797</v>
      </c>
      <c r="T394">
        <f>IF(IPL_Matches_2008_2020___New[[#This Row],[Toss Winner]]=IPL_Matches_2008_2020___New[[#This Row],[Winner]],1,0)</f>
        <v>1</v>
      </c>
      <c r="U394" t="s">
        <v>801</v>
      </c>
    </row>
    <row r="395" spans="1:21" x14ac:dyDescent="0.3">
      <c r="A395" t="s">
        <v>1194</v>
      </c>
      <c r="B395" t="s">
        <v>457</v>
      </c>
      <c r="C395">
        <f>YEAR(IPL_Matches_2008_2020___New[[#This Row],[Date ]])</f>
        <v>2014</v>
      </c>
      <c r="D395" s="1">
        <v>41745</v>
      </c>
      <c r="E395" t="s">
        <v>187</v>
      </c>
      <c r="F395" t="s">
        <v>459</v>
      </c>
      <c r="G395" t="s">
        <v>50</v>
      </c>
      <c r="H395" t="s">
        <v>22</v>
      </c>
      <c r="I395" t="s">
        <v>22</v>
      </c>
      <c r="J395" t="s">
        <v>35</v>
      </c>
      <c r="K395" t="s">
        <v>22</v>
      </c>
      <c r="L395" t="s">
        <v>24</v>
      </c>
      <c r="M395">
        <v>41</v>
      </c>
      <c r="N395" t="s">
        <v>25</v>
      </c>
      <c r="O395" t="s">
        <v>796</v>
      </c>
      <c r="P395" t="s">
        <v>155</v>
      </c>
      <c r="Q395" t="s">
        <v>460</v>
      </c>
      <c r="R395">
        <v>2014</v>
      </c>
      <c r="S395" t="s">
        <v>797</v>
      </c>
      <c r="T395">
        <f>IF(IPL_Matches_2008_2020___New[[#This Row],[Toss Winner]]=IPL_Matches_2008_2020___New[[#This Row],[Winner]],1,0)</f>
        <v>1</v>
      </c>
      <c r="U395" t="s">
        <v>801</v>
      </c>
    </row>
    <row r="396" spans="1:21" x14ac:dyDescent="0.3">
      <c r="A396" t="s">
        <v>1195</v>
      </c>
      <c r="B396" t="s">
        <v>1196</v>
      </c>
      <c r="C396">
        <f>YEAR(IPL_Matches_2008_2020___New[[#This Row],[Date ]])</f>
        <v>2014</v>
      </c>
      <c r="D396" s="1">
        <v>41746</v>
      </c>
      <c r="E396" t="s">
        <v>462</v>
      </c>
      <c r="F396" t="s">
        <v>463</v>
      </c>
      <c r="G396" t="s">
        <v>692</v>
      </c>
      <c r="H396" t="s">
        <v>21</v>
      </c>
      <c r="I396" t="s">
        <v>21</v>
      </c>
      <c r="J396" t="s">
        <v>23</v>
      </c>
      <c r="K396" t="s">
        <v>21</v>
      </c>
      <c r="L396" t="s">
        <v>43</v>
      </c>
      <c r="M396">
        <v>8</v>
      </c>
      <c r="N396" t="s">
        <v>25</v>
      </c>
      <c r="O396" t="s">
        <v>796</v>
      </c>
      <c r="P396" t="s">
        <v>44</v>
      </c>
      <c r="Q396" t="s">
        <v>183</v>
      </c>
      <c r="R396">
        <v>2014</v>
      </c>
      <c r="S396" t="s">
        <v>803</v>
      </c>
      <c r="T396">
        <f>IF(IPL_Matches_2008_2020___New[[#This Row],[Toss Winner]]=IPL_Matches_2008_2020___New[[#This Row],[Winner]],1,0)</f>
        <v>1</v>
      </c>
      <c r="U396" t="s">
        <v>801</v>
      </c>
    </row>
    <row r="397" spans="1:21" x14ac:dyDescent="0.3">
      <c r="A397" t="s">
        <v>1197</v>
      </c>
      <c r="B397" t="s">
        <v>457</v>
      </c>
      <c r="C397">
        <f>YEAR(IPL_Matches_2008_2020___New[[#This Row],[Date ]])</f>
        <v>2014</v>
      </c>
      <c r="D397" s="1">
        <v>41747</v>
      </c>
      <c r="E397" t="s">
        <v>465</v>
      </c>
      <c r="F397" t="s">
        <v>459</v>
      </c>
      <c r="G397" t="s">
        <v>34</v>
      </c>
      <c r="H397" t="s">
        <v>800</v>
      </c>
      <c r="I397" t="s">
        <v>34</v>
      </c>
      <c r="J397" t="s">
        <v>35</v>
      </c>
      <c r="K397" t="s">
        <v>800</v>
      </c>
      <c r="L397" t="s">
        <v>43</v>
      </c>
      <c r="M397">
        <v>6</v>
      </c>
      <c r="N397" t="s">
        <v>25</v>
      </c>
      <c r="O397" t="s">
        <v>796</v>
      </c>
      <c r="P397" t="s">
        <v>460</v>
      </c>
      <c r="Q397" t="s">
        <v>387</v>
      </c>
      <c r="R397">
        <v>2014</v>
      </c>
      <c r="S397" t="s">
        <v>803</v>
      </c>
      <c r="T397">
        <f>IF(IPL_Matches_2008_2020___New[[#This Row],[Toss Winner]]=IPL_Matches_2008_2020___New[[#This Row],[Winner]],1,0)</f>
        <v>0</v>
      </c>
      <c r="U397" t="s">
        <v>798</v>
      </c>
    </row>
    <row r="398" spans="1:21" x14ac:dyDescent="0.3">
      <c r="A398" t="s">
        <v>1198</v>
      </c>
      <c r="B398" t="s">
        <v>457</v>
      </c>
      <c r="C398">
        <f>YEAR(IPL_Matches_2008_2020___New[[#This Row],[Date ]])</f>
        <v>2014</v>
      </c>
      <c r="D398" s="1">
        <v>41747</v>
      </c>
      <c r="E398" t="s">
        <v>350</v>
      </c>
      <c r="F398" t="s">
        <v>459</v>
      </c>
      <c r="G398" t="s">
        <v>406</v>
      </c>
      <c r="H398" t="s">
        <v>42</v>
      </c>
      <c r="I398" t="s">
        <v>42</v>
      </c>
      <c r="J398" t="s">
        <v>23</v>
      </c>
      <c r="K398" t="s">
        <v>42</v>
      </c>
      <c r="L398" t="s">
        <v>43</v>
      </c>
      <c r="M398">
        <v>4</v>
      </c>
      <c r="N398" t="s">
        <v>25</v>
      </c>
      <c r="O398" t="s">
        <v>796</v>
      </c>
      <c r="P398" t="s">
        <v>57</v>
      </c>
      <c r="Q398" t="s">
        <v>460</v>
      </c>
      <c r="R398">
        <v>2014</v>
      </c>
      <c r="S398" t="s">
        <v>803</v>
      </c>
      <c r="T398">
        <f>IF(IPL_Matches_2008_2020___New[[#This Row],[Toss Winner]]=IPL_Matches_2008_2020___New[[#This Row],[Winner]],1,0)</f>
        <v>1</v>
      </c>
      <c r="U398" t="s">
        <v>801</v>
      </c>
    </row>
    <row r="399" spans="1:21" x14ac:dyDescent="0.3">
      <c r="A399" t="s">
        <v>1199</v>
      </c>
      <c r="B399" t="s">
        <v>1196</v>
      </c>
      <c r="C399">
        <f>YEAR(IPL_Matches_2008_2020___New[[#This Row],[Date ]])</f>
        <v>2014</v>
      </c>
      <c r="D399" s="1">
        <v>41748</v>
      </c>
      <c r="E399" t="s">
        <v>443</v>
      </c>
      <c r="F399" t="s">
        <v>467</v>
      </c>
      <c r="G399" t="s">
        <v>21</v>
      </c>
      <c r="H399" t="s">
        <v>50</v>
      </c>
      <c r="I399" t="s">
        <v>21</v>
      </c>
      <c r="J399" t="s">
        <v>23</v>
      </c>
      <c r="K399" t="s">
        <v>21</v>
      </c>
      <c r="L399" t="s">
        <v>43</v>
      </c>
      <c r="M399">
        <v>7</v>
      </c>
      <c r="N399" t="s">
        <v>25</v>
      </c>
      <c r="O399" t="s">
        <v>796</v>
      </c>
      <c r="P399" t="s">
        <v>44</v>
      </c>
      <c r="Q399" t="s">
        <v>349</v>
      </c>
      <c r="R399">
        <v>2014</v>
      </c>
      <c r="S399" t="s">
        <v>803</v>
      </c>
      <c r="T399">
        <f>IF(IPL_Matches_2008_2020___New[[#This Row],[Toss Winner]]=IPL_Matches_2008_2020___New[[#This Row],[Winner]],1,0)</f>
        <v>1</v>
      </c>
      <c r="U399" t="s">
        <v>801</v>
      </c>
    </row>
    <row r="400" spans="1:21" x14ac:dyDescent="0.3">
      <c r="A400" t="s">
        <v>1200</v>
      </c>
      <c r="B400" t="s">
        <v>1196</v>
      </c>
      <c r="C400">
        <f>YEAR(IPL_Matches_2008_2020___New[[#This Row],[Date ]])</f>
        <v>2014</v>
      </c>
      <c r="D400" s="1">
        <v>41748</v>
      </c>
      <c r="E400" t="s">
        <v>179</v>
      </c>
      <c r="F400" t="s">
        <v>467</v>
      </c>
      <c r="G400" t="s">
        <v>22</v>
      </c>
      <c r="H400" t="s">
        <v>692</v>
      </c>
      <c r="I400" t="s">
        <v>22</v>
      </c>
      <c r="J400" t="s">
        <v>35</v>
      </c>
      <c r="K400" t="s">
        <v>692</v>
      </c>
      <c r="L400" t="s">
        <v>43</v>
      </c>
      <c r="M400">
        <v>4</v>
      </c>
      <c r="N400" t="s">
        <v>25</v>
      </c>
      <c r="O400" t="s">
        <v>796</v>
      </c>
      <c r="P400" t="s">
        <v>44</v>
      </c>
      <c r="Q400" t="s">
        <v>354</v>
      </c>
      <c r="R400">
        <v>2014</v>
      </c>
      <c r="S400" t="s">
        <v>803</v>
      </c>
      <c r="T400">
        <f>IF(IPL_Matches_2008_2020___New[[#This Row],[Toss Winner]]=IPL_Matches_2008_2020___New[[#This Row],[Winner]],1,0)</f>
        <v>0</v>
      </c>
      <c r="U400" t="s">
        <v>798</v>
      </c>
    </row>
    <row r="401" spans="1:21" x14ac:dyDescent="0.3">
      <c r="A401" t="s">
        <v>1201</v>
      </c>
      <c r="B401" t="s">
        <v>1196</v>
      </c>
      <c r="C401">
        <f>YEAR(IPL_Matches_2008_2020___New[[#This Row],[Date ]])</f>
        <v>2014</v>
      </c>
      <c r="D401" s="1">
        <v>41749</v>
      </c>
      <c r="E401" t="s">
        <v>465</v>
      </c>
      <c r="F401" t="s">
        <v>463</v>
      </c>
      <c r="G401" t="s">
        <v>42</v>
      </c>
      <c r="H401" t="s">
        <v>800</v>
      </c>
      <c r="I401" t="s">
        <v>800</v>
      </c>
      <c r="J401" t="s">
        <v>23</v>
      </c>
      <c r="K401" t="s">
        <v>800</v>
      </c>
      <c r="L401" t="s">
        <v>43</v>
      </c>
      <c r="M401">
        <v>7</v>
      </c>
      <c r="N401" t="s">
        <v>25</v>
      </c>
      <c r="O401" t="s">
        <v>796</v>
      </c>
      <c r="P401" t="s">
        <v>57</v>
      </c>
      <c r="Q401" t="s">
        <v>155</v>
      </c>
      <c r="R401">
        <v>2014</v>
      </c>
      <c r="S401" t="s">
        <v>803</v>
      </c>
      <c r="T401">
        <f>IF(IPL_Matches_2008_2020___New[[#This Row],[Toss Winner]]=IPL_Matches_2008_2020___New[[#This Row],[Winner]],1,0)</f>
        <v>1</v>
      </c>
      <c r="U401" t="s">
        <v>801</v>
      </c>
    </row>
    <row r="402" spans="1:21" x14ac:dyDescent="0.3">
      <c r="A402" t="s">
        <v>1202</v>
      </c>
      <c r="B402" t="s">
        <v>457</v>
      </c>
      <c r="C402">
        <f>YEAR(IPL_Matches_2008_2020___New[[#This Row],[Date ]])</f>
        <v>2014</v>
      </c>
      <c r="D402" s="1">
        <v>41750</v>
      </c>
      <c r="E402" t="s">
        <v>133</v>
      </c>
      <c r="F402" t="s">
        <v>459</v>
      </c>
      <c r="G402" t="s">
        <v>34</v>
      </c>
      <c r="H402" t="s">
        <v>692</v>
      </c>
      <c r="I402" t="s">
        <v>34</v>
      </c>
      <c r="J402" t="s">
        <v>35</v>
      </c>
      <c r="K402" t="s">
        <v>34</v>
      </c>
      <c r="L402" t="s">
        <v>24</v>
      </c>
      <c r="M402">
        <v>93</v>
      </c>
      <c r="N402" t="s">
        <v>25</v>
      </c>
      <c r="O402" t="s">
        <v>796</v>
      </c>
      <c r="P402" t="s">
        <v>460</v>
      </c>
      <c r="Q402" t="s">
        <v>387</v>
      </c>
      <c r="R402">
        <v>2014</v>
      </c>
      <c r="S402" t="s">
        <v>797</v>
      </c>
      <c r="T402">
        <f>IF(IPL_Matches_2008_2020___New[[#This Row],[Toss Winner]]=IPL_Matches_2008_2020___New[[#This Row],[Winner]],1,0)</f>
        <v>1</v>
      </c>
      <c r="U402" t="s">
        <v>801</v>
      </c>
    </row>
    <row r="403" spans="1:21" x14ac:dyDescent="0.3">
      <c r="A403" t="s">
        <v>1203</v>
      </c>
      <c r="B403" t="s">
        <v>1196</v>
      </c>
      <c r="C403">
        <f>YEAR(IPL_Matches_2008_2020___New[[#This Row],[Date ]])</f>
        <v>2014</v>
      </c>
      <c r="D403" s="1">
        <v>41751</v>
      </c>
      <c r="E403" t="s">
        <v>465</v>
      </c>
      <c r="F403" t="s">
        <v>463</v>
      </c>
      <c r="G403" t="s">
        <v>800</v>
      </c>
      <c r="H403" t="s">
        <v>406</v>
      </c>
      <c r="I403" t="s">
        <v>406</v>
      </c>
      <c r="J403" t="s">
        <v>23</v>
      </c>
      <c r="K403" t="s">
        <v>800</v>
      </c>
      <c r="L403" t="s">
        <v>24</v>
      </c>
      <c r="M403">
        <v>72</v>
      </c>
      <c r="N403" t="s">
        <v>25</v>
      </c>
      <c r="O403" t="s">
        <v>796</v>
      </c>
      <c r="P403" t="s">
        <v>155</v>
      </c>
      <c r="Q403" t="s">
        <v>183</v>
      </c>
      <c r="R403">
        <v>2014</v>
      </c>
      <c r="S403" t="s">
        <v>797</v>
      </c>
      <c r="T403">
        <f>IF(IPL_Matches_2008_2020___New[[#This Row],[Toss Winner]]=IPL_Matches_2008_2020___New[[#This Row],[Winner]],1,0)</f>
        <v>0</v>
      </c>
      <c r="U403" t="s">
        <v>798</v>
      </c>
    </row>
    <row r="404" spans="1:21" x14ac:dyDescent="0.3">
      <c r="A404" t="s">
        <v>1204</v>
      </c>
      <c r="B404" t="s">
        <v>1196</v>
      </c>
      <c r="C404">
        <f>YEAR(IPL_Matches_2008_2020___New[[#This Row],[Date ]])</f>
        <v>2014</v>
      </c>
      <c r="D404" s="1">
        <v>41752</v>
      </c>
      <c r="E404" t="s">
        <v>352</v>
      </c>
      <c r="F404" t="s">
        <v>467</v>
      </c>
      <c r="G404" t="s">
        <v>42</v>
      </c>
      <c r="H404" t="s">
        <v>34</v>
      </c>
      <c r="I404" t="s">
        <v>42</v>
      </c>
      <c r="J404" t="s">
        <v>23</v>
      </c>
      <c r="K404" t="s">
        <v>34</v>
      </c>
      <c r="L404" t="s">
        <v>24</v>
      </c>
      <c r="M404">
        <v>7</v>
      </c>
      <c r="N404" t="s">
        <v>25</v>
      </c>
      <c r="O404" t="s">
        <v>796</v>
      </c>
      <c r="P404" t="s">
        <v>165</v>
      </c>
      <c r="Q404" t="s">
        <v>460</v>
      </c>
      <c r="R404">
        <v>2014</v>
      </c>
      <c r="S404" t="s">
        <v>797</v>
      </c>
      <c r="T404">
        <f>IF(IPL_Matches_2008_2020___New[[#This Row],[Toss Winner]]=IPL_Matches_2008_2020___New[[#This Row],[Winner]],1,0)</f>
        <v>0</v>
      </c>
      <c r="U404" t="s">
        <v>798</v>
      </c>
    </row>
    <row r="405" spans="1:21" x14ac:dyDescent="0.3">
      <c r="A405" t="s">
        <v>1205</v>
      </c>
      <c r="B405" t="s">
        <v>1196</v>
      </c>
      <c r="C405">
        <f>YEAR(IPL_Matches_2008_2020___New[[#This Row],[Date ]])</f>
        <v>2014</v>
      </c>
      <c r="D405" s="1">
        <v>41753</v>
      </c>
      <c r="E405" t="s">
        <v>473</v>
      </c>
      <c r="F405" t="s">
        <v>463</v>
      </c>
      <c r="G405" t="s">
        <v>21</v>
      </c>
      <c r="H405" t="s">
        <v>22</v>
      </c>
      <c r="I405" t="s">
        <v>21</v>
      </c>
      <c r="J405" t="s">
        <v>23</v>
      </c>
      <c r="K405" t="s">
        <v>22</v>
      </c>
      <c r="L405" t="s">
        <v>24</v>
      </c>
      <c r="M405">
        <v>2</v>
      </c>
      <c r="N405" t="s">
        <v>25</v>
      </c>
      <c r="O405" t="s">
        <v>796</v>
      </c>
      <c r="P405" t="s">
        <v>44</v>
      </c>
      <c r="Q405" t="s">
        <v>354</v>
      </c>
      <c r="R405">
        <v>2014</v>
      </c>
      <c r="S405" t="s">
        <v>797</v>
      </c>
      <c r="T405">
        <f>IF(IPL_Matches_2008_2020___New[[#This Row],[Toss Winner]]=IPL_Matches_2008_2020___New[[#This Row],[Winner]],1,0)</f>
        <v>0</v>
      </c>
      <c r="U405" t="s">
        <v>798</v>
      </c>
    </row>
    <row r="406" spans="1:21" x14ac:dyDescent="0.3">
      <c r="A406" t="s">
        <v>1206</v>
      </c>
      <c r="B406" t="s">
        <v>1196</v>
      </c>
      <c r="C406">
        <f>YEAR(IPL_Matches_2008_2020___New[[#This Row],[Date ]])</f>
        <v>2014</v>
      </c>
      <c r="D406" s="1">
        <v>41754</v>
      </c>
      <c r="E406" t="s">
        <v>409</v>
      </c>
      <c r="F406" t="s">
        <v>467</v>
      </c>
      <c r="G406" t="s">
        <v>406</v>
      </c>
      <c r="H406" t="s">
        <v>692</v>
      </c>
      <c r="I406" t="s">
        <v>406</v>
      </c>
      <c r="J406" t="s">
        <v>35</v>
      </c>
      <c r="K406" t="s">
        <v>406</v>
      </c>
      <c r="L406" t="s">
        <v>24</v>
      </c>
      <c r="M406">
        <v>4</v>
      </c>
      <c r="N406" t="s">
        <v>25</v>
      </c>
      <c r="O406" t="s">
        <v>796</v>
      </c>
      <c r="P406" t="s">
        <v>155</v>
      </c>
      <c r="Q406" t="s">
        <v>183</v>
      </c>
      <c r="R406">
        <v>2014</v>
      </c>
      <c r="S406" t="s">
        <v>797</v>
      </c>
      <c r="T406">
        <f>IF(IPL_Matches_2008_2020___New[[#This Row],[Toss Winner]]=IPL_Matches_2008_2020___New[[#This Row],[Winner]],1,0)</f>
        <v>1</v>
      </c>
      <c r="U406" t="s">
        <v>801</v>
      </c>
    </row>
    <row r="407" spans="1:21" x14ac:dyDescent="0.3">
      <c r="A407" t="s">
        <v>1207</v>
      </c>
      <c r="B407" t="s">
        <v>1196</v>
      </c>
      <c r="C407">
        <f>YEAR(IPL_Matches_2008_2020___New[[#This Row],[Date ]])</f>
        <v>2014</v>
      </c>
      <c r="D407" s="1">
        <v>41754</v>
      </c>
      <c r="E407" t="s">
        <v>475</v>
      </c>
      <c r="F407" t="s">
        <v>467</v>
      </c>
      <c r="G407" t="s">
        <v>34</v>
      </c>
      <c r="H407" t="s">
        <v>50</v>
      </c>
      <c r="I407" t="s">
        <v>50</v>
      </c>
      <c r="J407" t="s">
        <v>35</v>
      </c>
      <c r="K407" t="s">
        <v>34</v>
      </c>
      <c r="L407" t="s">
        <v>43</v>
      </c>
      <c r="M407">
        <v>7</v>
      </c>
      <c r="N407" t="s">
        <v>25</v>
      </c>
      <c r="O407" t="s">
        <v>796</v>
      </c>
      <c r="P407" t="s">
        <v>57</v>
      </c>
      <c r="Q407" t="s">
        <v>155</v>
      </c>
      <c r="R407">
        <v>2014</v>
      </c>
      <c r="S407" t="s">
        <v>803</v>
      </c>
      <c r="T407">
        <f>IF(IPL_Matches_2008_2020___New[[#This Row],[Toss Winner]]=IPL_Matches_2008_2020___New[[#This Row],[Winner]],1,0)</f>
        <v>0</v>
      </c>
      <c r="U407" t="s">
        <v>798</v>
      </c>
    </row>
    <row r="408" spans="1:21" x14ac:dyDescent="0.3">
      <c r="A408" t="s">
        <v>1208</v>
      </c>
      <c r="B408" t="s">
        <v>457</v>
      </c>
      <c r="C408">
        <f>YEAR(IPL_Matches_2008_2020___New[[#This Row],[Date ]])</f>
        <v>2014</v>
      </c>
      <c r="D408" s="1">
        <v>41755</v>
      </c>
      <c r="E408" t="s">
        <v>477</v>
      </c>
      <c r="F408" t="s">
        <v>459</v>
      </c>
      <c r="G408" t="s">
        <v>42</v>
      </c>
      <c r="H408" t="s">
        <v>21</v>
      </c>
      <c r="I408" t="s">
        <v>42</v>
      </c>
      <c r="J408" t="s">
        <v>23</v>
      </c>
      <c r="K408" t="s">
        <v>42</v>
      </c>
      <c r="L408" t="s">
        <v>43</v>
      </c>
      <c r="M408">
        <v>6</v>
      </c>
      <c r="N408" t="s">
        <v>25</v>
      </c>
      <c r="O408" t="s">
        <v>796</v>
      </c>
      <c r="P408" t="s">
        <v>165</v>
      </c>
      <c r="Q408" t="s">
        <v>387</v>
      </c>
      <c r="R408">
        <v>2014</v>
      </c>
      <c r="S408" t="s">
        <v>803</v>
      </c>
      <c r="T408">
        <f>IF(IPL_Matches_2008_2020___New[[#This Row],[Toss Winner]]=IPL_Matches_2008_2020___New[[#This Row],[Winner]],1,0)</f>
        <v>1</v>
      </c>
      <c r="U408" t="s">
        <v>801</v>
      </c>
    </row>
    <row r="409" spans="1:21" x14ac:dyDescent="0.3">
      <c r="A409" t="s">
        <v>1209</v>
      </c>
      <c r="B409" t="s">
        <v>457</v>
      </c>
      <c r="C409">
        <f>YEAR(IPL_Matches_2008_2020___New[[#This Row],[Date ]])</f>
        <v>2014</v>
      </c>
      <c r="D409" s="1">
        <v>41755</v>
      </c>
      <c r="E409" t="s">
        <v>478</v>
      </c>
      <c r="F409" t="s">
        <v>459</v>
      </c>
      <c r="G409" t="s">
        <v>22</v>
      </c>
      <c r="H409" t="s">
        <v>800</v>
      </c>
      <c r="I409" t="s">
        <v>22</v>
      </c>
      <c r="J409" t="s">
        <v>23</v>
      </c>
      <c r="K409" t="s">
        <v>800</v>
      </c>
      <c r="L409" t="s">
        <v>24</v>
      </c>
      <c r="M409">
        <v>23</v>
      </c>
      <c r="N409" t="s">
        <v>25</v>
      </c>
      <c r="O409" t="s">
        <v>796</v>
      </c>
      <c r="P409" t="s">
        <v>165</v>
      </c>
      <c r="Q409" t="s">
        <v>460</v>
      </c>
      <c r="R409">
        <v>2014</v>
      </c>
      <c r="S409" t="s">
        <v>797</v>
      </c>
      <c r="T409">
        <f>IF(IPL_Matches_2008_2020___New[[#This Row],[Toss Winner]]=IPL_Matches_2008_2020___New[[#This Row],[Winner]],1,0)</f>
        <v>0</v>
      </c>
      <c r="U409" t="s">
        <v>798</v>
      </c>
    </row>
    <row r="410" spans="1:21" x14ac:dyDescent="0.3">
      <c r="A410" t="s">
        <v>1210</v>
      </c>
      <c r="B410" t="s">
        <v>1196</v>
      </c>
      <c r="C410">
        <f>YEAR(IPL_Matches_2008_2020___New[[#This Row],[Date ]])</f>
        <v>2014</v>
      </c>
      <c r="D410" s="1">
        <v>41756</v>
      </c>
      <c r="E410" t="s">
        <v>255</v>
      </c>
      <c r="F410" t="s">
        <v>463</v>
      </c>
      <c r="G410" t="s">
        <v>692</v>
      </c>
      <c r="H410" t="s">
        <v>50</v>
      </c>
      <c r="I410" t="s">
        <v>50</v>
      </c>
      <c r="J410" t="s">
        <v>35</v>
      </c>
      <c r="K410" t="s">
        <v>692</v>
      </c>
      <c r="L410" t="s">
        <v>43</v>
      </c>
      <c r="M410">
        <v>6</v>
      </c>
      <c r="N410" t="s">
        <v>25</v>
      </c>
      <c r="O410" t="s">
        <v>796</v>
      </c>
      <c r="P410" t="s">
        <v>44</v>
      </c>
      <c r="Q410" t="s">
        <v>354</v>
      </c>
      <c r="R410">
        <v>2014</v>
      </c>
      <c r="S410" t="s">
        <v>803</v>
      </c>
      <c r="T410">
        <f>IF(IPL_Matches_2008_2020___New[[#This Row],[Toss Winner]]=IPL_Matches_2008_2020___New[[#This Row],[Winner]],1,0)</f>
        <v>0</v>
      </c>
      <c r="U410" t="s">
        <v>798</v>
      </c>
    </row>
    <row r="411" spans="1:21" x14ac:dyDescent="0.3">
      <c r="A411" t="s">
        <v>1211</v>
      </c>
      <c r="B411" t="s">
        <v>1196</v>
      </c>
      <c r="C411">
        <f>YEAR(IPL_Matches_2008_2020___New[[#This Row],[Date ]])</f>
        <v>2014</v>
      </c>
      <c r="D411" s="1">
        <v>41756</v>
      </c>
      <c r="E411" t="s">
        <v>195</v>
      </c>
      <c r="F411" t="s">
        <v>463</v>
      </c>
      <c r="G411" t="s">
        <v>406</v>
      </c>
      <c r="H411" t="s">
        <v>34</v>
      </c>
      <c r="I411" t="s">
        <v>406</v>
      </c>
      <c r="J411" t="s">
        <v>35</v>
      </c>
      <c r="K411" t="s">
        <v>34</v>
      </c>
      <c r="L411" t="s">
        <v>43</v>
      </c>
      <c r="M411">
        <v>5</v>
      </c>
      <c r="N411" t="s">
        <v>25</v>
      </c>
      <c r="O411" t="s">
        <v>796</v>
      </c>
      <c r="P411" t="s">
        <v>349</v>
      </c>
      <c r="Q411" t="s">
        <v>354</v>
      </c>
      <c r="R411">
        <v>2014</v>
      </c>
      <c r="S411" t="s">
        <v>803</v>
      </c>
      <c r="T411">
        <f>IF(IPL_Matches_2008_2020___New[[#This Row],[Toss Winner]]=IPL_Matches_2008_2020___New[[#This Row],[Winner]],1,0)</f>
        <v>0</v>
      </c>
      <c r="U411" t="s">
        <v>798</v>
      </c>
    </row>
    <row r="412" spans="1:21" x14ac:dyDescent="0.3">
      <c r="A412" t="s">
        <v>1212</v>
      </c>
      <c r="B412" t="s">
        <v>1196</v>
      </c>
      <c r="C412">
        <f>YEAR(IPL_Matches_2008_2020___New[[#This Row],[Date ]])</f>
        <v>2014</v>
      </c>
      <c r="D412" s="1">
        <v>41757</v>
      </c>
      <c r="E412" t="s">
        <v>478</v>
      </c>
      <c r="F412" t="s">
        <v>467</v>
      </c>
      <c r="G412" t="s">
        <v>800</v>
      </c>
      <c r="H412" t="s">
        <v>21</v>
      </c>
      <c r="I412" t="s">
        <v>800</v>
      </c>
      <c r="J412" t="s">
        <v>23</v>
      </c>
      <c r="K412" t="s">
        <v>800</v>
      </c>
      <c r="L412" t="s">
        <v>43</v>
      </c>
      <c r="M412">
        <v>5</v>
      </c>
      <c r="N412" t="s">
        <v>25</v>
      </c>
      <c r="O412" t="s">
        <v>796</v>
      </c>
      <c r="P412" t="s">
        <v>57</v>
      </c>
      <c r="Q412" t="s">
        <v>183</v>
      </c>
      <c r="R412">
        <v>2014</v>
      </c>
      <c r="S412" t="s">
        <v>803</v>
      </c>
      <c r="T412">
        <f>IF(IPL_Matches_2008_2020___New[[#This Row],[Toss Winner]]=IPL_Matches_2008_2020___New[[#This Row],[Winner]],1,0)</f>
        <v>1</v>
      </c>
      <c r="U412" t="s">
        <v>801</v>
      </c>
    </row>
    <row r="413" spans="1:21" x14ac:dyDescent="0.3">
      <c r="A413" t="s">
        <v>1213</v>
      </c>
      <c r="B413" t="s">
        <v>1196</v>
      </c>
      <c r="C413">
        <f>YEAR(IPL_Matches_2008_2020___New[[#This Row],[Date ]])</f>
        <v>2014</v>
      </c>
      <c r="D413" s="1">
        <v>41759</v>
      </c>
      <c r="E413" t="s">
        <v>483</v>
      </c>
      <c r="F413" t="s">
        <v>467</v>
      </c>
      <c r="G413" t="s">
        <v>50</v>
      </c>
      <c r="H413" t="s">
        <v>406</v>
      </c>
      <c r="I413" t="s">
        <v>50</v>
      </c>
      <c r="J413" t="s">
        <v>23</v>
      </c>
      <c r="K413" t="s">
        <v>406</v>
      </c>
      <c r="L413" t="s">
        <v>24</v>
      </c>
      <c r="M413">
        <v>15</v>
      </c>
      <c r="N413" t="s">
        <v>25</v>
      </c>
      <c r="O413" t="s">
        <v>796</v>
      </c>
      <c r="P413" t="s">
        <v>165</v>
      </c>
      <c r="Q413" t="s">
        <v>155</v>
      </c>
      <c r="R413">
        <v>2014</v>
      </c>
      <c r="S413" t="s">
        <v>797</v>
      </c>
      <c r="T413">
        <f>IF(IPL_Matches_2008_2020___New[[#This Row],[Toss Winner]]=IPL_Matches_2008_2020___New[[#This Row],[Winner]],1,0)</f>
        <v>0</v>
      </c>
      <c r="U413" t="s">
        <v>798</v>
      </c>
    </row>
    <row r="414" spans="1:21" x14ac:dyDescent="0.3">
      <c r="A414" t="s">
        <v>1214</v>
      </c>
      <c r="B414" t="s">
        <v>444</v>
      </c>
      <c r="C414">
        <f>YEAR(IPL_Matches_2008_2020___New[[#This Row],[Date ]])</f>
        <v>2014</v>
      </c>
      <c r="D414" s="1">
        <v>41761</v>
      </c>
      <c r="E414" t="s">
        <v>352</v>
      </c>
      <c r="F414" t="s">
        <v>445</v>
      </c>
      <c r="G414" t="s">
        <v>34</v>
      </c>
      <c r="H414" t="s">
        <v>22</v>
      </c>
      <c r="I414" t="s">
        <v>34</v>
      </c>
      <c r="J414" t="s">
        <v>35</v>
      </c>
      <c r="K414" t="s">
        <v>34</v>
      </c>
      <c r="L414" t="s">
        <v>24</v>
      </c>
      <c r="M414">
        <v>34</v>
      </c>
      <c r="N414" t="s">
        <v>25</v>
      </c>
      <c r="O414" t="s">
        <v>796</v>
      </c>
      <c r="P414" t="s">
        <v>349</v>
      </c>
      <c r="Q414" t="s">
        <v>441</v>
      </c>
      <c r="R414">
        <v>2014</v>
      </c>
      <c r="S414" t="s">
        <v>797</v>
      </c>
      <c r="T414">
        <f>IF(IPL_Matches_2008_2020___New[[#This Row],[Toss Winner]]=IPL_Matches_2008_2020___New[[#This Row],[Winner]],1,0)</f>
        <v>1</v>
      </c>
      <c r="U414" t="s">
        <v>801</v>
      </c>
    </row>
    <row r="415" spans="1:21" x14ac:dyDescent="0.3">
      <c r="A415" t="s">
        <v>1215</v>
      </c>
      <c r="B415" t="s">
        <v>46</v>
      </c>
      <c r="C415">
        <f>YEAR(IPL_Matches_2008_2020___New[[#This Row],[Date ]])</f>
        <v>2014</v>
      </c>
      <c r="D415" s="1">
        <v>41762</v>
      </c>
      <c r="E415" t="s">
        <v>484</v>
      </c>
      <c r="F415" t="s">
        <v>49</v>
      </c>
      <c r="G415" t="s">
        <v>50</v>
      </c>
      <c r="H415" t="s">
        <v>800</v>
      </c>
      <c r="I415" t="s">
        <v>800</v>
      </c>
      <c r="J415" t="s">
        <v>35</v>
      </c>
      <c r="K415" t="s">
        <v>50</v>
      </c>
      <c r="L415" t="s">
        <v>43</v>
      </c>
      <c r="M415">
        <v>5</v>
      </c>
      <c r="N415" t="s">
        <v>25</v>
      </c>
      <c r="O415" t="s">
        <v>796</v>
      </c>
      <c r="P415" t="s">
        <v>359</v>
      </c>
      <c r="Q415" t="s">
        <v>387</v>
      </c>
      <c r="R415">
        <v>2014</v>
      </c>
      <c r="S415" t="s">
        <v>803</v>
      </c>
      <c r="T415">
        <f>IF(IPL_Matches_2008_2020___New[[#This Row],[Toss Winner]]=IPL_Matches_2008_2020___New[[#This Row],[Winner]],1,0)</f>
        <v>0</v>
      </c>
      <c r="U415" t="s">
        <v>798</v>
      </c>
    </row>
    <row r="416" spans="1:21" x14ac:dyDescent="0.3">
      <c r="A416" t="s">
        <v>1216</v>
      </c>
      <c r="B416" t="s">
        <v>38</v>
      </c>
      <c r="C416">
        <f>YEAR(IPL_Matches_2008_2020___New[[#This Row],[Date ]])</f>
        <v>2014</v>
      </c>
      <c r="D416" s="1">
        <v>41762</v>
      </c>
      <c r="E416" t="s">
        <v>485</v>
      </c>
      <c r="F416" t="s">
        <v>40</v>
      </c>
      <c r="G416" t="s">
        <v>692</v>
      </c>
      <c r="H416" t="s">
        <v>42</v>
      </c>
      <c r="I416" t="s">
        <v>42</v>
      </c>
      <c r="J416" t="s">
        <v>23</v>
      </c>
      <c r="K416" t="s">
        <v>42</v>
      </c>
      <c r="L416" t="s">
        <v>43</v>
      </c>
      <c r="M416">
        <v>7</v>
      </c>
      <c r="N416" t="s">
        <v>25</v>
      </c>
      <c r="O416" t="s">
        <v>796</v>
      </c>
      <c r="P416" t="s">
        <v>188</v>
      </c>
      <c r="Q416" t="s">
        <v>183</v>
      </c>
      <c r="R416">
        <v>2014</v>
      </c>
      <c r="S416" t="s">
        <v>803</v>
      </c>
      <c r="T416">
        <f>IF(IPL_Matches_2008_2020___New[[#This Row],[Toss Winner]]=IPL_Matches_2008_2020___New[[#This Row],[Winner]],1,0)</f>
        <v>1</v>
      </c>
      <c r="U416" t="s">
        <v>801</v>
      </c>
    </row>
    <row r="417" spans="1:21" x14ac:dyDescent="0.3">
      <c r="A417" t="s">
        <v>1217</v>
      </c>
      <c r="B417" t="s">
        <v>17</v>
      </c>
      <c r="C417">
        <f>YEAR(IPL_Matches_2008_2020___New[[#This Row],[Date ]])</f>
        <v>2014</v>
      </c>
      <c r="D417" s="1">
        <v>41763</v>
      </c>
      <c r="E417" t="s">
        <v>157</v>
      </c>
      <c r="F417" t="s">
        <v>795</v>
      </c>
      <c r="G417" t="s">
        <v>21</v>
      </c>
      <c r="H417" t="s">
        <v>406</v>
      </c>
      <c r="I417" t="s">
        <v>21</v>
      </c>
      <c r="J417" t="s">
        <v>23</v>
      </c>
      <c r="K417" t="s">
        <v>21</v>
      </c>
      <c r="L417" t="s">
        <v>43</v>
      </c>
      <c r="M417">
        <v>4</v>
      </c>
      <c r="N417" t="s">
        <v>25</v>
      </c>
      <c r="O417" t="s">
        <v>796</v>
      </c>
      <c r="P417" t="s">
        <v>165</v>
      </c>
      <c r="Q417" t="s">
        <v>354</v>
      </c>
      <c r="R417">
        <v>2014</v>
      </c>
      <c r="S417" t="s">
        <v>803</v>
      </c>
      <c r="T417">
        <f>IF(IPL_Matches_2008_2020___New[[#This Row],[Toss Winner]]=IPL_Matches_2008_2020___New[[#This Row],[Winner]],1,0)</f>
        <v>1</v>
      </c>
      <c r="U417" t="s">
        <v>801</v>
      </c>
    </row>
    <row r="418" spans="1:21" x14ac:dyDescent="0.3">
      <c r="A418" t="s">
        <v>1218</v>
      </c>
      <c r="B418" t="s">
        <v>224</v>
      </c>
      <c r="C418">
        <f>YEAR(IPL_Matches_2008_2020___New[[#This Row],[Date ]])</f>
        <v>2014</v>
      </c>
      <c r="D418" s="1">
        <v>41764</v>
      </c>
      <c r="E418" t="s">
        <v>477</v>
      </c>
      <c r="F418" t="s">
        <v>226</v>
      </c>
      <c r="G418" t="s">
        <v>42</v>
      </c>
      <c r="H418" t="s">
        <v>22</v>
      </c>
      <c r="I418" t="s">
        <v>22</v>
      </c>
      <c r="J418" t="s">
        <v>23</v>
      </c>
      <c r="K418" t="s">
        <v>42</v>
      </c>
      <c r="L418" t="s">
        <v>24</v>
      </c>
      <c r="M418">
        <v>10</v>
      </c>
      <c r="N418" t="s">
        <v>25</v>
      </c>
      <c r="O418" t="s">
        <v>796</v>
      </c>
      <c r="P418" t="s">
        <v>441</v>
      </c>
      <c r="Q418" t="s">
        <v>418</v>
      </c>
      <c r="R418">
        <v>2014</v>
      </c>
      <c r="S418" t="s">
        <v>797</v>
      </c>
      <c r="T418">
        <f>IF(IPL_Matches_2008_2020___New[[#This Row],[Toss Winner]]=IPL_Matches_2008_2020___New[[#This Row],[Winner]],1,0)</f>
        <v>0</v>
      </c>
      <c r="U418" t="s">
        <v>798</v>
      </c>
    </row>
    <row r="419" spans="1:21" x14ac:dyDescent="0.3">
      <c r="A419" t="s">
        <v>1219</v>
      </c>
      <c r="B419" t="s">
        <v>38</v>
      </c>
      <c r="C419">
        <f>YEAR(IPL_Matches_2008_2020___New[[#This Row],[Date ]])</f>
        <v>2014</v>
      </c>
      <c r="D419" s="1">
        <v>41764</v>
      </c>
      <c r="E419" t="s">
        <v>195</v>
      </c>
      <c r="F419" t="s">
        <v>40</v>
      </c>
      <c r="G419" t="s">
        <v>692</v>
      </c>
      <c r="H419" t="s">
        <v>34</v>
      </c>
      <c r="I419" t="s">
        <v>34</v>
      </c>
      <c r="J419" t="s">
        <v>23</v>
      </c>
      <c r="K419" t="s">
        <v>34</v>
      </c>
      <c r="L419" t="s">
        <v>43</v>
      </c>
      <c r="M419">
        <v>8</v>
      </c>
      <c r="N419" t="s">
        <v>25</v>
      </c>
      <c r="O419" t="s">
        <v>796</v>
      </c>
      <c r="P419" t="s">
        <v>486</v>
      </c>
      <c r="Q419" t="s">
        <v>359</v>
      </c>
      <c r="R419">
        <v>2014</v>
      </c>
      <c r="S419" t="s">
        <v>803</v>
      </c>
      <c r="T419">
        <f>IF(IPL_Matches_2008_2020___New[[#This Row],[Toss Winner]]=IPL_Matches_2008_2020___New[[#This Row],[Winner]],1,0)</f>
        <v>1</v>
      </c>
      <c r="U419" t="s">
        <v>801</v>
      </c>
    </row>
    <row r="420" spans="1:21" x14ac:dyDescent="0.3">
      <c r="A420" t="s">
        <v>1220</v>
      </c>
      <c r="B420" t="s">
        <v>46</v>
      </c>
      <c r="C420">
        <f>YEAR(IPL_Matches_2008_2020___New[[#This Row],[Date ]])</f>
        <v>2014</v>
      </c>
      <c r="D420" s="1">
        <v>41765</v>
      </c>
      <c r="E420" t="s">
        <v>190</v>
      </c>
      <c r="F420" t="s">
        <v>49</v>
      </c>
      <c r="G420" t="s">
        <v>50</v>
      </c>
      <c r="H420" t="s">
        <v>21</v>
      </c>
      <c r="I420" t="s">
        <v>21</v>
      </c>
      <c r="J420" t="s">
        <v>23</v>
      </c>
      <c r="K420" t="s">
        <v>50</v>
      </c>
      <c r="L420" t="s">
        <v>24</v>
      </c>
      <c r="M420">
        <v>19</v>
      </c>
      <c r="N420" t="s">
        <v>25</v>
      </c>
      <c r="O420" t="s">
        <v>796</v>
      </c>
      <c r="P420" t="s">
        <v>183</v>
      </c>
      <c r="Q420" t="s">
        <v>410</v>
      </c>
      <c r="R420">
        <v>2014</v>
      </c>
      <c r="S420" t="s">
        <v>797</v>
      </c>
      <c r="T420">
        <f>IF(IPL_Matches_2008_2020___New[[#This Row],[Toss Winner]]=IPL_Matches_2008_2020___New[[#This Row],[Winner]],1,0)</f>
        <v>0</v>
      </c>
      <c r="U420" t="s">
        <v>798</v>
      </c>
    </row>
    <row r="421" spans="1:21" x14ac:dyDescent="0.3">
      <c r="A421" t="s">
        <v>1221</v>
      </c>
      <c r="B421" t="s">
        <v>38</v>
      </c>
      <c r="C421">
        <f>YEAR(IPL_Matches_2008_2020___New[[#This Row],[Date ]])</f>
        <v>2014</v>
      </c>
      <c r="D421" s="1">
        <v>41766</v>
      </c>
      <c r="E421" t="s">
        <v>189</v>
      </c>
      <c r="F421" t="s">
        <v>40</v>
      </c>
      <c r="G421" t="s">
        <v>692</v>
      </c>
      <c r="H421" t="s">
        <v>22</v>
      </c>
      <c r="I421" t="s">
        <v>692</v>
      </c>
      <c r="J421" t="s">
        <v>35</v>
      </c>
      <c r="K421" t="s">
        <v>22</v>
      </c>
      <c r="L421" t="s">
        <v>43</v>
      </c>
      <c r="M421">
        <v>8</v>
      </c>
      <c r="N421" t="s">
        <v>25</v>
      </c>
      <c r="O421" t="s">
        <v>796</v>
      </c>
      <c r="P421" t="s">
        <v>359</v>
      </c>
      <c r="Q421" t="s">
        <v>387</v>
      </c>
      <c r="R421">
        <v>2014</v>
      </c>
      <c r="S421" t="s">
        <v>803</v>
      </c>
      <c r="T421">
        <f>IF(IPL_Matches_2008_2020___New[[#This Row],[Toss Winner]]=IPL_Matches_2008_2020___New[[#This Row],[Winner]],1,0)</f>
        <v>0</v>
      </c>
      <c r="U421" t="s">
        <v>798</v>
      </c>
    </row>
    <row r="422" spans="1:21" x14ac:dyDescent="0.3">
      <c r="A422" t="s">
        <v>1222</v>
      </c>
      <c r="B422" t="s">
        <v>232</v>
      </c>
      <c r="C422">
        <f>YEAR(IPL_Matches_2008_2020___New[[#This Row],[Date ]])</f>
        <v>2014</v>
      </c>
      <c r="D422" s="1">
        <v>41766</v>
      </c>
      <c r="E422" t="s">
        <v>465</v>
      </c>
      <c r="F422" t="s">
        <v>234</v>
      </c>
      <c r="G422" t="s">
        <v>800</v>
      </c>
      <c r="H422" t="s">
        <v>34</v>
      </c>
      <c r="I422" t="s">
        <v>34</v>
      </c>
      <c r="J422" t="s">
        <v>23</v>
      </c>
      <c r="K422" t="s">
        <v>800</v>
      </c>
      <c r="L422" t="s">
        <v>24</v>
      </c>
      <c r="M422">
        <v>44</v>
      </c>
      <c r="N422" t="s">
        <v>25</v>
      </c>
      <c r="O422" t="s">
        <v>796</v>
      </c>
      <c r="P422" t="s">
        <v>165</v>
      </c>
      <c r="Q422" t="s">
        <v>487</v>
      </c>
      <c r="R422">
        <v>2014</v>
      </c>
      <c r="S422" t="s">
        <v>797</v>
      </c>
      <c r="T422">
        <f>IF(IPL_Matches_2008_2020___New[[#This Row],[Toss Winner]]=IPL_Matches_2008_2020___New[[#This Row],[Winner]],1,0)</f>
        <v>0</v>
      </c>
      <c r="U422" t="s">
        <v>798</v>
      </c>
    </row>
    <row r="423" spans="1:21" x14ac:dyDescent="0.3">
      <c r="A423" t="s">
        <v>1223</v>
      </c>
      <c r="B423" t="s">
        <v>224</v>
      </c>
      <c r="C423">
        <f>YEAR(IPL_Matches_2008_2020___New[[#This Row],[Date ]])</f>
        <v>2014</v>
      </c>
      <c r="D423" s="1">
        <v>41767</v>
      </c>
      <c r="E423" t="s">
        <v>483</v>
      </c>
      <c r="F423" t="s">
        <v>226</v>
      </c>
      <c r="G423" t="s">
        <v>42</v>
      </c>
      <c r="H423" t="s">
        <v>406</v>
      </c>
      <c r="I423" t="s">
        <v>42</v>
      </c>
      <c r="J423" t="s">
        <v>23</v>
      </c>
      <c r="K423" t="s">
        <v>406</v>
      </c>
      <c r="L423" t="s">
        <v>24</v>
      </c>
      <c r="M423">
        <v>32</v>
      </c>
      <c r="N423" t="s">
        <v>25</v>
      </c>
      <c r="O423" t="s">
        <v>796</v>
      </c>
      <c r="P423" t="s">
        <v>349</v>
      </c>
      <c r="Q423" t="s">
        <v>441</v>
      </c>
      <c r="R423">
        <v>2014</v>
      </c>
      <c r="S423" t="s">
        <v>797</v>
      </c>
      <c r="T423">
        <f>IF(IPL_Matches_2008_2020___New[[#This Row],[Toss Winner]]=IPL_Matches_2008_2020___New[[#This Row],[Winner]],1,0)</f>
        <v>0</v>
      </c>
      <c r="U423" t="s">
        <v>798</v>
      </c>
    </row>
    <row r="424" spans="1:21" x14ac:dyDescent="0.3">
      <c r="A424" t="s">
        <v>1224</v>
      </c>
      <c r="B424" t="s">
        <v>17</v>
      </c>
      <c r="C424">
        <f>YEAR(IPL_Matches_2008_2020___New[[#This Row],[Date ]])</f>
        <v>2014</v>
      </c>
      <c r="D424" s="1">
        <v>41768</v>
      </c>
      <c r="E424" t="s">
        <v>478</v>
      </c>
      <c r="F424" t="s">
        <v>795</v>
      </c>
      <c r="G424" t="s">
        <v>21</v>
      </c>
      <c r="H424" t="s">
        <v>800</v>
      </c>
      <c r="I424" t="s">
        <v>21</v>
      </c>
      <c r="J424" t="s">
        <v>23</v>
      </c>
      <c r="K424" t="s">
        <v>800</v>
      </c>
      <c r="L424" t="s">
        <v>24</v>
      </c>
      <c r="M424">
        <v>32</v>
      </c>
      <c r="N424" t="s">
        <v>25</v>
      </c>
      <c r="O424" t="s">
        <v>796</v>
      </c>
      <c r="P424" t="s">
        <v>183</v>
      </c>
      <c r="Q424" t="s">
        <v>410</v>
      </c>
      <c r="R424">
        <v>2014</v>
      </c>
      <c r="S424" t="s">
        <v>797</v>
      </c>
      <c r="T424">
        <f>IF(IPL_Matches_2008_2020___New[[#This Row],[Toss Winner]]=IPL_Matches_2008_2020___New[[#This Row],[Winner]],1,0)</f>
        <v>0</v>
      </c>
      <c r="U424" t="s">
        <v>798</v>
      </c>
    </row>
    <row r="425" spans="1:21" x14ac:dyDescent="0.3">
      <c r="A425" t="s">
        <v>1225</v>
      </c>
      <c r="B425" t="s">
        <v>38</v>
      </c>
      <c r="C425">
        <f>YEAR(IPL_Matches_2008_2020___New[[#This Row],[Date ]])</f>
        <v>2014</v>
      </c>
      <c r="D425" s="1">
        <v>41769</v>
      </c>
      <c r="E425" t="s">
        <v>298</v>
      </c>
      <c r="F425" t="s">
        <v>40</v>
      </c>
      <c r="G425" t="s">
        <v>692</v>
      </c>
      <c r="H425" t="s">
        <v>406</v>
      </c>
      <c r="I425" t="s">
        <v>406</v>
      </c>
      <c r="J425" t="s">
        <v>23</v>
      </c>
      <c r="K425" t="s">
        <v>406</v>
      </c>
      <c r="L425" t="s">
        <v>43</v>
      </c>
      <c r="M425">
        <v>8</v>
      </c>
      <c r="N425" t="s">
        <v>25</v>
      </c>
      <c r="O425" t="s">
        <v>115</v>
      </c>
      <c r="P425" t="s">
        <v>486</v>
      </c>
      <c r="Q425" t="s">
        <v>359</v>
      </c>
      <c r="R425">
        <v>2014</v>
      </c>
      <c r="S425" t="s">
        <v>803</v>
      </c>
      <c r="T425">
        <f>IF(IPL_Matches_2008_2020___New[[#This Row],[Toss Winner]]=IPL_Matches_2008_2020___New[[#This Row],[Winner]],1,0)</f>
        <v>1</v>
      </c>
      <c r="U425" t="s">
        <v>801</v>
      </c>
    </row>
    <row r="426" spans="1:21" x14ac:dyDescent="0.3">
      <c r="A426" t="s">
        <v>1226</v>
      </c>
      <c r="B426" t="s">
        <v>46</v>
      </c>
      <c r="C426">
        <f>YEAR(IPL_Matches_2008_2020___New[[#This Row],[Date ]])</f>
        <v>2014</v>
      </c>
      <c r="D426" s="1">
        <v>41769</v>
      </c>
      <c r="E426" t="s">
        <v>195</v>
      </c>
      <c r="F426" t="s">
        <v>49</v>
      </c>
      <c r="G426" t="s">
        <v>50</v>
      </c>
      <c r="H426" t="s">
        <v>34</v>
      </c>
      <c r="I426" t="s">
        <v>34</v>
      </c>
      <c r="J426" t="s">
        <v>23</v>
      </c>
      <c r="K426" t="s">
        <v>34</v>
      </c>
      <c r="L426" t="s">
        <v>43</v>
      </c>
      <c r="M426">
        <v>4</v>
      </c>
      <c r="N426" t="s">
        <v>25</v>
      </c>
      <c r="O426" t="s">
        <v>796</v>
      </c>
      <c r="P426" t="s">
        <v>165</v>
      </c>
      <c r="Q426" t="s">
        <v>354</v>
      </c>
      <c r="R426">
        <v>2014</v>
      </c>
      <c r="S426" t="s">
        <v>803</v>
      </c>
      <c r="T426">
        <f>IF(IPL_Matches_2008_2020___New[[#This Row],[Toss Winner]]=IPL_Matches_2008_2020___New[[#This Row],[Winner]],1,0)</f>
        <v>1</v>
      </c>
      <c r="U426" t="s">
        <v>801</v>
      </c>
    </row>
    <row r="427" spans="1:21" x14ac:dyDescent="0.3">
      <c r="A427" t="s">
        <v>1227</v>
      </c>
      <c r="B427" t="s">
        <v>232</v>
      </c>
      <c r="C427">
        <f>YEAR(IPL_Matches_2008_2020___New[[#This Row],[Date ]])</f>
        <v>2014</v>
      </c>
      <c r="D427" s="1">
        <v>41770</v>
      </c>
      <c r="E427" t="s">
        <v>189</v>
      </c>
      <c r="F427" t="s">
        <v>234</v>
      </c>
      <c r="G427" t="s">
        <v>800</v>
      </c>
      <c r="H427" t="s">
        <v>22</v>
      </c>
      <c r="I427" t="s">
        <v>22</v>
      </c>
      <c r="J427" t="s">
        <v>23</v>
      </c>
      <c r="K427" t="s">
        <v>22</v>
      </c>
      <c r="L427" t="s">
        <v>43</v>
      </c>
      <c r="M427">
        <v>9</v>
      </c>
      <c r="N427" t="s">
        <v>25</v>
      </c>
      <c r="O427" t="s">
        <v>796</v>
      </c>
      <c r="P427" t="s">
        <v>441</v>
      </c>
      <c r="Q427" t="s">
        <v>418</v>
      </c>
      <c r="R427">
        <v>2014</v>
      </c>
      <c r="S427" t="s">
        <v>803</v>
      </c>
      <c r="T427">
        <f>IF(IPL_Matches_2008_2020___New[[#This Row],[Toss Winner]]=IPL_Matches_2008_2020___New[[#This Row],[Winner]],1,0)</f>
        <v>1</v>
      </c>
      <c r="U427" t="s">
        <v>801</v>
      </c>
    </row>
    <row r="428" spans="1:21" x14ac:dyDescent="0.3">
      <c r="A428" t="s">
        <v>1228</v>
      </c>
      <c r="B428" t="s">
        <v>17</v>
      </c>
      <c r="C428">
        <f>YEAR(IPL_Matches_2008_2020___New[[#This Row],[Date ]])</f>
        <v>2014</v>
      </c>
      <c r="D428" s="1">
        <v>41770</v>
      </c>
      <c r="E428" t="s">
        <v>414</v>
      </c>
      <c r="F428" t="s">
        <v>795</v>
      </c>
      <c r="G428" t="s">
        <v>21</v>
      </c>
      <c r="H428" t="s">
        <v>42</v>
      </c>
      <c r="I428" t="s">
        <v>21</v>
      </c>
      <c r="J428" t="s">
        <v>35</v>
      </c>
      <c r="K428" t="s">
        <v>42</v>
      </c>
      <c r="L428" t="s">
        <v>43</v>
      </c>
      <c r="M428">
        <v>5</v>
      </c>
      <c r="N428" t="s">
        <v>25</v>
      </c>
      <c r="O428" t="s">
        <v>796</v>
      </c>
      <c r="P428" t="s">
        <v>183</v>
      </c>
      <c r="Q428" t="s">
        <v>305</v>
      </c>
      <c r="R428">
        <v>2014</v>
      </c>
      <c r="S428" t="s">
        <v>803</v>
      </c>
      <c r="T428">
        <f>IF(IPL_Matches_2008_2020___New[[#This Row],[Toss Winner]]=IPL_Matches_2008_2020___New[[#This Row],[Winner]],1,0)</f>
        <v>0</v>
      </c>
      <c r="U428" t="s">
        <v>798</v>
      </c>
    </row>
    <row r="429" spans="1:21" x14ac:dyDescent="0.3">
      <c r="A429" t="s">
        <v>1229</v>
      </c>
      <c r="B429" t="s">
        <v>64</v>
      </c>
      <c r="C429">
        <f>YEAR(IPL_Matches_2008_2020___New[[#This Row],[Date ]])</f>
        <v>2014</v>
      </c>
      <c r="D429" s="1">
        <v>41771</v>
      </c>
      <c r="E429" t="s">
        <v>257</v>
      </c>
      <c r="F429" t="s">
        <v>67</v>
      </c>
      <c r="G429" t="s">
        <v>406</v>
      </c>
      <c r="H429" t="s">
        <v>50</v>
      </c>
      <c r="I429" t="s">
        <v>406</v>
      </c>
      <c r="J429" t="s">
        <v>35</v>
      </c>
      <c r="K429" t="s">
        <v>50</v>
      </c>
      <c r="L429" t="s">
        <v>43</v>
      </c>
      <c r="M429">
        <v>7</v>
      </c>
      <c r="N429" t="s">
        <v>25</v>
      </c>
      <c r="O429" t="s">
        <v>796</v>
      </c>
      <c r="P429" t="s">
        <v>165</v>
      </c>
      <c r="Q429" t="s">
        <v>354</v>
      </c>
      <c r="R429">
        <v>2014</v>
      </c>
      <c r="S429" t="s">
        <v>803</v>
      </c>
      <c r="T429">
        <f>IF(IPL_Matches_2008_2020___New[[#This Row],[Toss Winner]]=IPL_Matches_2008_2020___New[[#This Row],[Winner]],1,0)</f>
        <v>0</v>
      </c>
      <c r="U429" t="s">
        <v>798</v>
      </c>
    </row>
    <row r="430" spans="1:21" x14ac:dyDescent="0.3">
      <c r="A430" t="s">
        <v>1230</v>
      </c>
      <c r="B430" t="s">
        <v>444</v>
      </c>
      <c r="C430">
        <f>YEAR(IPL_Matches_2008_2020___New[[#This Row],[Date ]])</f>
        <v>2014</v>
      </c>
      <c r="D430" s="1">
        <v>41772</v>
      </c>
      <c r="E430" t="s">
        <v>352</v>
      </c>
      <c r="F430" t="s">
        <v>445</v>
      </c>
      <c r="G430" t="s">
        <v>34</v>
      </c>
      <c r="H430" t="s">
        <v>42</v>
      </c>
      <c r="I430" t="s">
        <v>42</v>
      </c>
      <c r="J430" t="s">
        <v>35</v>
      </c>
      <c r="K430" t="s">
        <v>34</v>
      </c>
      <c r="L430" t="s">
        <v>43</v>
      </c>
      <c r="M430">
        <v>5</v>
      </c>
      <c r="N430" t="s">
        <v>25</v>
      </c>
      <c r="O430" t="s">
        <v>796</v>
      </c>
      <c r="P430" t="s">
        <v>359</v>
      </c>
      <c r="Q430" t="s">
        <v>387</v>
      </c>
      <c r="R430">
        <v>2014</v>
      </c>
      <c r="S430" t="s">
        <v>803</v>
      </c>
      <c r="T430">
        <f>IF(IPL_Matches_2008_2020___New[[#This Row],[Toss Winner]]=IPL_Matches_2008_2020___New[[#This Row],[Winner]],1,0)</f>
        <v>0</v>
      </c>
      <c r="U430" t="s">
        <v>798</v>
      </c>
    </row>
    <row r="431" spans="1:21" x14ac:dyDescent="0.3">
      <c r="A431" t="s">
        <v>1231</v>
      </c>
      <c r="B431" t="s">
        <v>17</v>
      </c>
      <c r="C431">
        <f>YEAR(IPL_Matches_2008_2020___New[[#This Row],[Date ]])</f>
        <v>2014</v>
      </c>
      <c r="D431" s="1">
        <v>41772</v>
      </c>
      <c r="E431" t="s">
        <v>182</v>
      </c>
      <c r="F431" t="s">
        <v>795</v>
      </c>
      <c r="G431" t="s">
        <v>21</v>
      </c>
      <c r="H431" t="s">
        <v>692</v>
      </c>
      <c r="I431" t="s">
        <v>692</v>
      </c>
      <c r="J431" t="s">
        <v>23</v>
      </c>
      <c r="K431" t="s">
        <v>21</v>
      </c>
      <c r="L431" t="s">
        <v>24</v>
      </c>
      <c r="M431">
        <v>16</v>
      </c>
      <c r="N431" t="s">
        <v>25</v>
      </c>
      <c r="O431" t="s">
        <v>796</v>
      </c>
      <c r="P431" t="s">
        <v>410</v>
      </c>
      <c r="Q431" t="s">
        <v>305</v>
      </c>
      <c r="R431">
        <v>2014</v>
      </c>
      <c r="S431" t="s">
        <v>797</v>
      </c>
      <c r="T431">
        <f>IF(IPL_Matches_2008_2020___New[[#This Row],[Toss Winner]]=IPL_Matches_2008_2020___New[[#This Row],[Winner]],1,0)</f>
        <v>0</v>
      </c>
      <c r="U431" t="s">
        <v>798</v>
      </c>
    </row>
    <row r="432" spans="1:21" x14ac:dyDescent="0.3">
      <c r="A432" t="s">
        <v>1232</v>
      </c>
      <c r="B432" t="s">
        <v>64</v>
      </c>
      <c r="C432">
        <f>YEAR(IPL_Matches_2008_2020___New[[#This Row],[Date ]])</f>
        <v>2014</v>
      </c>
      <c r="D432" s="1">
        <v>41773</v>
      </c>
      <c r="E432" t="s">
        <v>335</v>
      </c>
      <c r="F432" t="s">
        <v>67</v>
      </c>
      <c r="G432" t="s">
        <v>406</v>
      </c>
      <c r="H432" t="s">
        <v>800</v>
      </c>
      <c r="I432" t="s">
        <v>800</v>
      </c>
      <c r="J432" t="s">
        <v>23</v>
      </c>
      <c r="K432" t="s">
        <v>800</v>
      </c>
      <c r="L432" t="s">
        <v>43</v>
      </c>
      <c r="M432">
        <v>6</v>
      </c>
      <c r="N432" t="s">
        <v>25</v>
      </c>
      <c r="O432" t="s">
        <v>796</v>
      </c>
      <c r="P432" t="s">
        <v>354</v>
      </c>
      <c r="Q432" t="s">
        <v>487</v>
      </c>
      <c r="R432">
        <v>2014</v>
      </c>
      <c r="S432" t="s">
        <v>803</v>
      </c>
      <c r="T432">
        <f>IF(IPL_Matches_2008_2020___New[[#This Row],[Toss Winner]]=IPL_Matches_2008_2020___New[[#This Row],[Winner]],1,0)</f>
        <v>1</v>
      </c>
      <c r="U432" t="s">
        <v>801</v>
      </c>
    </row>
    <row r="433" spans="1:21" x14ac:dyDescent="0.3">
      <c r="A433" t="s">
        <v>1233</v>
      </c>
      <c r="B433" t="s">
        <v>232</v>
      </c>
      <c r="C433">
        <f>YEAR(IPL_Matches_2008_2020___New[[#This Row],[Date ]])</f>
        <v>2014</v>
      </c>
      <c r="D433" s="1">
        <v>41773</v>
      </c>
      <c r="E433" t="s">
        <v>241</v>
      </c>
      <c r="F433" t="s">
        <v>234</v>
      </c>
      <c r="G433" t="s">
        <v>22</v>
      </c>
      <c r="H433" t="s">
        <v>50</v>
      </c>
      <c r="I433" t="s">
        <v>22</v>
      </c>
      <c r="J433" t="s">
        <v>23</v>
      </c>
      <c r="K433" t="s">
        <v>22</v>
      </c>
      <c r="L433" t="s">
        <v>43</v>
      </c>
      <c r="M433">
        <v>6</v>
      </c>
      <c r="N433" t="s">
        <v>25</v>
      </c>
      <c r="O433" t="s">
        <v>796</v>
      </c>
      <c r="P433" t="s">
        <v>349</v>
      </c>
      <c r="Q433" t="s">
        <v>441</v>
      </c>
      <c r="R433">
        <v>2014</v>
      </c>
      <c r="S433" t="s">
        <v>803</v>
      </c>
      <c r="T433">
        <f>IF(IPL_Matches_2008_2020___New[[#This Row],[Toss Winner]]=IPL_Matches_2008_2020___New[[#This Row],[Winner]],1,0)</f>
        <v>1</v>
      </c>
      <c r="U433" t="s">
        <v>801</v>
      </c>
    </row>
    <row r="434" spans="1:21" x14ac:dyDescent="0.3">
      <c r="A434" t="s">
        <v>1234</v>
      </c>
      <c r="B434" t="s">
        <v>224</v>
      </c>
      <c r="C434">
        <f>YEAR(IPL_Matches_2008_2020___New[[#This Row],[Date ]])</f>
        <v>2014</v>
      </c>
      <c r="D434" s="1">
        <v>41774</v>
      </c>
      <c r="E434" t="s">
        <v>350</v>
      </c>
      <c r="F434" t="s">
        <v>226</v>
      </c>
      <c r="G434" t="s">
        <v>42</v>
      </c>
      <c r="H434" t="s">
        <v>692</v>
      </c>
      <c r="I434" t="s">
        <v>692</v>
      </c>
      <c r="J434" t="s">
        <v>23</v>
      </c>
      <c r="K434" t="s">
        <v>42</v>
      </c>
      <c r="L434" t="s">
        <v>24</v>
      </c>
      <c r="M434">
        <v>62</v>
      </c>
      <c r="N434" t="s">
        <v>25</v>
      </c>
      <c r="O434" t="s">
        <v>796</v>
      </c>
      <c r="P434" t="s">
        <v>183</v>
      </c>
      <c r="Q434" t="s">
        <v>305</v>
      </c>
      <c r="R434">
        <v>2014</v>
      </c>
      <c r="S434" t="s">
        <v>797</v>
      </c>
      <c r="T434">
        <f>IF(IPL_Matches_2008_2020___New[[#This Row],[Toss Winner]]=IPL_Matches_2008_2020___New[[#This Row],[Winner]],1,0)</f>
        <v>0</v>
      </c>
      <c r="U434" t="s">
        <v>798</v>
      </c>
    </row>
    <row r="435" spans="1:21" x14ac:dyDescent="0.3">
      <c r="A435" t="s">
        <v>1235</v>
      </c>
      <c r="B435" t="s">
        <v>444</v>
      </c>
      <c r="C435">
        <f>YEAR(IPL_Matches_2008_2020___New[[#This Row],[Date ]])</f>
        <v>2014</v>
      </c>
      <c r="D435" s="1">
        <v>41777</v>
      </c>
      <c r="E435" t="s">
        <v>157</v>
      </c>
      <c r="F435" t="s">
        <v>445</v>
      </c>
      <c r="G435" t="s">
        <v>34</v>
      </c>
      <c r="H435" t="s">
        <v>21</v>
      </c>
      <c r="I435" t="s">
        <v>34</v>
      </c>
      <c r="J435" t="s">
        <v>35</v>
      </c>
      <c r="K435" t="s">
        <v>21</v>
      </c>
      <c r="L435" t="s">
        <v>43</v>
      </c>
      <c r="M435">
        <v>5</v>
      </c>
      <c r="N435" t="s">
        <v>25</v>
      </c>
      <c r="O435" t="s">
        <v>796</v>
      </c>
      <c r="P435" t="s">
        <v>359</v>
      </c>
      <c r="Q435" t="s">
        <v>387</v>
      </c>
      <c r="R435">
        <v>2014</v>
      </c>
      <c r="S435" t="s">
        <v>803</v>
      </c>
      <c r="T435">
        <f>IF(IPL_Matches_2008_2020___New[[#This Row],[Toss Winner]]=IPL_Matches_2008_2020___New[[#This Row],[Winner]],1,0)</f>
        <v>0</v>
      </c>
      <c r="U435" t="s">
        <v>798</v>
      </c>
    </row>
    <row r="436" spans="1:21" x14ac:dyDescent="0.3">
      <c r="A436" t="s">
        <v>1236</v>
      </c>
      <c r="B436" t="s">
        <v>64</v>
      </c>
      <c r="C436">
        <f>YEAR(IPL_Matches_2008_2020___New[[#This Row],[Date ]])</f>
        <v>2014</v>
      </c>
      <c r="D436" s="1">
        <v>41777</v>
      </c>
      <c r="E436" t="s">
        <v>395</v>
      </c>
      <c r="F436" t="s">
        <v>67</v>
      </c>
      <c r="G436" t="s">
        <v>406</v>
      </c>
      <c r="H436" t="s">
        <v>22</v>
      </c>
      <c r="I436" t="s">
        <v>406</v>
      </c>
      <c r="J436" t="s">
        <v>35</v>
      </c>
      <c r="K436" t="s">
        <v>22</v>
      </c>
      <c r="L436" t="s">
        <v>43</v>
      </c>
      <c r="M436">
        <v>7</v>
      </c>
      <c r="N436" t="s">
        <v>25</v>
      </c>
      <c r="O436" t="s">
        <v>796</v>
      </c>
      <c r="P436" t="s">
        <v>441</v>
      </c>
      <c r="Q436" t="s">
        <v>418</v>
      </c>
      <c r="R436">
        <v>2014</v>
      </c>
      <c r="S436" t="s">
        <v>803</v>
      </c>
      <c r="T436">
        <f>IF(IPL_Matches_2008_2020___New[[#This Row],[Toss Winner]]=IPL_Matches_2008_2020___New[[#This Row],[Winner]],1,0)</f>
        <v>0</v>
      </c>
      <c r="U436" t="s">
        <v>798</v>
      </c>
    </row>
    <row r="437" spans="1:21" x14ac:dyDescent="0.3">
      <c r="A437" t="s">
        <v>1237</v>
      </c>
      <c r="B437" t="s">
        <v>224</v>
      </c>
      <c r="C437">
        <f>YEAR(IPL_Matches_2008_2020___New[[#This Row],[Date ]])</f>
        <v>2014</v>
      </c>
      <c r="D437" s="1">
        <v>41778</v>
      </c>
      <c r="E437" t="s">
        <v>31</v>
      </c>
      <c r="F437" t="s">
        <v>226</v>
      </c>
      <c r="G437" t="s">
        <v>42</v>
      </c>
      <c r="H437" t="s">
        <v>50</v>
      </c>
      <c r="I437" t="s">
        <v>50</v>
      </c>
      <c r="J437" t="s">
        <v>35</v>
      </c>
      <c r="K437" t="s">
        <v>50</v>
      </c>
      <c r="L437" t="s">
        <v>24</v>
      </c>
      <c r="M437">
        <v>25</v>
      </c>
      <c r="N437" t="s">
        <v>25</v>
      </c>
      <c r="O437" t="s">
        <v>796</v>
      </c>
      <c r="P437" t="s">
        <v>183</v>
      </c>
      <c r="Q437" t="s">
        <v>305</v>
      </c>
      <c r="R437">
        <v>2014</v>
      </c>
      <c r="S437" t="s">
        <v>797</v>
      </c>
      <c r="T437">
        <f>IF(IPL_Matches_2008_2020___New[[#This Row],[Toss Winner]]=IPL_Matches_2008_2020___New[[#This Row],[Winner]],1,0)</f>
        <v>1</v>
      </c>
      <c r="U437" t="s">
        <v>801</v>
      </c>
    </row>
    <row r="438" spans="1:21" x14ac:dyDescent="0.3">
      <c r="A438" t="s">
        <v>1238</v>
      </c>
      <c r="B438" t="s">
        <v>38</v>
      </c>
      <c r="C438">
        <f>YEAR(IPL_Matches_2008_2020___New[[#This Row],[Date ]])</f>
        <v>2014</v>
      </c>
      <c r="D438" s="1">
        <v>41778</v>
      </c>
      <c r="E438" t="s">
        <v>493</v>
      </c>
      <c r="F438" t="s">
        <v>40</v>
      </c>
      <c r="G438" t="s">
        <v>692</v>
      </c>
      <c r="H438" t="s">
        <v>800</v>
      </c>
      <c r="I438" t="s">
        <v>800</v>
      </c>
      <c r="J438" t="s">
        <v>23</v>
      </c>
      <c r="K438" t="s">
        <v>800</v>
      </c>
      <c r="L438" t="s">
        <v>43</v>
      </c>
      <c r="M438">
        <v>4</v>
      </c>
      <c r="N438" t="s">
        <v>25</v>
      </c>
      <c r="O438" t="s">
        <v>796</v>
      </c>
      <c r="P438" t="s">
        <v>165</v>
      </c>
      <c r="Q438" t="s">
        <v>487</v>
      </c>
      <c r="R438">
        <v>2014</v>
      </c>
      <c r="S438" t="s">
        <v>803</v>
      </c>
      <c r="T438">
        <f>IF(IPL_Matches_2008_2020___New[[#This Row],[Toss Winner]]=IPL_Matches_2008_2020___New[[#This Row],[Winner]],1,0)</f>
        <v>1</v>
      </c>
      <c r="U438" t="s">
        <v>801</v>
      </c>
    </row>
    <row r="439" spans="1:21" x14ac:dyDescent="0.3">
      <c r="A439" t="s">
        <v>1239</v>
      </c>
      <c r="B439" t="s">
        <v>64</v>
      </c>
      <c r="C439">
        <f>YEAR(IPL_Matches_2008_2020___New[[#This Row],[Date ]])</f>
        <v>2014</v>
      </c>
      <c r="D439" s="1">
        <v>41779</v>
      </c>
      <c r="E439" t="s">
        <v>251</v>
      </c>
      <c r="F439" t="s">
        <v>67</v>
      </c>
      <c r="G439" t="s">
        <v>406</v>
      </c>
      <c r="H439" t="s">
        <v>21</v>
      </c>
      <c r="I439" t="s">
        <v>21</v>
      </c>
      <c r="J439" t="s">
        <v>35</v>
      </c>
      <c r="K439" t="s">
        <v>406</v>
      </c>
      <c r="L439" t="s">
        <v>43</v>
      </c>
      <c r="M439">
        <v>7</v>
      </c>
      <c r="N439" t="s">
        <v>25</v>
      </c>
      <c r="O439" t="s">
        <v>796</v>
      </c>
      <c r="P439" t="s">
        <v>349</v>
      </c>
      <c r="Q439" t="s">
        <v>441</v>
      </c>
      <c r="R439">
        <v>2014</v>
      </c>
      <c r="S439" t="s">
        <v>803</v>
      </c>
      <c r="T439">
        <f>IF(IPL_Matches_2008_2020___New[[#This Row],[Toss Winner]]=IPL_Matches_2008_2020___New[[#This Row],[Winner]],1,0)</f>
        <v>0</v>
      </c>
      <c r="U439" t="s">
        <v>798</v>
      </c>
    </row>
    <row r="440" spans="1:21" x14ac:dyDescent="0.3">
      <c r="A440" t="s">
        <v>1240</v>
      </c>
      <c r="B440" t="s">
        <v>53</v>
      </c>
      <c r="C440">
        <f>YEAR(IPL_Matches_2008_2020___New[[#This Row],[Date ]])</f>
        <v>2014</v>
      </c>
      <c r="D440" s="1">
        <v>41779</v>
      </c>
      <c r="E440" t="s">
        <v>241</v>
      </c>
      <c r="F440" t="s">
        <v>55</v>
      </c>
      <c r="G440" t="s">
        <v>22</v>
      </c>
      <c r="H440" t="s">
        <v>34</v>
      </c>
      <c r="I440" t="s">
        <v>22</v>
      </c>
      <c r="J440" t="s">
        <v>23</v>
      </c>
      <c r="K440" t="s">
        <v>22</v>
      </c>
      <c r="L440" t="s">
        <v>43</v>
      </c>
      <c r="M440">
        <v>8</v>
      </c>
      <c r="N440" t="s">
        <v>25</v>
      </c>
      <c r="O440" t="s">
        <v>796</v>
      </c>
      <c r="P440" t="s">
        <v>486</v>
      </c>
      <c r="Q440" t="s">
        <v>387</v>
      </c>
      <c r="R440">
        <v>2014</v>
      </c>
      <c r="S440" t="s">
        <v>803</v>
      </c>
      <c r="T440">
        <f>IF(IPL_Matches_2008_2020___New[[#This Row],[Toss Winner]]=IPL_Matches_2008_2020___New[[#This Row],[Winner]],1,0)</f>
        <v>1</v>
      </c>
      <c r="U440" t="s">
        <v>801</v>
      </c>
    </row>
    <row r="441" spans="1:21" x14ac:dyDescent="0.3">
      <c r="A441" t="s">
        <v>1241</v>
      </c>
      <c r="B441" t="s">
        <v>29</v>
      </c>
      <c r="C441">
        <f>YEAR(IPL_Matches_2008_2020___New[[#This Row],[Date ]])</f>
        <v>2014</v>
      </c>
      <c r="D441" s="1">
        <v>41780</v>
      </c>
      <c r="E441" t="s">
        <v>496</v>
      </c>
      <c r="F441" t="s">
        <v>32</v>
      </c>
      <c r="G441" t="s">
        <v>800</v>
      </c>
      <c r="H441" t="s">
        <v>50</v>
      </c>
      <c r="I441" t="s">
        <v>50</v>
      </c>
      <c r="J441" t="s">
        <v>23</v>
      </c>
      <c r="K441" t="s">
        <v>50</v>
      </c>
      <c r="L441" t="s">
        <v>43</v>
      </c>
      <c r="M441">
        <v>7</v>
      </c>
      <c r="N441" t="s">
        <v>25</v>
      </c>
      <c r="O441" t="s">
        <v>796</v>
      </c>
      <c r="P441" t="s">
        <v>165</v>
      </c>
      <c r="Q441" t="s">
        <v>354</v>
      </c>
      <c r="R441">
        <v>2014</v>
      </c>
      <c r="S441" t="s">
        <v>803</v>
      </c>
      <c r="T441">
        <f>IF(IPL_Matches_2008_2020___New[[#This Row],[Toss Winner]]=IPL_Matches_2008_2020___New[[#This Row],[Winner]],1,0)</f>
        <v>1</v>
      </c>
      <c r="U441" t="s">
        <v>801</v>
      </c>
    </row>
    <row r="442" spans="1:21" x14ac:dyDescent="0.3">
      <c r="A442" t="s">
        <v>1242</v>
      </c>
      <c r="B442" t="s">
        <v>53</v>
      </c>
      <c r="C442">
        <f>YEAR(IPL_Matches_2008_2020___New[[#This Row],[Date ]])</f>
        <v>2014</v>
      </c>
      <c r="D442" s="1">
        <v>41781</v>
      </c>
      <c r="E442" t="s">
        <v>241</v>
      </c>
      <c r="F442" t="s">
        <v>55</v>
      </c>
      <c r="G442" t="s">
        <v>22</v>
      </c>
      <c r="H442" t="s">
        <v>21</v>
      </c>
      <c r="I442" t="s">
        <v>21</v>
      </c>
      <c r="J442" t="s">
        <v>23</v>
      </c>
      <c r="K442" t="s">
        <v>22</v>
      </c>
      <c r="L442" t="s">
        <v>24</v>
      </c>
      <c r="M442">
        <v>30</v>
      </c>
      <c r="N442" t="s">
        <v>25</v>
      </c>
      <c r="O442" t="s">
        <v>796</v>
      </c>
      <c r="P442" t="s">
        <v>349</v>
      </c>
      <c r="Q442" t="s">
        <v>418</v>
      </c>
      <c r="R442">
        <v>2014</v>
      </c>
      <c r="S442" t="s">
        <v>797</v>
      </c>
      <c r="T442">
        <f>IF(IPL_Matches_2008_2020___New[[#This Row],[Toss Winner]]=IPL_Matches_2008_2020___New[[#This Row],[Winner]],1,0)</f>
        <v>0</v>
      </c>
      <c r="U442" t="s">
        <v>798</v>
      </c>
    </row>
    <row r="443" spans="1:21" x14ac:dyDescent="0.3">
      <c r="A443" t="s">
        <v>1243</v>
      </c>
      <c r="B443" t="s">
        <v>444</v>
      </c>
      <c r="C443">
        <f>YEAR(IPL_Matches_2008_2020___New[[#This Row],[Date ]])</f>
        <v>2014</v>
      </c>
      <c r="D443" s="1">
        <v>41781</v>
      </c>
      <c r="E443" t="s">
        <v>251</v>
      </c>
      <c r="F443" t="s">
        <v>445</v>
      </c>
      <c r="G443" t="s">
        <v>34</v>
      </c>
      <c r="H443" t="s">
        <v>406</v>
      </c>
      <c r="I443" t="s">
        <v>406</v>
      </c>
      <c r="J443" t="s">
        <v>23</v>
      </c>
      <c r="K443" t="s">
        <v>406</v>
      </c>
      <c r="L443" t="s">
        <v>43</v>
      </c>
      <c r="M443">
        <v>6</v>
      </c>
      <c r="N443" t="s">
        <v>25</v>
      </c>
      <c r="O443" t="s">
        <v>796</v>
      </c>
      <c r="P443" t="s">
        <v>359</v>
      </c>
      <c r="Q443" t="s">
        <v>387</v>
      </c>
      <c r="R443">
        <v>2014</v>
      </c>
      <c r="S443" t="s">
        <v>803</v>
      </c>
      <c r="T443">
        <f>IF(IPL_Matches_2008_2020___New[[#This Row],[Toss Winner]]=IPL_Matches_2008_2020___New[[#This Row],[Winner]],1,0)</f>
        <v>1</v>
      </c>
      <c r="U443" t="s">
        <v>801</v>
      </c>
    </row>
    <row r="444" spans="1:21" x14ac:dyDescent="0.3">
      <c r="A444" t="s">
        <v>1244</v>
      </c>
      <c r="B444" t="s">
        <v>46</v>
      </c>
      <c r="C444">
        <f>YEAR(IPL_Matches_2008_2020___New[[#This Row],[Date ]])</f>
        <v>2014</v>
      </c>
      <c r="D444" s="1">
        <v>41782</v>
      </c>
      <c r="E444" t="s">
        <v>31</v>
      </c>
      <c r="F444" t="s">
        <v>49</v>
      </c>
      <c r="G444" t="s">
        <v>50</v>
      </c>
      <c r="H444" t="s">
        <v>692</v>
      </c>
      <c r="I444" t="s">
        <v>692</v>
      </c>
      <c r="J444" t="s">
        <v>23</v>
      </c>
      <c r="K444" t="s">
        <v>50</v>
      </c>
      <c r="L444" t="s">
        <v>24</v>
      </c>
      <c r="M444">
        <v>15</v>
      </c>
      <c r="N444" t="s">
        <v>25</v>
      </c>
      <c r="O444" t="s">
        <v>796</v>
      </c>
      <c r="P444" t="s">
        <v>183</v>
      </c>
      <c r="Q444" t="s">
        <v>305</v>
      </c>
      <c r="R444">
        <v>2014</v>
      </c>
      <c r="S444" t="s">
        <v>797</v>
      </c>
      <c r="T444">
        <f>IF(IPL_Matches_2008_2020___New[[#This Row],[Toss Winner]]=IPL_Matches_2008_2020___New[[#This Row],[Winner]],1,0)</f>
        <v>0</v>
      </c>
      <c r="U444" t="s">
        <v>798</v>
      </c>
    </row>
    <row r="445" spans="1:21" x14ac:dyDescent="0.3">
      <c r="A445" t="s">
        <v>1245</v>
      </c>
      <c r="B445" t="s">
        <v>29</v>
      </c>
      <c r="C445">
        <f>YEAR(IPL_Matches_2008_2020___New[[#This Row],[Date ]])</f>
        <v>2014</v>
      </c>
      <c r="D445" s="1">
        <v>41782</v>
      </c>
      <c r="E445" t="s">
        <v>93</v>
      </c>
      <c r="F445" t="s">
        <v>32</v>
      </c>
      <c r="G445" t="s">
        <v>800</v>
      </c>
      <c r="H445" t="s">
        <v>42</v>
      </c>
      <c r="I445" t="s">
        <v>42</v>
      </c>
      <c r="J445" t="s">
        <v>23</v>
      </c>
      <c r="K445" t="s">
        <v>800</v>
      </c>
      <c r="L445" t="s">
        <v>24</v>
      </c>
      <c r="M445">
        <v>16</v>
      </c>
      <c r="N445" t="s">
        <v>25</v>
      </c>
      <c r="O445" t="s">
        <v>796</v>
      </c>
      <c r="P445" t="s">
        <v>165</v>
      </c>
      <c r="Q445" t="s">
        <v>487</v>
      </c>
      <c r="R445">
        <v>2014</v>
      </c>
      <c r="S445" t="s">
        <v>797</v>
      </c>
      <c r="T445">
        <f>IF(IPL_Matches_2008_2020___New[[#This Row],[Toss Winner]]=IPL_Matches_2008_2020___New[[#This Row],[Winner]],1,0)</f>
        <v>0</v>
      </c>
      <c r="U445" t="s">
        <v>798</v>
      </c>
    </row>
    <row r="446" spans="1:21" x14ac:dyDescent="0.3">
      <c r="A446" t="s">
        <v>1246</v>
      </c>
      <c r="B446" t="s">
        <v>17</v>
      </c>
      <c r="C446">
        <f>YEAR(IPL_Matches_2008_2020___New[[#This Row],[Date ]])</f>
        <v>2014</v>
      </c>
      <c r="D446" s="1">
        <v>41783</v>
      </c>
      <c r="E446" t="s">
        <v>87</v>
      </c>
      <c r="F446" t="s">
        <v>795</v>
      </c>
      <c r="G446" t="s">
        <v>21</v>
      </c>
      <c r="H446" t="s">
        <v>34</v>
      </c>
      <c r="I446" t="s">
        <v>34</v>
      </c>
      <c r="J446" t="s">
        <v>23</v>
      </c>
      <c r="K446" t="s">
        <v>34</v>
      </c>
      <c r="L446" t="s">
        <v>43</v>
      </c>
      <c r="M446">
        <v>8</v>
      </c>
      <c r="N446" t="s">
        <v>25</v>
      </c>
      <c r="O446" t="s">
        <v>796</v>
      </c>
      <c r="P446" t="s">
        <v>349</v>
      </c>
      <c r="Q446" t="s">
        <v>441</v>
      </c>
      <c r="R446">
        <v>2014</v>
      </c>
      <c r="S446" t="s">
        <v>803</v>
      </c>
      <c r="T446">
        <f>IF(IPL_Matches_2008_2020___New[[#This Row],[Toss Winner]]=IPL_Matches_2008_2020___New[[#This Row],[Winner]],1,0)</f>
        <v>1</v>
      </c>
      <c r="U446" t="s">
        <v>801</v>
      </c>
    </row>
    <row r="447" spans="1:21" x14ac:dyDescent="0.3">
      <c r="A447" t="s">
        <v>1247</v>
      </c>
      <c r="B447" t="s">
        <v>53</v>
      </c>
      <c r="C447">
        <f>YEAR(IPL_Matches_2008_2020___New[[#This Row],[Date ]])</f>
        <v>2014</v>
      </c>
      <c r="D447" s="1">
        <v>41783</v>
      </c>
      <c r="E447" t="s">
        <v>75</v>
      </c>
      <c r="F447" t="s">
        <v>55</v>
      </c>
      <c r="G447" t="s">
        <v>22</v>
      </c>
      <c r="H447" t="s">
        <v>406</v>
      </c>
      <c r="I447" t="s">
        <v>22</v>
      </c>
      <c r="J447" t="s">
        <v>23</v>
      </c>
      <c r="K447" t="s">
        <v>22</v>
      </c>
      <c r="L447" t="s">
        <v>43</v>
      </c>
      <c r="M447">
        <v>4</v>
      </c>
      <c r="N447" t="s">
        <v>25</v>
      </c>
      <c r="O447" t="s">
        <v>796</v>
      </c>
      <c r="P447" t="s">
        <v>486</v>
      </c>
      <c r="Q447" t="s">
        <v>359</v>
      </c>
      <c r="R447">
        <v>2014</v>
      </c>
      <c r="S447" t="s">
        <v>803</v>
      </c>
      <c r="T447">
        <f>IF(IPL_Matches_2008_2020___New[[#This Row],[Toss Winner]]=IPL_Matches_2008_2020___New[[#This Row],[Winner]],1,0)</f>
        <v>1</v>
      </c>
      <c r="U447" t="s">
        <v>801</v>
      </c>
    </row>
    <row r="448" spans="1:21" x14ac:dyDescent="0.3">
      <c r="A448" t="s">
        <v>1248</v>
      </c>
      <c r="B448" t="s">
        <v>29</v>
      </c>
      <c r="C448">
        <f>YEAR(IPL_Matches_2008_2020___New[[#This Row],[Date ]])</f>
        <v>2014</v>
      </c>
      <c r="D448" s="1">
        <v>41784</v>
      </c>
      <c r="E448" t="s">
        <v>407</v>
      </c>
      <c r="F448" t="s">
        <v>32</v>
      </c>
      <c r="G448" t="s">
        <v>800</v>
      </c>
      <c r="H448" t="s">
        <v>692</v>
      </c>
      <c r="I448" t="s">
        <v>800</v>
      </c>
      <c r="J448" t="s">
        <v>23</v>
      </c>
      <c r="K448" t="s">
        <v>800</v>
      </c>
      <c r="L448" t="s">
        <v>43</v>
      </c>
      <c r="M448">
        <v>7</v>
      </c>
      <c r="N448" t="s">
        <v>25</v>
      </c>
      <c r="O448" t="s">
        <v>796</v>
      </c>
      <c r="P448" t="s">
        <v>165</v>
      </c>
      <c r="Q448" t="s">
        <v>354</v>
      </c>
      <c r="R448">
        <v>2014</v>
      </c>
      <c r="S448" t="s">
        <v>803</v>
      </c>
      <c r="T448">
        <f>IF(IPL_Matches_2008_2020___New[[#This Row],[Toss Winner]]=IPL_Matches_2008_2020___New[[#This Row],[Winner]],1,0)</f>
        <v>1</v>
      </c>
      <c r="U448" t="s">
        <v>801</v>
      </c>
    </row>
    <row r="449" spans="1:21" x14ac:dyDescent="0.3">
      <c r="A449" t="s">
        <v>1249</v>
      </c>
      <c r="B449" t="s">
        <v>46</v>
      </c>
      <c r="C449">
        <f>YEAR(IPL_Matches_2008_2020___New[[#This Row],[Date ]])</f>
        <v>2014</v>
      </c>
      <c r="D449" s="1">
        <v>41784</v>
      </c>
      <c r="E449" t="s">
        <v>484</v>
      </c>
      <c r="F449" t="s">
        <v>49</v>
      </c>
      <c r="G449" t="s">
        <v>50</v>
      </c>
      <c r="H449" t="s">
        <v>42</v>
      </c>
      <c r="I449" t="s">
        <v>50</v>
      </c>
      <c r="J449" t="s">
        <v>23</v>
      </c>
      <c r="K449" t="s">
        <v>50</v>
      </c>
      <c r="L449" t="s">
        <v>43</v>
      </c>
      <c r="M449">
        <v>5</v>
      </c>
      <c r="N449" t="s">
        <v>25</v>
      </c>
      <c r="O449" t="s">
        <v>796</v>
      </c>
      <c r="P449" t="s">
        <v>410</v>
      </c>
      <c r="Q449" t="s">
        <v>305</v>
      </c>
      <c r="R449">
        <v>2014</v>
      </c>
      <c r="S449" t="s">
        <v>803</v>
      </c>
      <c r="T449">
        <f>IF(IPL_Matches_2008_2020___New[[#This Row],[Toss Winner]]=IPL_Matches_2008_2020___New[[#This Row],[Winner]],1,0)</f>
        <v>1</v>
      </c>
      <c r="U449" t="s">
        <v>801</v>
      </c>
    </row>
    <row r="450" spans="1:21" x14ac:dyDescent="0.3">
      <c r="A450" t="s">
        <v>1250</v>
      </c>
      <c r="B450" t="s">
        <v>53</v>
      </c>
      <c r="C450">
        <f>YEAR(IPL_Matches_2008_2020___New[[#This Row],[Date ]])</f>
        <v>2014</v>
      </c>
      <c r="D450" s="1">
        <v>41786</v>
      </c>
      <c r="E450" t="s">
        <v>395</v>
      </c>
      <c r="F450" t="s">
        <v>55</v>
      </c>
      <c r="G450" t="s">
        <v>800</v>
      </c>
      <c r="H450" t="s">
        <v>22</v>
      </c>
      <c r="I450" t="s">
        <v>800</v>
      </c>
      <c r="J450" t="s">
        <v>23</v>
      </c>
      <c r="K450" t="s">
        <v>22</v>
      </c>
      <c r="L450" t="s">
        <v>24</v>
      </c>
      <c r="M450">
        <v>28</v>
      </c>
      <c r="N450" t="s">
        <v>25</v>
      </c>
      <c r="O450" t="s">
        <v>796</v>
      </c>
      <c r="P450" t="s">
        <v>441</v>
      </c>
      <c r="Q450" t="s">
        <v>183</v>
      </c>
      <c r="R450">
        <v>2014</v>
      </c>
      <c r="S450" t="s">
        <v>797</v>
      </c>
      <c r="T450">
        <f>IF(IPL_Matches_2008_2020___New[[#This Row],[Toss Winner]]=IPL_Matches_2008_2020___New[[#This Row],[Winner]],1,0)</f>
        <v>0</v>
      </c>
      <c r="U450" t="s">
        <v>798</v>
      </c>
    </row>
    <row r="451" spans="1:21" x14ac:dyDescent="0.3">
      <c r="A451" t="s">
        <v>1251</v>
      </c>
      <c r="B451" t="s">
        <v>46</v>
      </c>
      <c r="C451">
        <f>YEAR(IPL_Matches_2008_2020___New[[#This Row],[Date ]])</f>
        <v>2014</v>
      </c>
      <c r="D451" s="1">
        <v>41787</v>
      </c>
      <c r="E451" t="s">
        <v>133</v>
      </c>
      <c r="F451" t="s">
        <v>220</v>
      </c>
      <c r="G451" t="s">
        <v>34</v>
      </c>
      <c r="H451" t="s">
        <v>50</v>
      </c>
      <c r="I451" t="s">
        <v>34</v>
      </c>
      <c r="J451" t="s">
        <v>23</v>
      </c>
      <c r="K451" t="s">
        <v>34</v>
      </c>
      <c r="L451" t="s">
        <v>43</v>
      </c>
      <c r="M451">
        <v>7</v>
      </c>
      <c r="N451" t="s">
        <v>25</v>
      </c>
      <c r="O451" t="s">
        <v>796</v>
      </c>
      <c r="P451" t="s">
        <v>354</v>
      </c>
      <c r="Q451" t="s">
        <v>359</v>
      </c>
      <c r="R451">
        <v>2014</v>
      </c>
      <c r="S451" t="s">
        <v>803</v>
      </c>
      <c r="T451">
        <f>IF(IPL_Matches_2008_2020___New[[#This Row],[Toss Winner]]=IPL_Matches_2008_2020___New[[#This Row],[Winner]],1,0)</f>
        <v>1</v>
      </c>
      <c r="U451" t="s">
        <v>801</v>
      </c>
    </row>
    <row r="452" spans="1:21" x14ac:dyDescent="0.3">
      <c r="A452" t="s">
        <v>1252</v>
      </c>
      <c r="B452" t="s">
        <v>46</v>
      </c>
      <c r="C452">
        <f>YEAR(IPL_Matches_2008_2020___New[[#This Row],[Date ]])</f>
        <v>2014</v>
      </c>
      <c r="D452" s="1">
        <v>41789</v>
      </c>
      <c r="E452" t="s">
        <v>66</v>
      </c>
      <c r="F452" t="s">
        <v>49</v>
      </c>
      <c r="G452" t="s">
        <v>34</v>
      </c>
      <c r="H452" t="s">
        <v>800</v>
      </c>
      <c r="I452" t="s">
        <v>34</v>
      </c>
      <c r="J452" t="s">
        <v>23</v>
      </c>
      <c r="K452" t="s">
        <v>800</v>
      </c>
      <c r="L452" t="s">
        <v>24</v>
      </c>
      <c r="M452">
        <v>24</v>
      </c>
      <c r="N452" t="s">
        <v>25</v>
      </c>
      <c r="O452" t="s">
        <v>796</v>
      </c>
      <c r="P452" t="s">
        <v>165</v>
      </c>
      <c r="Q452" t="s">
        <v>305</v>
      </c>
      <c r="R452">
        <v>2014</v>
      </c>
      <c r="S452" t="s">
        <v>797</v>
      </c>
      <c r="T452">
        <f>IF(IPL_Matches_2008_2020___New[[#This Row],[Toss Winner]]=IPL_Matches_2008_2020___New[[#This Row],[Winner]],1,0)</f>
        <v>0</v>
      </c>
      <c r="U452" t="s">
        <v>798</v>
      </c>
    </row>
    <row r="453" spans="1:21" x14ac:dyDescent="0.3">
      <c r="A453" t="s">
        <v>1253</v>
      </c>
      <c r="B453" t="s">
        <v>17</v>
      </c>
      <c r="C453">
        <f>YEAR(IPL_Matches_2008_2020___New[[#This Row],[Date ]])</f>
        <v>2014</v>
      </c>
      <c r="D453" s="1">
        <v>41791</v>
      </c>
      <c r="E453" t="s">
        <v>214</v>
      </c>
      <c r="F453" t="s">
        <v>795</v>
      </c>
      <c r="G453" t="s">
        <v>22</v>
      </c>
      <c r="H453" t="s">
        <v>800</v>
      </c>
      <c r="I453" t="s">
        <v>22</v>
      </c>
      <c r="J453" t="s">
        <v>23</v>
      </c>
      <c r="K453" t="s">
        <v>22</v>
      </c>
      <c r="L453" t="s">
        <v>43</v>
      </c>
      <c r="M453">
        <v>3</v>
      </c>
      <c r="N453" t="s">
        <v>25</v>
      </c>
      <c r="O453" t="s">
        <v>796</v>
      </c>
      <c r="P453" t="s">
        <v>165</v>
      </c>
      <c r="Q453" t="s">
        <v>359</v>
      </c>
      <c r="R453">
        <v>2014</v>
      </c>
      <c r="S453" t="s">
        <v>803</v>
      </c>
      <c r="T453">
        <f>IF(IPL_Matches_2008_2020___New[[#This Row],[Toss Winner]]=IPL_Matches_2008_2020___New[[#This Row],[Winner]],1,0)</f>
        <v>1</v>
      </c>
      <c r="U453" t="s">
        <v>801</v>
      </c>
    </row>
    <row r="454" spans="1:21" x14ac:dyDescent="0.3">
      <c r="A454" t="s">
        <v>1254</v>
      </c>
      <c r="B454" t="s">
        <v>53</v>
      </c>
      <c r="C454">
        <f>YEAR(IPL_Matches_2008_2020___New[[#This Row],[Date ]])</f>
        <v>2015</v>
      </c>
      <c r="D454" s="1">
        <v>42102</v>
      </c>
      <c r="E454" t="s">
        <v>358</v>
      </c>
      <c r="F454" t="s">
        <v>55</v>
      </c>
      <c r="G454" t="s">
        <v>22</v>
      </c>
      <c r="H454" t="s">
        <v>50</v>
      </c>
      <c r="I454" t="s">
        <v>22</v>
      </c>
      <c r="J454" t="s">
        <v>23</v>
      </c>
      <c r="K454" t="s">
        <v>22</v>
      </c>
      <c r="L454" t="s">
        <v>43</v>
      </c>
      <c r="M454">
        <v>7</v>
      </c>
      <c r="N454" t="s">
        <v>25</v>
      </c>
      <c r="O454" t="s">
        <v>796</v>
      </c>
      <c r="P454" t="s">
        <v>183</v>
      </c>
      <c r="Q454" t="s">
        <v>387</v>
      </c>
      <c r="R454">
        <v>2015</v>
      </c>
      <c r="S454" t="s">
        <v>803</v>
      </c>
      <c r="T454">
        <f>IF(IPL_Matches_2008_2020___New[[#This Row],[Toss Winner]]=IPL_Matches_2008_2020___New[[#This Row],[Winner]],1,0)</f>
        <v>1</v>
      </c>
      <c r="U454" t="s">
        <v>801</v>
      </c>
    </row>
    <row r="455" spans="1:21" x14ac:dyDescent="0.3">
      <c r="A455" t="s">
        <v>1255</v>
      </c>
      <c r="B455" t="s">
        <v>70</v>
      </c>
      <c r="C455">
        <f>YEAR(IPL_Matches_2008_2020___New[[#This Row],[Date ]])</f>
        <v>2015</v>
      </c>
      <c r="D455" s="1">
        <v>42103</v>
      </c>
      <c r="E455" t="s">
        <v>101</v>
      </c>
      <c r="F455" t="s">
        <v>73</v>
      </c>
      <c r="G455" t="s">
        <v>34</v>
      </c>
      <c r="H455" t="s">
        <v>692</v>
      </c>
      <c r="I455" t="s">
        <v>692</v>
      </c>
      <c r="J455" t="s">
        <v>23</v>
      </c>
      <c r="K455" t="s">
        <v>34</v>
      </c>
      <c r="L455" t="s">
        <v>24</v>
      </c>
      <c r="M455">
        <v>1</v>
      </c>
      <c r="N455" t="s">
        <v>25</v>
      </c>
      <c r="O455" t="s">
        <v>796</v>
      </c>
      <c r="P455" t="s">
        <v>460</v>
      </c>
      <c r="Q455" t="s">
        <v>354</v>
      </c>
      <c r="R455">
        <v>2015</v>
      </c>
      <c r="S455" t="s">
        <v>797</v>
      </c>
      <c r="T455">
        <f>IF(IPL_Matches_2008_2020___New[[#This Row],[Toss Winner]]=IPL_Matches_2008_2020___New[[#This Row],[Winner]],1,0)</f>
        <v>0</v>
      </c>
      <c r="U455" t="s">
        <v>798</v>
      </c>
    </row>
    <row r="456" spans="1:21" x14ac:dyDescent="0.3">
      <c r="A456" t="s">
        <v>1256</v>
      </c>
      <c r="B456" t="s">
        <v>355</v>
      </c>
      <c r="C456">
        <f>YEAR(IPL_Matches_2008_2020___New[[#This Row],[Date ]])</f>
        <v>2015</v>
      </c>
      <c r="D456" s="1">
        <v>42104</v>
      </c>
      <c r="E456" t="s">
        <v>414</v>
      </c>
      <c r="F456" t="s">
        <v>504</v>
      </c>
      <c r="G456" t="s">
        <v>800</v>
      </c>
      <c r="H456" t="s">
        <v>42</v>
      </c>
      <c r="I456" t="s">
        <v>800</v>
      </c>
      <c r="J456" t="s">
        <v>23</v>
      </c>
      <c r="K456" t="s">
        <v>42</v>
      </c>
      <c r="L456" t="s">
        <v>24</v>
      </c>
      <c r="M456">
        <v>26</v>
      </c>
      <c r="N456" t="s">
        <v>25</v>
      </c>
      <c r="O456" t="s">
        <v>796</v>
      </c>
      <c r="P456" t="s">
        <v>505</v>
      </c>
      <c r="Q456" t="s">
        <v>506</v>
      </c>
      <c r="R456">
        <v>2015</v>
      </c>
      <c r="S456" t="s">
        <v>797</v>
      </c>
      <c r="T456">
        <f>IF(IPL_Matches_2008_2020___New[[#This Row],[Toss Winner]]=IPL_Matches_2008_2020___New[[#This Row],[Winner]],1,0)</f>
        <v>0</v>
      </c>
      <c r="U456" t="s">
        <v>798</v>
      </c>
    </row>
    <row r="457" spans="1:21" x14ac:dyDescent="0.3">
      <c r="A457" t="s">
        <v>1257</v>
      </c>
      <c r="B457" t="s">
        <v>70</v>
      </c>
      <c r="C457">
        <f>YEAR(IPL_Matches_2008_2020___New[[#This Row],[Date ]])</f>
        <v>2015</v>
      </c>
      <c r="D457" s="1">
        <v>42105</v>
      </c>
      <c r="E457" t="s">
        <v>19</v>
      </c>
      <c r="F457" t="s">
        <v>73</v>
      </c>
      <c r="G457" t="s">
        <v>34</v>
      </c>
      <c r="H457" t="s">
        <v>406</v>
      </c>
      <c r="I457" t="s">
        <v>34</v>
      </c>
      <c r="J457" t="s">
        <v>35</v>
      </c>
      <c r="K457" t="s">
        <v>34</v>
      </c>
      <c r="L457" t="s">
        <v>24</v>
      </c>
      <c r="M457">
        <v>45</v>
      </c>
      <c r="N457" t="s">
        <v>25</v>
      </c>
      <c r="O457" t="s">
        <v>796</v>
      </c>
      <c r="P457" t="s">
        <v>460</v>
      </c>
      <c r="Q457" t="s">
        <v>354</v>
      </c>
      <c r="R457">
        <v>2015</v>
      </c>
      <c r="S457" t="s">
        <v>797</v>
      </c>
      <c r="T457">
        <f>IF(IPL_Matches_2008_2020___New[[#This Row],[Toss Winner]]=IPL_Matches_2008_2020___New[[#This Row],[Winner]],1,0)</f>
        <v>1</v>
      </c>
      <c r="U457" t="s">
        <v>801</v>
      </c>
    </row>
    <row r="458" spans="1:21" x14ac:dyDescent="0.3">
      <c r="A458" t="s">
        <v>1258</v>
      </c>
      <c r="B458" t="s">
        <v>53</v>
      </c>
      <c r="C458">
        <f>YEAR(IPL_Matches_2008_2020___New[[#This Row],[Date ]])</f>
        <v>2015</v>
      </c>
      <c r="D458" s="1">
        <v>42105</v>
      </c>
      <c r="E458" t="s">
        <v>152</v>
      </c>
      <c r="F458" t="s">
        <v>55</v>
      </c>
      <c r="G458" t="s">
        <v>22</v>
      </c>
      <c r="H458" t="s">
        <v>21</v>
      </c>
      <c r="I458" t="s">
        <v>21</v>
      </c>
      <c r="J458" t="s">
        <v>23</v>
      </c>
      <c r="K458" t="s">
        <v>21</v>
      </c>
      <c r="L458" t="s">
        <v>43</v>
      </c>
      <c r="M458">
        <v>3</v>
      </c>
      <c r="N458" t="s">
        <v>25</v>
      </c>
      <c r="O458" t="s">
        <v>796</v>
      </c>
      <c r="P458" t="s">
        <v>183</v>
      </c>
      <c r="Q458" t="s">
        <v>387</v>
      </c>
      <c r="R458">
        <v>2015</v>
      </c>
      <c r="S458" t="s">
        <v>803</v>
      </c>
      <c r="T458">
        <f>IF(IPL_Matches_2008_2020___New[[#This Row],[Toss Winner]]=IPL_Matches_2008_2020___New[[#This Row],[Winner]],1,0)</f>
        <v>1</v>
      </c>
      <c r="U458" t="s">
        <v>801</v>
      </c>
    </row>
    <row r="459" spans="1:21" x14ac:dyDescent="0.3">
      <c r="A459" t="s">
        <v>1259</v>
      </c>
      <c r="B459" t="s">
        <v>38</v>
      </c>
      <c r="C459">
        <f>YEAR(IPL_Matches_2008_2020___New[[#This Row],[Date ]])</f>
        <v>2015</v>
      </c>
      <c r="D459" s="1">
        <v>42106</v>
      </c>
      <c r="E459" t="s">
        <v>507</v>
      </c>
      <c r="F459" t="s">
        <v>40</v>
      </c>
      <c r="G459" t="s">
        <v>692</v>
      </c>
      <c r="H459" t="s">
        <v>42</v>
      </c>
      <c r="I459" t="s">
        <v>42</v>
      </c>
      <c r="J459" t="s">
        <v>23</v>
      </c>
      <c r="K459" t="s">
        <v>42</v>
      </c>
      <c r="L459" t="s">
        <v>43</v>
      </c>
      <c r="M459">
        <v>3</v>
      </c>
      <c r="N459" t="s">
        <v>25</v>
      </c>
      <c r="O459" t="s">
        <v>796</v>
      </c>
      <c r="P459" t="s">
        <v>505</v>
      </c>
      <c r="Q459" t="s">
        <v>506</v>
      </c>
      <c r="R459">
        <v>2015</v>
      </c>
      <c r="S459" t="s">
        <v>803</v>
      </c>
      <c r="T459">
        <f>IF(IPL_Matches_2008_2020___New[[#This Row],[Toss Winner]]=IPL_Matches_2008_2020___New[[#This Row],[Winner]],1,0)</f>
        <v>1</v>
      </c>
      <c r="U459" t="s">
        <v>801</v>
      </c>
    </row>
    <row r="460" spans="1:21" x14ac:dyDescent="0.3">
      <c r="A460" t="s">
        <v>1260</v>
      </c>
      <c r="B460" t="s">
        <v>46</v>
      </c>
      <c r="C460">
        <f>YEAR(IPL_Matches_2008_2020___New[[#This Row],[Date ]])</f>
        <v>2015</v>
      </c>
      <c r="D460" s="1">
        <v>42106</v>
      </c>
      <c r="E460" t="s">
        <v>508</v>
      </c>
      <c r="F460" t="s">
        <v>49</v>
      </c>
      <c r="G460" t="s">
        <v>50</v>
      </c>
      <c r="H460" t="s">
        <v>800</v>
      </c>
      <c r="I460" t="s">
        <v>50</v>
      </c>
      <c r="J460" t="s">
        <v>23</v>
      </c>
      <c r="K460" t="s">
        <v>800</v>
      </c>
      <c r="L460" t="s">
        <v>24</v>
      </c>
      <c r="M460">
        <v>18</v>
      </c>
      <c r="N460" t="s">
        <v>25</v>
      </c>
      <c r="O460" t="s">
        <v>796</v>
      </c>
      <c r="P460" t="s">
        <v>349</v>
      </c>
      <c r="Q460" t="s">
        <v>509</v>
      </c>
      <c r="R460">
        <v>2015</v>
      </c>
      <c r="S460" t="s">
        <v>797</v>
      </c>
      <c r="T460">
        <f>IF(IPL_Matches_2008_2020___New[[#This Row],[Toss Winner]]=IPL_Matches_2008_2020___New[[#This Row],[Winner]],1,0)</f>
        <v>0</v>
      </c>
      <c r="U460" t="s">
        <v>798</v>
      </c>
    </row>
    <row r="461" spans="1:21" x14ac:dyDescent="0.3">
      <c r="A461" t="s">
        <v>1261</v>
      </c>
      <c r="B461" t="s">
        <v>17</v>
      </c>
      <c r="C461">
        <f>YEAR(IPL_Matches_2008_2020___New[[#This Row],[Date ]])</f>
        <v>2015</v>
      </c>
      <c r="D461" s="1">
        <v>42107</v>
      </c>
      <c r="E461" t="s">
        <v>251</v>
      </c>
      <c r="F461" t="s">
        <v>795</v>
      </c>
      <c r="G461" t="s">
        <v>21</v>
      </c>
      <c r="H461" t="s">
        <v>406</v>
      </c>
      <c r="I461" t="s">
        <v>406</v>
      </c>
      <c r="J461" t="s">
        <v>23</v>
      </c>
      <c r="K461" t="s">
        <v>406</v>
      </c>
      <c r="L461" t="s">
        <v>43</v>
      </c>
      <c r="M461">
        <v>8</v>
      </c>
      <c r="N461" t="s">
        <v>25</v>
      </c>
      <c r="O461" t="s">
        <v>796</v>
      </c>
      <c r="P461" t="s">
        <v>486</v>
      </c>
      <c r="Q461" t="s">
        <v>460</v>
      </c>
      <c r="R461">
        <v>2015</v>
      </c>
      <c r="S461" t="s">
        <v>803</v>
      </c>
      <c r="T461">
        <f>IF(IPL_Matches_2008_2020___New[[#This Row],[Toss Winner]]=IPL_Matches_2008_2020___New[[#This Row],[Winner]],1,0)</f>
        <v>1</v>
      </c>
      <c r="U461" t="s">
        <v>801</v>
      </c>
    </row>
    <row r="462" spans="1:21" x14ac:dyDescent="0.3">
      <c r="A462" t="s">
        <v>1262</v>
      </c>
      <c r="B462" t="s">
        <v>224</v>
      </c>
      <c r="C462">
        <f>YEAR(IPL_Matches_2008_2020___New[[#This Row],[Date ]])</f>
        <v>2015</v>
      </c>
      <c r="D462" s="1">
        <v>42108</v>
      </c>
      <c r="E462" t="s">
        <v>348</v>
      </c>
      <c r="F462" t="s">
        <v>226</v>
      </c>
      <c r="G462" t="s">
        <v>42</v>
      </c>
      <c r="H462" t="s">
        <v>50</v>
      </c>
      <c r="I462" t="s">
        <v>50</v>
      </c>
      <c r="J462" t="s">
        <v>35</v>
      </c>
      <c r="K462" t="s">
        <v>42</v>
      </c>
      <c r="L462" t="s">
        <v>43</v>
      </c>
      <c r="M462">
        <v>7</v>
      </c>
      <c r="N462" t="s">
        <v>25</v>
      </c>
      <c r="O462" t="s">
        <v>796</v>
      </c>
      <c r="P462" t="s">
        <v>349</v>
      </c>
      <c r="Q462" t="s">
        <v>505</v>
      </c>
      <c r="R462">
        <v>2015</v>
      </c>
      <c r="S462" t="s">
        <v>803</v>
      </c>
      <c r="T462">
        <f>IF(IPL_Matches_2008_2020___New[[#This Row],[Toss Winner]]=IPL_Matches_2008_2020___New[[#This Row],[Winner]],1,0)</f>
        <v>0</v>
      </c>
      <c r="U462" t="s">
        <v>798</v>
      </c>
    </row>
    <row r="463" spans="1:21" x14ac:dyDescent="0.3">
      <c r="A463" t="s">
        <v>1263</v>
      </c>
      <c r="B463" t="s">
        <v>53</v>
      </c>
      <c r="C463">
        <f>YEAR(IPL_Matches_2008_2020___New[[#This Row],[Date ]])</f>
        <v>2015</v>
      </c>
      <c r="D463" s="1">
        <v>42124</v>
      </c>
      <c r="E463" t="s">
        <v>513</v>
      </c>
      <c r="F463" t="s">
        <v>55</v>
      </c>
      <c r="G463" t="s">
        <v>22</v>
      </c>
      <c r="H463" t="s">
        <v>34</v>
      </c>
      <c r="I463" t="s">
        <v>22</v>
      </c>
      <c r="J463" t="s">
        <v>23</v>
      </c>
      <c r="K463" t="s">
        <v>22</v>
      </c>
      <c r="L463" t="s">
        <v>43</v>
      </c>
      <c r="M463">
        <v>7</v>
      </c>
      <c r="N463" t="s">
        <v>25</v>
      </c>
      <c r="O463" t="s">
        <v>796</v>
      </c>
      <c r="P463" t="s">
        <v>349</v>
      </c>
      <c r="Q463" t="s">
        <v>155</v>
      </c>
      <c r="R463">
        <v>2015</v>
      </c>
      <c r="S463" t="s">
        <v>803</v>
      </c>
      <c r="T463">
        <f>IF(IPL_Matches_2008_2020___New[[#This Row],[Toss Winner]]=IPL_Matches_2008_2020___New[[#This Row],[Winner]],1,0)</f>
        <v>1</v>
      </c>
      <c r="U463" t="s">
        <v>801</v>
      </c>
    </row>
    <row r="464" spans="1:21" x14ac:dyDescent="0.3">
      <c r="A464" t="s">
        <v>1264</v>
      </c>
      <c r="B464" t="s">
        <v>355</v>
      </c>
      <c r="C464">
        <f>YEAR(IPL_Matches_2008_2020___New[[#This Row],[Date ]])</f>
        <v>2015</v>
      </c>
      <c r="D464" s="1">
        <v>42109</v>
      </c>
      <c r="E464" t="s">
        <v>515</v>
      </c>
      <c r="F464" t="s">
        <v>504</v>
      </c>
      <c r="G464" t="s">
        <v>800</v>
      </c>
      <c r="H464" t="s">
        <v>692</v>
      </c>
      <c r="I464" t="s">
        <v>800</v>
      </c>
      <c r="J464" t="s">
        <v>35</v>
      </c>
      <c r="K464" t="s">
        <v>692</v>
      </c>
      <c r="L464" t="s">
        <v>43</v>
      </c>
      <c r="M464">
        <v>5</v>
      </c>
      <c r="N464" t="s">
        <v>25</v>
      </c>
      <c r="O464" t="s">
        <v>796</v>
      </c>
      <c r="P464" t="s">
        <v>506</v>
      </c>
      <c r="Q464" t="s">
        <v>410</v>
      </c>
      <c r="R464">
        <v>2015</v>
      </c>
      <c r="S464" t="s">
        <v>803</v>
      </c>
      <c r="T464">
        <f>IF(IPL_Matches_2008_2020___New[[#This Row],[Toss Winner]]=IPL_Matches_2008_2020___New[[#This Row],[Winner]],1,0)</f>
        <v>0</v>
      </c>
      <c r="U464" t="s">
        <v>798</v>
      </c>
    </row>
    <row r="465" spans="1:21" x14ac:dyDescent="0.3">
      <c r="A465" t="s">
        <v>1265</v>
      </c>
      <c r="B465" t="s">
        <v>351</v>
      </c>
      <c r="C465">
        <f>YEAR(IPL_Matches_2008_2020___New[[#This Row],[Date ]])</f>
        <v>2015</v>
      </c>
      <c r="D465" s="1">
        <v>42110</v>
      </c>
      <c r="E465" t="s">
        <v>350</v>
      </c>
      <c r="F465" t="s">
        <v>353</v>
      </c>
      <c r="G465" t="s">
        <v>406</v>
      </c>
      <c r="H465" t="s">
        <v>42</v>
      </c>
      <c r="I465" t="s">
        <v>42</v>
      </c>
      <c r="J465" t="s">
        <v>23</v>
      </c>
      <c r="K465" t="s">
        <v>42</v>
      </c>
      <c r="L465" t="s">
        <v>43</v>
      </c>
      <c r="M465">
        <v>6</v>
      </c>
      <c r="N465" t="s">
        <v>25</v>
      </c>
      <c r="O465" t="s">
        <v>796</v>
      </c>
      <c r="P465" t="s">
        <v>487</v>
      </c>
      <c r="Q465" t="s">
        <v>183</v>
      </c>
      <c r="R465">
        <v>2015</v>
      </c>
      <c r="S465" t="s">
        <v>803</v>
      </c>
      <c r="T465">
        <f>IF(IPL_Matches_2008_2020___New[[#This Row],[Toss Winner]]=IPL_Matches_2008_2020___New[[#This Row],[Winner]],1,0)</f>
        <v>1</v>
      </c>
      <c r="U465" t="s">
        <v>801</v>
      </c>
    </row>
    <row r="466" spans="1:21" x14ac:dyDescent="0.3">
      <c r="A466" t="s">
        <v>1266</v>
      </c>
      <c r="B466" t="s">
        <v>46</v>
      </c>
      <c r="C466">
        <f>YEAR(IPL_Matches_2008_2020___New[[#This Row],[Date ]])</f>
        <v>2015</v>
      </c>
      <c r="D466" s="1">
        <v>42111</v>
      </c>
      <c r="E466" t="s">
        <v>101</v>
      </c>
      <c r="F466" t="s">
        <v>49</v>
      </c>
      <c r="G466" t="s">
        <v>50</v>
      </c>
      <c r="H466" t="s">
        <v>34</v>
      </c>
      <c r="I466" t="s">
        <v>50</v>
      </c>
      <c r="J466" t="s">
        <v>35</v>
      </c>
      <c r="K466" t="s">
        <v>34</v>
      </c>
      <c r="L466" t="s">
        <v>43</v>
      </c>
      <c r="M466">
        <v>6</v>
      </c>
      <c r="N466" t="s">
        <v>25</v>
      </c>
      <c r="O466" t="s">
        <v>796</v>
      </c>
      <c r="P466" t="s">
        <v>349</v>
      </c>
      <c r="Q466" t="s">
        <v>155</v>
      </c>
      <c r="R466">
        <v>2015</v>
      </c>
      <c r="S466" t="s">
        <v>803</v>
      </c>
      <c r="T466">
        <f>IF(IPL_Matches_2008_2020___New[[#This Row],[Toss Winner]]=IPL_Matches_2008_2020___New[[#This Row],[Winner]],1,0)</f>
        <v>0</v>
      </c>
      <c r="U466" t="s">
        <v>798</v>
      </c>
    </row>
    <row r="467" spans="1:21" x14ac:dyDescent="0.3">
      <c r="A467" t="s">
        <v>1267</v>
      </c>
      <c r="B467" t="s">
        <v>351</v>
      </c>
      <c r="C467">
        <f>YEAR(IPL_Matches_2008_2020___New[[#This Row],[Date ]])</f>
        <v>2015</v>
      </c>
      <c r="D467" s="1">
        <v>42112</v>
      </c>
      <c r="E467" t="s">
        <v>179</v>
      </c>
      <c r="F467" t="s">
        <v>353</v>
      </c>
      <c r="G467" t="s">
        <v>406</v>
      </c>
      <c r="H467" t="s">
        <v>692</v>
      </c>
      <c r="I467" t="s">
        <v>692</v>
      </c>
      <c r="J467" t="s">
        <v>35</v>
      </c>
      <c r="K467" t="s">
        <v>692</v>
      </c>
      <c r="L467" t="s">
        <v>24</v>
      </c>
      <c r="M467">
        <v>4</v>
      </c>
      <c r="N467" t="s">
        <v>25</v>
      </c>
      <c r="O467" t="s">
        <v>796</v>
      </c>
      <c r="P467" t="s">
        <v>487</v>
      </c>
      <c r="Q467" t="s">
        <v>183</v>
      </c>
      <c r="R467">
        <v>2015</v>
      </c>
      <c r="S467" t="s">
        <v>797</v>
      </c>
      <c r="T467">
        <f>IF(IPL_Matches_2008_2020___New[[#This Row],[Toss Winner]]=IPL_Matches_2008_2020___New[[#This Row],[Winner]],1,0)</f>
        <v>1</v>
      </c>
      <c r="U467" t="s">
        <v>801</v>
      </c>
    </row>
    <row r="468" spans="1:21" x14ac:dyDescent="0.3">
      <c r="A468" t="s">
        <v>1268</v>
      </c>
      <c r="B468" t="s">
        <v>355</v>
      </c>
      <c r="C468">
        <f>YEAR(IPL_Matches_2008_2020___New[[#This Row],[Date ]])</f>
        <v>2015</v>
      </c>
      <c r="D468" s="1">
        <v>42112</v>
      </c>
      <c r="E468" t="s">
        <v>513</v>
      </c>
      <c r="F468" t="s">
        <v>504</v>
      </c>
      <c r="G468" t="s">
        <v>800</v>
      </c>
      <c r="H468" t="s">
        <v>22</v>
      </c>
      <c r="I468" t="s">
        <v>22</v>
      </c>
      <c r="J468" t="s">
        <v>23</v>
      </c>
      <c r="K468" t="s">
        <v>22</v>
      </c>
      <c r="L468" t="s">
        <v>43</v>
      </c>
      <c r="M468">
        <v>4</v>
      </c>
      <c r="N468" t="s">
        <v>25</v>
      </c>
      <c r="O468" t="s">
        <v>796</v>
      </c>
      <c r="P468" t="s">
        <v>505</v>
      </c>
      <c r="Q468" t="s">
        <v>418</v>
      </c>
      <c r="R468">
        <v>2015</v>
      </c>
      <c r="S468" t="s">
        <v>803</v>
      </c>
      <c r="T468">
        <f>IF(IPL_Matches_2008_2020___New[[#This Row],[Toss Winner]]=IPL_Matches_2008_2020___New[[#This Row],[Winner]],1,0)</f>
        <v>1</v>
      </c>
      <c r="U468" t="s">
        <v>801</v>
      </c>
    </row>
    <row r="469" spans="1:21" x14ac:dyDescent="0.3">
      <c r="A469" t="s">
        <v>1269</v>
      </c>
      <c r="B469" t="s">
        <v>224</v>
      </c>
      <c r="C469">
        <f>YEAR(IPL_Matches_2008_2020___New[[#This Row],[Date ]])</f>
        <v>2015</v>
      </c>
      <c r="D469" s="1">
        <v>42113</v>
      </c>
      <c r="E469" t="s">
        <v>350</v>
      </c>
      <c r="F469" t="s">
        <v>226</v>
      </c>
      <c r="G469" t="s">
        <v>42</v>
      </c>
      <c r="H469" t="s">
        <v>34</v>
      </c>
      <c r="I469" t="s">
        <v>34</v>
      </c>
      <c r="J469" t="s">
        <v>35</v>
      </c>
      <c r="K469" t="s">
        <v>42</v>
      </c>
      <c r="L469" t="s">
        <v>43</v>
      </c>
      <c r="M469">
        <v>8</v>
      </c>
      <c r="N469" t="s">
        <v>25</v>
      </c>
      <c r="O469" t="s">
        <v>796</v>
      </c>
      <c r="P469" t="s">
        <v>349</v>
      </c>
      <c r="Q469" t="s">
        <v>155</v>
      </c>
      <c r="R469">
        <v>2015</v>
      </c>
      <c r="S469" t="s">
        <v>803</v>
      </c>
      <c r="T469">
        <f>IF(IPL_Matches_2008_2020___New[[#This Row],[Toss Winner]]=IPL_Matches_2008_2020___New[[#This Row],[Winner]],1,0)</f>
        <v>0</v>
      </c>
      <c r="U469" t="s">
        <v>798</v>
      </c>
    </row>
    <row r="470" spans="1:21" x14ac:dyDescent="0.3">
      <c r="A470" t="s">
        <v>1270</v>
      </c>
      <c r="B470" t="s">
        <v>17</v>
      </c>
      <c r="C470">
        <f>YEAR(IPL_Matches_2008_2020___New[[#This Row],[Date ]])</f>
        <v>2015</v>
      </c>
      <c r="D470" s="1">
        <v>42113</v>
      </c>
      <c r="E470" t="s">
        <v>197</v>
      </c>
      <c r="F470" t="s">
        <v>795</v>
      </c>
      <c r="G470" t="s">
        <v>21</v>
      </c>
      <c r="H470" t="s">
        <v>50</v>
      </c>
      <c r="I470" t="s">
        <v>21</v>
      </c>
      <c r="J470" t="s">
        <v>23</v>
      </c>
      <c r="K470" t="s">
        <v>50</v>
      </c>
      <c r="L470" t="s">
        <v>24</v>
      </c>
      <c r="M470">
        <v>18</v>
      </c>
      <c r="N470" t="s">
        <v>25</v>
      </c>
      <c r="O470" t="s">
        <v>796</v>
      </c>
      <c r="P470" t="s">
        <v>460</v>
      </c>
      <c r="Q470" t="s">
        <v>354</v>
      </c>
      <c r="R470">
        <v>2015</v>
      </c>
      <c r="S470" t="s">
        <v>797</v>
      </c>
      <c r="T470">
        <f>IF(IPL_Matches_2008_2020___New[[#This Row],[Toss Winner]]=IPL_Matches_2008_2020___New[[#This Row],[Winner]],1,0)</f>
        <v>0</v>
      </c>
      <c r="U470" t="s">
        <v>798</v>
      </c>
    </row>
    <row r="471" spans="1:21" x14ac:dyDescent="0.3">
      <c r="A471" t="s">
        <v>1271</v>
      </c>
      <c r="B471" t="s">
        <v>38</v>
      </c>
      <c r="C471">
        <f>YEAR(IPL_Matches_2008_2020___New[[#This Row],[Date ]])</f>
        <v>2015</v>
      </c>
      <c r="D471" s="1">
        <v>42114</v>
      </c>
      <c r="E471" t="s">
        <v>395</v>
      </c>
      <c r="F471" t="s">
        <v>40</v>
      </c>
      <c r="G471" t="s">
        <v>692</v>
      </c>
      <c r="H471" t="s">
        <v>22</v>
      </c>
      <c r="I471" t="s">
        <v>22</v>
      </c>
      <c r="J471" t="s">
        <v>23</v>
      </c>
      <c r="K471" t="s">
        <v>22</v>
      </c>
      <c r="L471" t="s">
        <v>43</v>
      </c>
      <c r="M471">
        <v>6</v>
      </c>
      <c r="N471" t="s">
        <v>25</v>
      </c>
      <c r="O471" t="s">
        <v>796</v>
      </c>
      <c r="P471" t="s">
        <v>505</v>
      </c>
      <c r="Q471" t="s">
        <v>506</v>
      </c>
      <c r="R471">
        <v>2015</v>
      </c>
      <c r="S471" t="s">
        <v>803</v>
      </c>
      <c r="T471">
        <f>IF(IPL_Matches_2008_2020___New[[#This Row],[Toss Winner]]=IPL_Matches_2008_2020___New[[#This Row],[Winner]],1,0)</f>
        <v>1</v>
      </c>
      <c r="U471" t="s">
        <v>801</v>
      </c>
    </row>
    <row r="472" spans="1:21" x14ac:dyDescent="0.3">
      <c r="A472" t="s">
        <v>1272</v>
      </c>
      <c r="B472" t="s">
        <v>351</v>
      </c>
      <c r="C472">
        <f>YEAR(IPL_Matches_2008_2020___New[[#This Row],[Date ]])</f>
        <v>2015</v>
      </c>
      <c r="D472" s="1">
        <v>42116</v>
      </c>
      <c r="E472" t="s">
        <v>251</v>
      </c>
      <c r="F472" t="s">
        <v>353</v>
      </c>
      <c r="G472" t="s">
        <v>406</v>
      </c>
      <c r="H472" t="s">
        <v>22</v>
      </c>
      <c r="I472" t="s">
        <v>22</v>
      </c>
      <c r="J472" t="s">
        <v>23</v>
      </c>
      <c r="K472" t="s">
        <v>406</v>
      </c>
      <c r="L472" t="s">
        <v>24</v>
      </c>
      <c r="M472">
        <v>16</v>
      </c>
      <c r="N472" t="s">
        <v>25</v>
      </c>
      <c r="O472" t="s">
        <v>115</v>
      </c>
      <c r="P472" t="s">
        <v>460</v>
      </c>
      <c r="Q472" t="s">
        <v>354</v>
      </c>
      <c r="R472">
        <v>2015</v>
      </c>
      <c r="S472" t="s">
        <v>797</v>
      </c>
      <c r="T472">
        <f>IF(IPL_Matches_2008_2020___New[[#This Row],[Toss Winner]]=IPL_Matches_2008_2020___New[[#This Row],[Winner]],1,0)</f>
        <v>0</v>
      </c>
      <c r="U472" t="s">
        <v>798</v>
      </c>
    </row>
    <row r="473" spans="1:21" x14ac:dyDescent="0.3">
      <c r="A473" t="s">
        <v>1273</v>
      </c>
      <c r="B473" t="s">
        <v>17</v>
      </c>
      <c r="C473">
        <f>YEAR(IPL_Matches_2008_2020___New[[#This Row],[Date ]])</f>
        <v>2015</v>
      </c>
      <c r="D473" s="1">
        <v>42116</v>
      </c>
      <c r="E473" t="s">
        <v>133</v>
      </c>
      <c r="F473" t="s">
        <v>795</v>
      </c>
      <c r="G473" t="s">
        <v>21</v>
      </c>
      <c r="H473" t="s">
        <v>34</v>
      </c>
      <c r="I473" t="s">
        <v>21</v>
      </c>
      <c r="J473" t="s">
        <v>23</v>
      </c>
      <c r="K473" t="s">
        <v>34</v>
      </c>
      <c r="L473" t="s">
        <v>24</v>
      </c>
      <c r="M473">
        <v>27</v>
      </c>
      <c r="N473" t="s">
        <v>25</v>
      </c>
      <c r="O473" t="s">
        <v>796</v>
      </c>
      <c r="P473" t="s">
        <v>347</v>
      </c>
      <c r="Q473" t="s">
        <v>387</v>
      </c>
      <c r="R473">
        <v>2015</v>
      </c>
      <c r="S473" t="s">
        <v>797</v>
      </c>
      <c r="T473">
        <f>IF(IPL_Matches_2008_2020___New[[#This Row],[Toss Winner]]=IPL_Matches_2008_2020___New[[#This Row],[Winner]],1,0)</f>
        <v>0</v>
      </c>
      <c r="U473" t="s">
        <v>798</v>
      </c>
    </row>
    <row r="474" spans="1:21" x14ac:dyDescent="0.3">
      <c r="A474" t="s">
        <v>1274</v>
      </c>
      <c r="B474" t="s">
        <v>38</v>
      </c>
      <c r="C474">
        <f>YEAR(IPL_Matches_2008_2020___New[[#This Row],[Date ]])</f>
        <v>2015</v>
      </c>
      <c r="D474" s="1">
        <v>42117</v>
      </c>
      <c r="E474" t="s">
        <v>524</v>
      </c>
      <c r="F474" t="s">
        <v>40</v>
      </c>
      <c r="G474" t="s">
        <v>692</v>
      </c>
      <c r="H474" t="s">
        <v>50</v>
      </c>
      <c r="I474" t="s">
        <v>50</v>
      </c>
      <c r="J474" t="s">
        <v>23</v>
      </c>
      <c r="K474" t="s">
        <v>692</v>
      </c>
      <c r="L474" t="s">
        <v>24</v>
      </c>
      <c r="M474">
        <v>37</v>
      </c>
      <c r="N474" t="s">
        <v>25</v>
      </c>
      <c r="O474" t="s">
        <v>796</v>
      </c>
      <c r="P474" t="s">
        <v>505</v>
      </c>
      <c r="Q474" t="s">
        <v>418</v>
      </c>
      <c r="R474">
        <v>2015</v>
      </c>
      <c r="S474" t="s">
        <v>797</v>
      </c>
      <c r="T474">
        <f>IF(IPL_Matches_2008_2020___New[[#This Row],[Toss Winner]]=IPL_Matches_2008_2020___New[[#This Row],[Winner]],1,0)</f>
        <v>0</v>
      </c>
      <c r="U474" t="s">
        <v>798</v>
      </c>
    </row>
    <row r="475" spans="1:21" x14ac:dyDescent="0.3">
      <c r="A475" t="s">
        <v>1275</v>
      </c>
      <c r="B475" t="s">
        <v>224</v>
      </c>
      <c r="C475">
        <f>YEAR(IPL_Matches_2008_2020___New[[#This Row],[Date ]])</f>
        <v>2015</v>
      </c>
      <c r="D475" s="1">
        <v>42118</v>
      </c>
      <c r="E475" t="s">
        <v>526</v>
      </c>
      <c r="F475" t="s">
        <v>226</v>
      </c>
      <c r="G475" t="s">
        <v>42</v>
      </c>
      <c r="H475" t="s">
        <v>21</v>
      </c>
      <c r="I475" t="s">
        <v>21</v>
      </c>
      <c r="J475" t="s">
        <v>23</v>
      </c>
      <c r="K475" t="s">
        <v>21</v>
      </c>
      <c r="L475" t="s">
        <v>43</v>
      </c>
      <c r="M475">
        <v>9</v>
      </c>
      <c r="N475" t="s">
        <v>25</v>
      </c>
      <c r="O475" t="s">
        <v>796</v>
      </c>
      <c r="P475" t="s">
        <v>155</v>
      </c>
      <c r="Q475" t="s">
        <v>183</v>
      </c>
      <c r="R475">
        <v>2015</v>
      </c>
      <c r="S475" t="s">
        <v>803</v>
      </c>
      <c r="T475">
        <f>IF(IPL_Matches_2008_2020___New[[#This Row],[Toss Winner]]=IPL_Matches_2008_2020___New[[#This Row],[Winner]],1,0)</f>
        <v>1</v>
      </c>
      <c r="U475" t="s">
        <v>801</v>
      </c>
    </row>
    <row r="476" spans="1:21" x14ac:dyDescent="0.3">
      <c r="A476" t="s">
        <v>1276</v>
      </c>
      <c r="B476" t="s">
        <v>46</v>
      </c>
      <c r="C476">
        <f>YEAR(IPL_Matches_2008_2020___New[[#This Row],[Date ]])</f>
        <v>2015</v>
      </c>
      <c r="D476" s="1">
        <v>42119</v>
      </c>
      <c r="E476" t="s">
        <v>253</v>
      </c>
      <c r="F476" t="s">
        <v>49</v>
      </c>
      <c r="G476" t="s">
        <v>50</v>
      </c>
      <c r="H476" t="s">
        <v>406</v>
      </c>
      <c r="I476" t="s">
        <v>50</v>
      </c>
      <c r="J476" t="s">
        <v>35</v>
      </c>
      <c r="K476" t="s">
        <v>50</v>
      </c>
      <c r="L476" t="s">
        <v>24</v>
      </c>
      <c r="M476">
        <v>20</v>
      </c>
      <c r="N476" t="s">
        <v>25</v>
      </c>
      <c r="O476" t="s">
        <v>796</v>
      </c>
      <c r="P476" t="s">
        <v>165</v>
      </c>
      <c r="Q476" t="s">
        <v>506</v>
      </c>
      <c r="R476">
        <v>2015</v>
      </c>
      <c r="S476" t="s">
        <v>797</v>
      </c>
      <c r="T476">
        <f>IF(IPL_Matches_2008_2020___New[[#This Row],[Toss Winner]]=IPL_Matches_2008_2020___New[[#This Row],[Winner]],1,0)</f>
        <v>1</v>
      </c>
      <c r="U476" t="s">
        <v>801</v>
      </c>
    </row>
    <row r="477" spans="1:21" x14ac:dyDescent="0.3">
      <c r="A477" t="s">
        <v>1277</v>
      </c>
      <c r="B477" t="s">
        <v>70</v>
      </c>
      <c r="C477">
        <f>YEAR(IPL_Matches_2008_2020___New[[#This Row],[Date ]])</f>
        <v>2015</v>
      </c>
      <c r="D477" s="1">
        <v>42119</v>
      </c>
      <c r="E477" t="s">
        <v>19</v>
      </c>
      <c r="F477" t="s">
        <v>73</v>
      </c>
      <c r="G477" t="s">
        <v>34</v>
      </c>
      <c r="H477" t="s">
        <v>800</v>
      </c>
      <c r="I477" t="s">
        <v>34</v>
      </c>
      <c r="J477" t="s">
        <v>35</v>
      </c>
      <c r="K477" t="s">
        <v>34</v>
      </c>
      <c r="L477" t="s">
        <v>24</v>
      </c>
      <c r="M477">
        <v>97</v>
      </c>
      <c r="N477" t="s">
        <v>25</v>
      </c>
      <c r="O477" t="s">
        <v>796</v>
      </c>
      <c r="P477" t="s">
        <v>347</v>
      </c>
      <c r="Q477" t="s">
        <v>387</v>
      </c>
      <c r="R477">
        <v>2015</v>
      </c>
      <c r="S477" t="s">
        <v>797</v>
      </c>
      <c r="T477">
        <f>IF(IPL_Matches_2008_2020___New[[#This Row],[Toss Winner]]=IPL_Matches_2008_2020___New[[#This Row],[Winner]],1,0)</f>
        <v>1</v>
      </c>
      <c r="U477" t="s">
        <v>801</v>
      </c>
    </row>
    <row r="478" spans="1:21" x14ac:dyDescent="0.3">
      <c r="A478" t="s">
        <v>1278</v>
      </c>
      <c r="B478" t="s">
        <v>38</v>
      </c>
      <c r="C478">
        <f>YEAR(IPL_Matches_2008_2020___New[[#This Row],[Date ]])</f>
        <v>2015</v>
      </c>
      <c r="D478" s="1">
        <v>42120</v>
      </c>
      <c r="E478" t="s">
        <v>529</v>
      </c>
      <c r="F478" t="s">
        <v>40</v>
      </c>
      <c r="G478" t="s">
        <v>692</v>
      </c>
      <c r="H478" t="s">
        <v>21</v>
      </c>
      <c r="I478" t="s">
        <v>21</v>
      </c>
      <c r="J478" t="s">
        <v>23</v>
      </c>
      <c r="K478" t="s">
        <v>21</v>
      </c>
      <c r="L478" t="s">
        <v>43</v>
      </c>
      <c r="M478">
        <v>10</v>
      </c>
      <c r="N478" t="s">
        <v>25</v>
      </c>
      <c r="O478" t="s">
        <v>796</v>
      </c>
      <c r="P478" t="s">
        <v>155</v>
      </c>
      <c r="Q478" t="s">
        <v>183</v>
      </c>
      <c r="R478">
        <v>2015</v>
      </c>
      <c r="S478" t="s">
        <v>803</v>
      </c>
      <c r="T478">
        <f>IF(IPL_Matches_2008_2020___New[[#This Row],[Toss Winner]]=IPL_Matches_2008_2020___New[[#This Row],[Winner]],1,0)</f>
        <v>1</v>
      </c>
      <c r="U478" t="s">
        <v>801</v>
      </c>
    </row>
    <row r="479" spans="1:21" x14ac:dyDescent="0.3">
      <c r="A479" t="s">
        <v>1279</v>
      </c>
      <c r="B479" t="s">
        <v>29</v>
      </c>
      <c r="C479">
        <f>YEAR(IPL_Matches_2008_2020___New[[#This Row],[Date ]])</f>
        <v>2015</v>
      </c>
      <c r="D479" s="1">
        <v>42121</v>
      </c>
      <c r="E479" t="s">
        <v>531</v>
      </c>
      <c r="F479" t="s">
        <v>32</v>
      </c>
      <c r="G479" t="s">
        <v>800</v>
      </c>
      <c r="H479" t="s">
        <v>406</v>
      </c>
      <c r="I479" t="s">
        <v>800</v>
      </c>
      <c r="J479" t="s">
        <v>23</v>
      </c>
      <c r="K479" t="s">
        <v>406</v>
      </c>
      <c r="L479" t="s">
        <v>24</v>
      </c>
      <c r="M479">
        <v>20</v>
      </c>
      <c r="N479" t="s">
        <v>25</v>
      </c>
      <c r="O479" t="s">
        <v>796</v>
      </c>
      <c r="P479" t="s">
        <v>165</v>
      </c>
      <c r="Q479" t="s">
        <v>506</v>
      </c>
      <c r="R479">
        <v>2015</v>
      </c>
      <c r="S479" t="s">
        <v>797</v>
      </c>
      <c r="T479">
        <f>IF(IPL_Matches_2008_2020___New[[#This Row],[Toss Winner]]=IPL_Matches_2008_2020___New[[#This Row],[Winner]],1,0)</f>
        <v>0</v>
      </c>
      <c r="U479" t="s">
        <v>798</v>
      </c>
    </row>
    <row r="480" spans="1:21" x14ac:dyDescent="0.3">
      <c r="A480" t="s">
        <v>1280</v>
      </c>
      <c r="B480" t="s">
        <v>53</v>
      </c>
      <c r="C480">
        <f>YEAR(IPL_Matches_2008_2020___New[[#This Row],[Date ]])</f>
        <v>2015</v>
      </c>
      <c r="D480" s="1">
        <v>42131</v>
      </c>
      <c r="E480" t="s">
        <v>264</v>
      </c>
      <c r="F480" t="s">
        <v>55</v>
      </c>
      <c r="G480" t="s">
        <v>22</v>
      </c>
      <c r="H480" t="s">
        <v>692</v>
      </c>
      <c r="I480" t="s">
        <v>22</v>
      </c>
      <c r="J480" t="s">
        <v>35</v>
      </c>
      <c r="K480" t="s">
        <v>22</v>
      </c>
      <c r="L480" t="s">
        <v>24</v>
      </c>
      <c r="M480">
        <v>13</v>
      </c>
      <c r="N480" t="s">
        <v>25</v>
      </c>
      <c r="O480" t="s">
        <v>796</v>
      </c>
      <c r="P480" t="s">
        <v>349</v>
      </c>
      <c r="Q480" t="s">
        <v>155</v>
      </c>
      <c r="R480">
        <v>2015</v>
      </c>
      <c r="S480" t="s">
        <v>797</v>
      </c>
      <c r="T480">
        <f>IF(IPL_Matches_2008_2020___New[[#This Row],[Toss Winner]]=IPL_Matches_2008_2020___New[[#This Row],[Winner]],1,0)</f>
        <v>1</v>
      </c>
      <c r="U480" t="s">
        <v>801</v>
      </c>
    </row>
    <row r="481" spans="1:21" x14ac:dyDescent="0.3">
      <c r="A481" t="s">
        <v>1281</v>
      </c>
      <c r="B481" t="s">
        <v>70</v>
      </c>
      <c r="C481">
        <f>YEAR(IPL_Matches_2008_2020___New[[#This Row],[Date ]])</f>
        <v>2015</v>
      </c>
      <c r="D481" s="1">
        <v>42122</v>
      </c>
      <c r="E481" t="s">
        <v>118</v>
      </c>
      <c r="F481" t="s">
        <v>73</v>
      </c>
      <c r="G481" t="s">
        <v>34</v>
      </c>
      <c r="H481" t="s">
        <v>22</v>
      </c>
      <c r="I481" t="s">
        <v>22</v>
      </c>
      <c r="J481" t="s">
        <v>23</v>
      </c>
      <c r="K481" t="s">
        <v>34</v>
      </c>
      <c r="L481" t="s">
        <v>24</v>
      </c>
      <c r="M481">
        <v>2</v>
      </c>
      <c r="N481" t="s">
        <v>25</v>
      </c>
      <c r="O481" t="s">
        <v>796</v>
      </c>
      <c r="P481" t="s">
        <v>486</v>
      </c>
      <c r="Q481" t="s">
        <v>354</v>
      </c>
      <c r="R481">
        <v>2015</v>
      </c>
      <c r="S481" t="s">
        <v>797</v>
      </c>
      <c r="T481">
        <f>IF(IPL_Matches_2008_2020___New[[#This Row],[Toss Winner]]=IPL_Matches_2008_2020___New[[#This Row],[Winner]],1,0)</f>
        <v>0</v>
      </c>
      <c r="U481" t="s">
        <v>798</v>
      </c>
    </row>
    <row r="482" spans="1:21" x14ac:dyDescent="0.3">
      <c r="A482" t="s">
        <v>1282</v>
      </c>
      <c r="B482" t="s">
        <v>38</v>
      </c>
      <c r="C482">
        <f>YEAR(IPL_Matches_2008_2020___New[[#This Row],[Date ]])</f>
        <v>2015</v>
      </c>
      <c r="D482" s="1">
        <v>42125</v>
      </c>
      <c r="E482" t="s">
        <v>534</v>
      </c>
      <c r="F482" t="s">
        <v>40</v>
      </c>
      <c r="G482" t="s">
        <v>692</v>
      </c>
      <c r="H482" t="s">
        <v>800</v>
      </c>
      <c r="I482" t="s">
        <v>692</v>
      </c>
      <c r="J482" t="s">
        <v>23</v>
      </c>
      <c r="K482" t="s">
        <v>692</v>
      </c>
      <c r="L482" t="s">
        <v>43</v>
      </c>
      <c r="M482">
        <v>9</v>
      </c>
      <c r="N482" t="s">
        <v>25</v>
      </c>
      <c r="O482" t="s">
        <v>796</v>
      </c>
      <c r="P482" t="s">
        <v>460</v>
      </c>
      <c r="Q482" t="s">
        <v>183</v>
      </c>
      <c r="R482">
        <v>2015</v>
      </c>
      <c r="S482" t="s">
        <v>803</v>
      </c>
      <c r="T482">
        <f>IF(IPL_Matches_2008_2020___New[[#This Row],[Toss Winner]]=IPL_Matches_2008_2020___New[[#This Row],[Winner]],1,0)</f>
        <v>1</v>
      </c>
      <c r="U482" t="s">
        <v>801</v>
      </c>
    </row>
    <row r="483" spans="1:21" x14ac:dyDescent="0.3">
      <c r="A483" t="s">
        <v>1283</v>
      </c>
      <c r="B483" t="s">
        <v>46</v>
      </c>
      <c r="C483">
        <f>YEAR(IPL_Matches_2008_2020___New[[#This Row],[Date ]])</f>
        <v>2015</v>
      </c>
      <c r="D483" s="1">
        <v>42125</v>
      </c>
      <c r="E483" t="s">
        <v>257</v>
      </c>
      <c r="F483" t="s">
        <v>49</v>
      </c>
      <c r="G483" t="s">
        <v>50</v>
      </c>
      <c r="H483" t="s">
        <v>42</v>
      </c>
      <c r="I483" t="s">
        <v>42</v>
      </c>
      <c r="J483" t="s">
        <v>23</v>
      </c>
      <c r="K483" t="s">
        <v>50</v>
      </c>
      <c r="L483" t="s">
        <v>24</v>
      </c>
      <c r="M483">
        <v>8</v>
      </c>
      <c r="N483" t="s">
        <v>25</v>
      </c>
      <c r="O483" t="s">
        <v>796</v>
      </c>
      <c r="P483" t="s">
        <v>165</v>
      </c>
      <c r="Q483" t="s">
        <v>418</v>
      </c>
      <c r="R483">
        <v>2015</v>
      </c>
      <c r="S483" t="s">
        <v>797</v>
      </c>
      <c r="T483">
        <f>IF(IPL_Matches_2008_2020___New[[#This Row],[Toss Winner]]=IPL_Matches_2008_2020___New[[#This Row],[Winner]],1,0)</f>
        <v>0</v>
      </c>
      <c r="U483" t="s">
        <v>798</v>
      </c>
    </row>
    <row r="484" spans="1:21" x14ac:dyDescent="0.3">
      <c r="A484" t="s">
        <v>1284</v>
      </c>
      <c r="B484" t="s">
        <v>17</v>
      </c>
      <c r="C484">
        <f>YEAR(IPL_Matches_2008_2020___New[[#This Row],[Date ]])</f>
        <v>2015</v>
      </c>
      <c r="D484" s="1">
        <v>42126</v>
      </c>
      <c r="E484" t="s">
        <v>384</v>
      </c>
      <c r="F484" t="s">
        <v>795</v>
      </c>
      <c r="G484" t="s">
        <v>21</v>
      </c>
      <c r="H484" t="s">
        <v>22</v>
      </c>
      <c r="I484" t="s">
        <v>21</v>
      </c>
      <c r="J484" t="s">
        <v>23</v>
      </c>
      <c r="K484" t="s">
        <v>21</v>
      </c>
      <c r="L484" t="s">
        <v>43</v>
      </c>
      <c r="M484">
        <v>7</v>
      </c>
      <c r="N484" t="s">
        <v>25</v>
      </c>
      <c r="O484" t="s">
        <v>796</v>
      </c>
      <c r="P484" t="s">
        <v>347</v>
      </c>
      <c r="Q484" t="s">
        <v>487</v>
      </c>
      <c r="R484">
        <v>2015</v>
      </c>
      <c r="S484" t="s">
        <v>803</v>
      </c>
      <c r="T484">
        <f>IF(IPL_Matches_2008_2020___New[[#This Row],[Toss Winner]]=IPL_Matches_2008_2020___New[[#This Row],[Winner]],1,0)</f>
        <v>1</v>
      </c>
      <c r="U484" t="s">
        <v>801</v>
      </c>
    </row>
    <row r="485" spans="1:21" x14ac:dyDescent="0.3">
      <c r="A485" t="s">
        <v>1285</v>
      </c>
      <c r="B485" t="s">
        <v>64</v>
      </c>
      <c r="C485">
        <f>YEAR(IPL_Matches_2008_2020___New[[#This Row],[Date ]])</f>
        <v>2015</v>
      </c>
      <c r="D485" s="1">
        <v>42126</v>
      </c>
      <c r="E485" t="s">
        <v>251</v>
      </c>
      <c r="F485" t="s">
        <v>67</v>
      </c>
      <c r="G485" t="s">
        <v>406</v>
      </c>
      <c r="H485" t="s">
        <v>34</v>
      </c>
      <c r="I485" t="s">
        <v>34</v>
      </c>
      <c r="J485" t="s">
        <v>23</v>
      </c>
      <c r="K485" t="s">
        <v>406</v>
      </c>
      <c r="L485" t="s">
        <v>24</v>
      </c>
      <c r="M485">
        <v>22</v>
      </c>
      <c r="N485" t="s">
        <v>25</v>
      </c>
      <c r="O485" t="s">
        <v>796</v>
      </c>
      <c r="P485" t="s">
        <v>349</v>
      </c>
      <c r="Q485" t="s">
        <v>509</v>
      </c>
      <c r="R485">
        <v>2015</v>
      </c>
      <c r="S485" t="s">
        <v>797</v>
      </c>
      <c r="T485">
        <f>IF(IPL_Matches_2008_2020___New[[#This Row],[Toss Winner]]=IPL_Matches_2008_2020___New[[#This Row],[Winner]],1,0)</f>
        <v>0</v>
      </c>
      <c r="U485" t="s">
        <v>798</v>
      </c>
    </row>
    <row r="486" spans="1:21" x14ac:dyDescent="0.3">
      <c r="A486" t="s">
        <v>1286</v>
      </c>
      <c r="B486" t="s">
        <v>29</v>
      </c>
      <c r="C486">
        <f>YEAR(IPL_Matches_2008_2020___New[[#This Row],[Date ]])</f>
        <v>2015</v>
      </c>
      <c r="D486" s="1">
        <v>42127</v>
      </c>
      <c r="E486" t="s">
        <v>496</v>
      </c>
      <c r="F486" t="s">
        <v>32</v>
      </c>
      <c r="G486" t="s">
        <v>800</v>
      </c>
      <c r="H486" t="s">
        <v>50</v>
      </c>
      <c r="I486" t="s">
        <v>50</v>
      </c>
      <c r="J486" t="s">
        <v>35</v>
      </c>
      <c r="K486" t="s">
        <v>50</v>
      </c>
      <c r="L486" t="s">
        <v>24</v>
      </c>
      <c r="M486">
        <v>23</v>
      </c>
      <c r="N486" t="s">
        <v>25</v>
      </c>
      <c r="O486" t="s">
        <v>796</v>
      </c>
      <c r="P486" t="s">
        <v>460</v>
      </c>
      <c r="Q486" t="s">
        <v>354</v>
      </c>
      <c r="R486">
        <v>2015</v>
      </c>
      <c r="S486" t="s">
        <v>797</v>
      </c>
      <c r="T486">
        <f>IF(IPL_Matches_2008_2020___New[[#This Row],[Toss Winner]]=IPL_Matches_2008_2020___New[[#This Row],[Winner]],1,0)</f>
        <v>1</v>
      </c>
      <c r="U486" t="s">
        <v>801</v>
      </c>
    </row>
    <row r="487" spans="1:21" x14ac:dyDescent="0.3">
      <c r="A487" t="s">
        <v>1287</v>
      </c>
      <c r="B487" t="s">
        <v>46</v>
      </c>
      <c r="C487">
        <f>YEAR(IPL_Matches_2008_2020___New[[#This Row],[Date ]])</f>
        <v>2015</v>
      </c>
      <c r="D487" s="1">
        <v>42127</v>
      </c>
      <c r="E487" t="s">
        <v>350</v>
      </c>
      <c r="F487" t="s">
        <v>220</v>
      </c>
      <c r="G487" t="s">
        <v>42</v>
      </c>
      <c r="H487" t="s">
        <v>692</v>
      </c>
      <c r="I487" t="s">
        <v>692</v>
      </c>
      <c r="J487" t="s">
        <v>23</v>
      </c>
      <c r="K487" t="s">
        <v>42</v>
      </c>
      <c r="L487" t="s">
        <v>24</v>
      </c>
      <c r="M487">
        <v>14</v>
      </c>
      <c r="N487" t="s">
        <v>25</v>
      </c>
      <c r="O487" t="s">
        <v>796</v>
      </c>
      <c r="P487" t="s">
        <v>165</v>
      </c>
      <c r="Q487" t="s">
        <v>506</v>
      </c>
      <c r="R487">
        <v>2015</v>
      </c>
      <c r="S487" t="s">
        <v>797</v>
      </c>
      <c r="T487">
        <f>IF(IPL_Matches_2008_2020___New[[#This Row],[Toss Winner]]=IPL_Matches_2008_2020___New[[#This Row],[Winner]],1,0)</f>
        <v>0</v>
      </c>
      <c r="U487" t="s">
        <v>798</v>
      </c>
    </row>
    <row r="488" spans="1:21" x14ac:dyDescent="0.3">
      <c r="A488" t="s">
        <v>1288</v>
      </c>
      <c r="B488" t="s">
        <v>70</v>
      </c>
      <c r="C488">
        <f>YEAR(IPL_Matches_2008_2020___New[[#This Row],[Date ]])</f>
        <v>2015</v>
      </c>
      <c r="D488" s="1">
        <v>42128</v>
      </c>
      <c r="E488" t="s">
        <v>133</v>
      </c>
      <c r="F488" t="s">
        <v>73</v>
      </c>
      <c r="G488" t="s">
        <v>34</v>
      </c>
      <c r="H488" t="s">
        <v>21</v>
      </c>
      <c r="I488" t="s">
        <v>34</v>
      </c>
      <c r="J488" t="s">
        <v>35</v>
      </c>
      <c r="K488" t="s">
        <v>34</v>
      </c>
      <c r="L488" t="s">
        <v>24</v>
      </c>
      <c r="M488">
        <v>24</v>
      </c>
      <c r="N488" t="s">
        <v>25</v>
      </c>
      <c r="O488" t="s">
        <v>796</v>
      </c>
      <c r="P488" t="s">
        <v>387</v>
      </c>
      <c r="Q488" t="s">
        <v>410</v>
      </c>
      <c r="R488">
        <v>2015</v>
      </c>
      <c r="S488" t="s">
        <v>797</v>
      </c>
      <c r="T488">
        <f>IF(IPL_Matches_2008_2020___New[[#This Row],[Toss Winner]]=IPL_Matches_2008_2020___New[[#This Row],[Winner]],1,0)</f>
        <v>1</v>
      </c>
      <c r="U488" t="s">
        <v>801</v>
      </c>
    </row>
    <row r="489" spans="1:21" x14ac:dyDescent="0.3">
      <c r="A489" t="s">
        <v>1289</v>
      </c>
      <c r="B489" t="s">
        <v>53</v>
      </c>
      <c r="C489">
        <f>YEAR(IPL_Matches_2008_2020___New[[#This Row],[Date ]])</f>
        <v>2015</v>
      </c>
      <c r="D489" s="1">
        <v>42128</v>
      </c>
      <c r="E489" t="s">
        <v>395</v>
      </c>
      <c r="F489" t="s">
        <v>55</v>
      </c>
      <c r="G489" t="s">
        <v>22</v>
      </c>
      <c r="H489" t="s">
        <v>406</v>
      </c>
      <c r="I489" t="s">
        <v>406</v>
      </c>
      <c r="J489" t="s">
        <v>23</v>
      </c>
      <c r="K489" t="s">
        <v>22</v>
      </c>
      <c r="L489" t="s">
        <v>24</v>
      </c>
      <c r="M489">
        <v>35</v>
      </c>
      <c r="N489" t="s">
        <v>25</v>
      </c>
      <c r="O489" t="s">
        <v>796</v>
      </c>
      <c r="P489" t="s">
        <v>349</v>
      </c>
      <c r="Q489" t="s">
        <v>155</v>
      </c>
      <c r="R489">
        <v>2015</v>
      </c>
      <c r="S489" t="s">
        <v>797</v>
      </c>
      <c r="T489">
        <f>IF(IPL_Matches_2008_2020___New[[#This Row],[Toss Winner]]=IPL_Matches_2008_2020___New[[#This Row],[Winner]],1,0)</f>
        <v>0</v>
      </c>
      <c r="U489" t="s">
        <v>798</v>
      </c>
    </row>
    <row r="490" spans="1:21" x14ac:dyDescent="0.3">
      <c r="A490" t="s">
        <v>1290</v>
      </c>
      <c r="B490" t="s">
        <v>46</v>
      </c>
      <c r="C490">
        <f>YEAR(IPL_Matches_2008_2020___New[[#This Row],[Date ]])</f>
        <v>2015</v>
      </c>
      <c r="D490" s="1">
        <v>42129</v>
      </c>
      <c r="E490" t="s">
        <v>197</v>
      </c>
      <c r="F490" t="s">
        <v>49</v>
      </c>
      <c r="G490" t="s">
        <v>50</v>
      </c>
      <c r="H490" t="s">
        <v>692</v>
      </c>
      <c r="I490" t="s">
        <v>692</v>
      </c>
      <c r="J490" t="s">
        <v>35</v>
      </c>
      <c r="K490" t="s">
        <v>50</v>
      </c>
      <c r="L490" t="s">
        <v>43</v>
      </c>
      <c r="M490">
        <v>5</v>
      </c>
      <c r="N490" t="s">
        <v>25</v>
      </c>
      <c r="O490" t="s">
        <v>796</v>
      </c>
      <c r="P490" t="s">
        <v>165</v>
      </c>
      <c r="Q490" t="s">
        <v>506</v>
      </c>
      <c r="R490">
        <v>2015</v>
      </c>
      <c r="S490" t="s">
        <v>803</v>
      </c>
      <c r="T490">
        <f>IF(IPL_Matches_2008_2020___New[[#This Row],[Toss Winner]]=IPL_Matches_2008_2020___New[[#This Row],[Winner]],1,0)</f>
        <v>0</v>
      </c>
      <c r="U490" t="s">
        <v>798</v>
      </c>
    </row>
    <row r="491" spans="1:21" x14ac:dyDescent="0.3">
      <c r="A491" t="s">
        <v>1291</v>
      </c>
      <c r="B491" t="s">
        <v>17</v>
      </c>
      <c r="C491">
        <f>YEAR(IPL_Matches_2008_2020___New[[#This Row],[Date ]])</f>
        <v>2015</v>
      </c>
      <c r="D491" s="1">
        <v>42130</v>
      </c>
      <c r="E491" t="s">
        <v>152</v>
      </c>
      <c r="F491" t="s">
        <v>795</v>
      </c>
      <c r="G491" t="s">
        <v>21</v>
      </c>
      <c r="H491" t="s">
        <v>800</v>
      </c>
      <c r="I491" t="s">
        <v>800</v>
      </c>
      <c r="J491" t="s">
        <v>23</v>
      </c>
      <c r="K491" t="s">
        <v>21</v>
      </c>
      <c r="L491" t="s">
        <v>24</v>
      </c>
      <c r="M491">
        <v>138</v>
      </c>
      <c r="N491" t="s">
        <v>25</v>
      </c>
      <c r="O491" t="s">
        <v>796</v>
      </c>
      <c r="P491" t="s">
        <v>460</v>
      </c>
      <c r="Q491" t="s">
        <v>354</v>
      </c>
      <c r="R491">
        <v>2015</v>
      </c>
      <c r="S491" t="s">
        <v>797</v>
      </c>
      <c r="T491">
        <f>IF(IPL_Matches_2008_2020___New[[#This Row],[Toss Winner]]=IPL_Matches_2008_2020___New[[#This Row],[Winner]],1,0)</f>
        <v>0</v>
      </c>
      <c r="U491" t="s">
        <v>798</v>
      </c>
    </row>
    <row r="492" spans="1:21" x14ac:dyDescent="0.3">
      <c r="A492" t="s">
        <v>1292</v>
      </c>
      <c r="B492" t="s">
        <v>46</v>
      </c>
      <c r="C492">
        <f>YEAR(IPL_Matches_2008_2020___New[[#This Row],[Date ]])</f>
        <v>2015</v>
      </c>
      <c r="D492" s="1">
        <v>42131</v>
      </c>
      <c r="E492" t="s">
        <v>535</v>
      </c>
      <c r="F492" t="s">
        <v>220</v>
      </c>
      <c r="G492" t="s">
        <v>42</v>
      </c>
      <c r="H492" t="s">
        <v>406</v>
      </c>
      <c r="I492" t="s">
        <v>42</v>
      </c>
      <c r="J492" t="s">
        <v>23</v>
      </c>
      <c r="K492" t="s">
        <v>406</v>
      </c>
      <c r="L492" t="s">
        <v>24</v>
      </c>
      <c r="M492">
        <v>7</v>
      </c>
      <c r="N492" t="s">
        <v>25</v>
      </c>
      <c r="O492" t="s">
        <v>796</v>
      </c>
      <c r="P492" t="s">
        <v>347</v>
      </c>
      <c r="Q492" t="s">
        <v>387</v>
      </c>
      <c r="R492">
        <v>2015</v>
      </c>
      <c r="S492" t="s">
        <v>797</v>
      </c>
      <c r="T492">
        <f>IF(IPL_Matches_2008_2020___New[[#This Row],[Toss Winner]]=IPL_Matches_2008_2020___New[[#This Row],[Winner]],1,0)</f>
        <v>0</v>
      </c>
      <c r="U492" t="s">
        <v>798</v>
      </c>
    </row>
    <row r="493" spans="1:21" x14ac:dyDescent="0.3">
      <c r="A493" t="s">
        <v>1293</v>
      </c>
      <c r="B493" t="s">
        <v>70</v>
      </c>
      <c r="C493">
        <f>YEAR(IPL_Matches_2008_2020___New[[#This Row],[Date ]])</f>
        <v>2015</v>
      </c>
      <c r="D493" s="1">
        <v>42132</v>
      </c>
      <c r="E493" t="s">
        <v>536</v>
      </c>
      <c r="F493" t="s">
        <v>73</v>
      </c>
      <c r="G493" t="s">
        <v>34</v>
      </c>
      <c r="H493" t="s">
        <v>50</v>
      </c>
      <c r="I493" t="s">
        <v>34</v>
      </c>
      <c r="J493" t="s">
        <v>35</v>
      </c>
      <c r="K493" t="s">
        <v>50</v>
      </c>
      <c r="L493" t="s">
        <v>43</v>
      </c>
      <c r="M493">
        <v>6</v>
      </c>
      <c r="N493" t="s">
        <v>25</v>
      </c>
      <c r="O493" t="s">
        <v>796</v>
      </c>
      <c r="P493" t="s">
        <v>506</v>
      </c>
      <c r="Q493" t="s">
        <v>418</v>
      </c>
      <c r="R493">
        <v>2015</v>
      </c>
      <c r="S493" t="s">
        <v>803</v>
      </c>
      <c r="T493">
        <f>IF(IPL_Matches_2008_2020___New[[#This Row],[Toss Winner]]=IPL_Matches_2008_2020___New[[#This Row],[Winner]],1,0)</f>
        <v>0</v>
      </c>
      <c r="U493" t="s">
        <v>798</v>
      </c>
    </row>
    <row r="494" spans="1:21" x14ac:dyDescent="0.3">
      <c r="A494" t="s">
        <v>1294</v>
      </c>
      <c r="B494" t="s">
        <v>53</v>
      </c>
      <c r="C494">
        <f>YEAR(IPL_Matches_2008_2020___New[[#This Row],[Date ]])</f>
        <v>2015</v>
      </c>
      <c r="D494" s="1">
        <v>42133</v>
      </c>
      <c r="E494" t="s">
        <v>513</v>
      </c>
      <c r="F494" t="s">
        <v>55</v>
      </c>
      <c r="G494" t="s">
        <v>22</v>
      </c>
      <c r="H494" t="s">
        <v>800</v>
      </c>
      <c r="I494" t="s">
        <v>800</v>
      </c>
      <c r="J494" t="s">
        <v>35</v>
      </c>
      <c r="K494" t="s">
        <v>22</v>
      </c>
      <c r="L494" t="s">
        <v>43</v>
      </c>
      <c r="M494">
        <v>1</v>
      </c>
      <c r="N494" t="s">
        <v>25</v>
      </c>
      <c r="O494" t="s">
        <v>796</v>
      </c>
      <c r="P494" t="s">
        <v>349</v>
      </c>
      <c r="Q494" t="s">
        <v>165</v>
      </c>
      <c r="R494">
        <v>2015</v>
      </c>
      <c r="S494" t="s">
        <v>803</v>
      </c>
      <c r="T494">
        <f>IF(IPL_Matches_2008_2020___New[[#This Row],[Toss Winner]]=IPL_Matches_2008_2020___New[[#This Row],[Winner]],1,0)</f>
        <v>0</v>
      </c>
      <c r="U494" t="s">
        <v>798</v>
      </c>
    </row>
    <row r="495" spans="1:21" x14ac:dyDescent="0.3">
      <c r="A495" t="s">
        <v>1295</v>
      </c>
      <c r="B495" t="s">
        <v>433</v>
      </c>
      <c r="C495">
        <f>YEAR(IPL_Matches_2008_2020___New[[#This Row],[Date ]])</f>
        <v>2015</v>
      </c>
      <c r="D495" s="1">
        <v>42133</v>
      </c>
      <c r="E495" t="s">
        <v>537</v>
      </c>
      <c r="F495" t="s">
        <v>434</v>
      </c>
      <c r="G495" t="s">
        <v>692</v>
      </c>
      <c r="H495" t="s">
        <v>406</v>
      </c>
      <c r="I495" t="s">
        <v>406</v>
      </c>
      <c r="J495" t="s">
        <v>35</v>
      </c>
      <c r="K495" t="s">
        <v>406</v>
      </c>
      <c r="L495" t="s">
        <v>24</v>
      </c>
      <c r="M495">
        <v>6</v>
      </c>
      <c r="N495" t="s">
        <v>25</v>
      </c>
      <c r="O495" t="s">
        <v>796</v>
      </c>
      <c r="P495" t="s">
        <v>354</v>
      </c>
      <c r="Q495" t="s">
        <v>183</v>
      </c>
      <c r="R495">
        <v>2015</v>
      </c>
      <c r="S495" t="s">
        <v>797</v>
      </c>
      <c r="T495">
        <f>IF(IPL_Matches_2008_2020___New[[#This Row],[Toss Winner]]=IPL_Matches_2008_2020___New[[#This Row],[Winner]],1,0)</f>
        <v>1</v>
      </c>
      <c r="U495" t="s">
        <v>801</v>
      </c>
    </row>
    <row r="496" spans="1:21" x14ac:dyDescent="0.3">
      <c r="A496" t="s">
        <v>1296</v>
      </c>
      <c r="B496" t="s">
        <v>46</v>
      </c>
      <c r="C496">
        <f>YEAR(IPL_Matches_2008_2020___New[[#This Row],[Date ]])</f>
        <v>2015</v>
      </c>
      <c r="D496" s="1">
        <v>42134</v>
      </c>
      <c r="E496" t="s">
        <v>157</v>
      </c>
      <c r="F496" t="s">
        <v>49</v>
      </c>
      <c r="G496" t="s">
        <v>50</v>
      </c>
      <c r="H496" t="s">
        <v>21</v>
      </c>
      <c r="I496" t="s">
        <v>21</v>
      </c>
      <c r="J496" t="s">
        <v>35</v>
      </c>
      <c r="K496" t="s">
        <v>21</v>
      </c>
      <c r="L496" t="s">
        <v>24</v>
      </c>
      <c r="M496">
        <v>39</v>
      </c>
      <c r="N496" t="s">
        <v>25</v>
      </c>
      <c r="O496" t="s">
        <v>796</v>
      </c>
      <c r="P496" t="s">
        <v>347</v>
      </c>
      <c r="Q496" t="s">
        <v>387</v>
      </c>
      <c r="R496">
        <v>2015</v>
      </c>
      <c r="S496" t="s">
        <v>797</v>
      </c>
      <c r="T496">
        <f>IF(IPL_Matches_2008_2020___New[[#This Row],[Toss Winner]]=IPL_Matches_2008_2020___New[[#This Row],[Winner]],1,0)</f>
        <v>1</v>
      </c>
      <c r="U496" t="s">
        <v>801</v>
      </c>
    </row>
    <row r="497" spans="1:21" x14ac:dyDescent="0.3">
      <c r="A497" t="s">
        <v>1297</v>
      </c>
      <c r="B497" t="s">
        <v>70</v>
      </c>
      <c r="C497">
        <f>YEAR(IPL_Matches_2008_2020___New[[#This Row],[Date ]])</f>
        <v>2015</v>
      </c>
      <c r="D497" s="1">
        <v>42134</v>
      </c>
      <c r="E497" t="s">
        <v>352</v>
      </c>
      <c r="F497" t="s">
        <v>73</v>
      </c>
      <c r="G497" t="s">
        <v>34</v>
      </c>
      <c r="H497" t="s">
        <v>42</v>
      </c>
      <c r="I497" t="s">
        <v>34</v>
      </c>
      <c r="J497" t="s">
        <v>35</v>
      </c>
      <c r="K497" t="s">
        <v>34</v>
      </c>
      <c r="L497" t="s">
        <v>24</v>
      </c>
      <c r="M497">
        <v>12</v>
      </c>
      <c r="N497" t="s">
        <v>25</v>
      </c>
      <c r="O497" t="s">
        <v>796</v>
      </c>
      <c r="P497" t="s">
        <v>155</v>
      </c>
      <c r="Q497" t="s">
        <v>418</v>
      </c>
      <c r="R497">
        <v>2015</v>
      </c>
      <c r="S497" t="s">
        <v>797</v>
      </c>
      <c r="T497">
        <f>IF(IPL_Matches_2008_2020___New[[#This Row],[Toss Winner]]=IPL_Matches_2008_2020___New[[#This Row],[Winner]],1,0)</f>
        <v>1</v>
      </c>
      <c r="U497" t="s">
        <v>801</v>
      </c>
    </row>
    <row r="498" spans="1:21" x14ac:dyDescent="0.3">
      <c r="A498" t="s">
        <v>1298</v>
      </c>
      <c r="B498" t="s">
        <v>64</v>
      </c>
      <c r="C498">
        <f>YEAR(IPL_Matches_2008_2020___New[[#This Row],[Date ]])</f>
        <v>2015</v>
      </c>
      <c r="D498" s="1">
        <v>42135</v>
      </c>
      <c r="E498" t="s">
        <v>251</v>
      </c>
      <c r="F498" t="s">
        <v>67</v>
      </c>
      <c r="G498" t="s">
        <v>406</v>
      </c>
      <c r="H498" t="s">
        <v>800</v>
      </c>
      <c r="I498" t="s">
        <v>406</v>
      </c>
      <c r="J498" t="s">
        <v>35</v>
      </c>
      <c r="K498" t="s">
        <v>406</v>
      </c>
      <c r="L498" t="s">
        <v>24</v>
      </c>
      <c r="M498">
        <v>5</v>
      </c>
      <c r="N498" t="s">
        <v>25</v>
      </c>
      <c r="O498" t="s">
        <v>796</v>
      </c>
      <c r="P498" t="s">
        <v>349</v>
      </c>
      <c r="Q498" t="s">
        <v>165</v>
      </c>
      <c r="R498">
        <v>2015</v>
      </c>
      <c r="S498" t="s">
        <v>797</v>
      </c>
      <c r="T498">
        <f>IF(IPL_Matches_2008_2020___New[[#This Row],[Toss Winner]]=IPL_Matches_2008_2020___New[[#This Row],[Winner]],1,0)</f>
        <v>1</v>
      </c>
      <c r="U498" t="s">
        <v>801</v>
      </c>
    </row>
    <row r="499" spans="1:21" x14ac:dyDescent="0.3">
      <c r="A499" t="s">
        <v>1299</v>
      </c>
      <c r="B499" t="s">
        <v>433</v>
      </c>
      <c r="C499">
        <f>YEAR(IPL_Matches_2008_2020___New[[#This Row],[Date ]])</f>
        <v>2015</v>
      </c>
      <c r="D499" s="1">
        <v>42136</v>
      </c>
      <c r="E499" t="s">
        <v>538</v>
      </c>
      <c r="F499" t="s">
        <v>434</v>
      </c>
      <c r="G499" t="s">
        <v>692</v>
      </c>
      <c r="H499" t="s">
        <v>34</v>
      </c>
      <c r="I499" t="s">
        <v>34</v>
      </c>
      <c r="J499" t="s">
        <v>35</v>
      </c>
      <c r="K499" t="s">
        <v>692</v>
      </c>
      <c r="L499" t="s">
        <v>43</v>
      </c>
      <c r="M499">
        <v>6</v>
      </c>
      <c r="N499" t="s">
        <v>25</v>
      </c>
      <c r="O499" t="s">
        <v>796</v>
      </c>
      <c r="P499" t="s">
        <v>460</v>
      </c>
      <c r="Q499" t="s">
        <v>354</v>
      </c>
      <c r="R499">
        <v>2015</v>
      </c>
      <c r="S499" t="s">
        <v>803</v>
      </c>
      <c r="T499">
        <f>IF(IPL_Matches_2008_2020___New[[#This Row],[Toss Winner]]=IPL_Matches_2008_2020___New[[#This Row],[Winner]],1,0)</f>
        <v>0</v>
      </c>
      <c r="U499" t="s">
        <v>798</v>
      </c>
    </row>
    <row r="500" spans="1:21" x14ac:dyDescent="0.3">
      <c r="A500" t="s">
        <v>1300</v>
      </c>
      <c r="B500" t="s">
        <v>29</v>
      </c>
      <c r="C500">
        <f>YEAR(IPL_Matches_2008_2020___New[[#This Row],[Date ]])</f>
        <v>2015</v>
      </c>
      <c r="D500" s="1">
        <v>42137</v>
      </c>
      <c r="E500" t="s">
        <v>493</v>
      </c>
      <c r="F500" t="s">
        <v>32</v>
      </c>
      <c r="G500" t="s">
        <v>800</v>
      </c>
      <c r="H500" t="s">
        <v>21</v>
      </c>
      <c r="I500" t="s">
        <v>21</v>
      </c>
      <c r="J500" t="s">
        <v>23</v>
      </c>
      <c r="K500" t="s">
        <v>800</v>
      </c>
      <c r="L500" t="s">
        <v>24</v>
      </c>
      <c r="M500">
        <v>22</v>
      </c>
      <c r="N500" t="s">
        <v>25</v>
      </c>
      <c r="O500" t="s">
        <v>796</v>
      </c>
      <c r="P500" t="s">
        <v>347</v>
      </c>
      <c r="Q500" t="s">
        <v>387</v>
      </c>
      <c r="R500">
        <v>2015</v>
      </c>
      <c r="S500" t="s">
        <v>797</v>
      </c>
      <c r="T500">
        <f>IF(IPL_Matches_2008_2020___New[[#This Row],[Toss Winner]]=IPL_Matches_2008_2020___New[[#This Row],[Winner]],1,0)</f>
        <v>0</v>
      </c>
      <c r="U500" t="s">
        <v>798</v>
      </c>
    </row>
    <row r="501" spans="1:21" x14ac:dyDescent="0.3">
      <c r="A501" t="s">
        <v>1301</v>
      </c>
      <c r="B501" t="s">
        <v>46</v>
      </c>
      <c r="C501">
        <f>YEAR(IPL_Matches_2008_2020___New[[#This Row],[Date ]])</f>
        <v>2015</v>
      </c>
      <c r="D501" s="1">
        <v>42138</v>
      </c>
      <c r="E501" t="s">
        <v>536</v>
      </c>
      <c r="F501" t="s">
        <v>49</v>
      </c>
      <c r="G501" t="s">
        <v>50</v>
      </c>
      <c r="H501" t="s">
        <v>22</v>
      </c>
      <c r="I501" t="s">
        <v>22</v>
      </c>
      <c r="J501" t="s">
        <v>23</v>
      </c>
      <c r="K501" t="s">
        <v>50</v>
      </c>
      <c r="L501" t="s">
        <v>24</v>
      </c>
      <c r="M501">
        <v>5</v>
      </c>
      <c r="N501" t="s">
        <v>25</v>
      </c>
      <c r="O501" t="s">
        <v>796</v>
      </c>
      <c r="P501" t="s">
        <v>460</v>
      </c>
      <c r="Q501" t="s">
        <v>354</v>
      </c>
      <c r="R501">
        <v>2015</v>
      </c>
      <c r="S501" t="s">
        <v>797</v>
      </c>
      <c r="T501">
        <f>IF(IPL_Matches_2008_2020___New[[#This Row],[Toss Winner]]=IPL_Matches_2008_2020___New[[#This Row],[Winner]],1,0)</f>
        <v>0</v>
      </c>
      <c r="U501" t="s">
        <v>798</v>
      </c>
    </row>
    <row r="502" spans="1:21" x14ac:dyDescent="0.3">
      <c r="A502" t="s">
        <v>1302</v>
      </c>
      <c r="B502" t="s">
        <v>64</v>
      </c>
      <c r="C502">
        <f>YEAR(IPL_Matches_2008_2020___New[[#This Row],[Date ]])</f>
        <v>2015</v>
      </c>
      <c r="D502" s="1">
        <v>42139</v>
      </c>
      <c r="E502" t="s">
        <v>314</v>
      </c>
      <c r="F502" t="s">
        <v>67</v>
      </c>
      <c r="G502" t="s">
        <v>406</v>
      </c>
      <c r="H502" t="s">
        <v>21</v>
      </c>
      <c r="I502" t="s">
        <v>406</v>
      </c>
      <c r="J502" t="s">
        <v>35</v>
      </c>
      <c r="K502" t="s">
        <v>21</v>
      </c>
      <c r="L502" t="s">
        <v>43</v>
      </c>
      <c r="M502">
        <v>6</v>
      </c>
      <c r="N502" t="s">
        <v>25</v>
      </c>
      <c r="O502" t="s">
        <v>115</v>
      </c>
      <c r="P502" t="s">
        <v>349</v>
      </c>
      <c r="Q502" t="s">
        <v>165</v>
      </c>
      <c r="R502">
        <v>2015</v>
      </c>
      <c r="S502" t="s">
        <v>803</v>
      </c>
      <c r="T502">
        <f>IF(IPL_Matches_2008_2020___New[[#This Row],[Toss Winner]]=IPL_Matches_2008_2020___New[[#This Row],[Winner]],1,0)</f>
        <v>0</v>
      </c>
      <c r="U502" t="s">
        <v>798</v>
      </c>
    </row>
    <row r="503" spans="1:21" x14ac:dyDescent="0.3">
      <c r="A503" t="s">
        <v>1303</v>
      </c>
      <c r="B503" t="s">
        <v>29</v>
      </c>
      <c r="C503">
        <f>YEAR(IPL_Matches_2008_2020___New[[#This Row],[Date ]])</f>
        <v>2015</v>
      </c>
      <c r="D503" s="1">
        <v>42140</v>
      </c>
      <c r="E503" t="s">
        <v>388</v>
      </c>
      <c r="F503" t="s">
        <v>32</v>
      </c>
      <c r="G503" t="s">
        <v>800</v>
      </c>
      <c r="H503" t="s">
        <v>34</v>
      </c>
      <c r="I503" t="s">
        <v>800</v>
      </c>
      <c r="J503" t="s">
        <v>35</v>
      </c>
      <c r="K503" t="s">
        <v>34</v>
      </c>
      <c r="L503" t="s">
        <v>43</v>
      </c>
      <c r="M503">
        <v>7</v>
      </c>
      <c r="N503" t="s">
        <v>25</v>
      </c>
      <c r="O503" t="s">
        <v>796</v>
      </c>
      <c r="P503" t="s">
        <v>418</v>
      </c>
      <c r="Q503" t="s">
        <v>387</v>
      </c>
      <c r="R503">
        <v>2015</v>
      </c>
      <c r="S503" t="s">
        <v>803</v>
      </c>
      <c r="T503">
        <f>IF(IPL_Matches_2008_2020___New[[#This Row],[Toss Winner]]=IPL_Matches_2008_2020___New[[#This Row],[Winner]],1,0)</f>
        <v>0</v>
      </c>
      <c r="U503" t="s">
        <v>798</v>
      </c>
    </row>
    <row r="504" spans="1:21" x14ac:dyDescent="0.3">
      <c r="A504" t="s">
        <v>1304</v>
      </c>
      <c r="B504" t="s">
        <v>46</v>
      </c>
      <c r="C504">
        <f>YEAR(IPL_Matches_2008_2020___New[[#This Row],[Date ]])</f>
        <v>2015</v>
      </c>
      <c r="D504" s="1">
        <v>42140</v>
      </c>
      <c r="E504" t="s">
        <v>61</v>
      </c>
      <c r="F504" t="s">
        <v>220</v>
      </c>
      <c r="G504" t="s">
        <v>42</v>
      </c>
      <c r="H504" t="s">
        <v>22</v>
      </c>
      <c r="I504" t="s">
        <v>42</v>
      </c>
      <c r="J504" t="s">
        <v>35</v>
      </c>
      <c r="K504" t="s">
        <v>42</v>
      </c>
      <c r="L504" t="s">
        <v>24</v>
      </c>
      <c r="M504">
        <v>9</v>
      </c>
      <c r="N504" t="s">
        <v>25</v>
      </c>
      <c r="O504" t="s">
        <v>796</v>
      </c>
      <c r="P504" t="s">
        <v>486</v>
      </c>
      <c r="Q504" t="s">
        <v>460</v>
      </c>
      <c r="R504">
        <v>2015</v>
      </c>
      <c r="S504" t="s">
        <v>797</v>
      </c>
      <c r="T504">
        <f>IF(IPL_Matches_2008_2020___New[[#This Row],[Toss Winner]]=IPL_Matches_2008_2020___New[[#This Row],[Winner]],1,0)</f>
        <v>1</v>
      </c>
      <c r="U504" t="s">
        <v>801</v>
      </c>
    </row>
    <row r="505" spans="1:21" x14ac:dyDescent="0.3">
      <c r="A505" t="s">
        <v>1305</v>
      </c>
      <c r="B505" t="s">
        <v>64</v>
      </c>
      <c r="C505">
        <f>YEAR(IPL_Matches_2008_2020___New[[#This Row],[Date ]])</f>
        <v>2015</v>
      </c>
      <c r="D505" s="1">
        <v>42141</v>
      </c>
      <c r="E505" t="s">
        <v>544</v>
      </c>
      <c r="F505" t="s">
        <v>67</v>
      </c>
      <c r="G505" t="s">
        <v>406</v>
      </c>
      <c r="H505" t="s">
        <v>50</v>
      </c>
      <c r="I505" t="s">
        <v>406</v>
      </c>
      <c r="J505" t="s">
        <v>35</v>
      </c>
      <c r="K505" t="s">
        <v>50</v>
      </c>
      <c r="L505" t="s">
        <v>43</v>
      </c>
      <c r="M505">
        <v>9</v>
      </c>
      <c r="N505" t="s">
        <v>25</v>
      </c>
      <c r="O505" t="s">
        <v>796</v>
      </c>
      <c r="P505" t="s">
        <v>506</v>
      </c>
      <c r="Q505" t="s">
        <v>410</v>
      </c>
      <c r="R505">
        <v>2015</v>
      </c>
      <c r="S505" t="s">
        <v>803</v>
      </c>
      <c r="T505">
        <f>IF(IPL_Matches_2008_2020___New[[#This Row],[Toss Winner]]=IPL_Matches_2008_2020___New[[#This Row],[Winner]],1,0)</f>
        <v>0</v>
      </c>
      <c r="U505" t="s">
        <v>798</v>
      </c>
    </row>
    <row r="506" spans="1:21" x14ac:dyDescent="0.3">
      <c r="A506" t="s">
        <v>1306</v>
      </c>
      <c r="B506" t="s">
        <v>46</v>
      </c>
      <c r="C506">
        <f>YEAR(IPL_Matches_2008_2020___New[[#This Row],[Date ]])</f>
        <v>2015</v>
      </c>
      <c r="D506" s="1">
        <v>42143</v>
      </c>
      <c r="E506" t="s">
        <v>267</v>
      </c>
      <c r="F506" t="s">
        <v>49</v>
      </c>
      <c r="G506" t="s">
        <v>34</v>
      </c>
      <c r="H506" t="s">
        <v>50</v>
      </c>
      <c r="I506" t="s">
        <v>50</v>
      </c>
      <c r="J506" t="s">
        <v>35</v>
      </c>
      <c r="K506" t="s">
        <v>50</v>
      </c>
      <c r="L506" t="s">
        <v>24</v>
      </c>
      <c r="M506">
        <v>25</v>
      </c>
      <c r="N506" t="s">
        <v>25</v>
      </c>
      <c r="O506" t="s">
        <v>796</v>
      </c>
      <c r="P506" t="s">
        <v>165</v>
      </c>
      <c r="Q506" t="s">
        <v>460</v>
      </c>
      <c r="R506">
        <v>2015</v>
      </c>
      <c r="S506" t="s">
        <v>797</v>
      </c>
      <c r="T506">
        <f>IF(IPL_Matches_2008_2020___New[[#This Row],[Toss Winner]]=IPL_Matches_2008_2020___New[[#This Row],[Winner]],1,0)</f>
        <v>1</v>
      </c>
      <c r="U506" t="s">
        <v>801</v>
      </c>
    </row>
    <row r="507" spans="1:21" x14ac:dyDescent="0.3">
      <c r="A507" t="s">
        <v>1307</v>
      </c>
      <c r="B507" t="s">
        <v>355</v>
      </c>
      <c r="C507">
        <f>YEAR(IPL_Matches_2008_2020___New[[#This Row],[Date ]])</f>
        <v>2015</v>
      </c>
      <c r="D507" s="1">
        <v>42144</v>
      </c>
      <c r="E507" t="s">
        <v>157</v>
      </c>
      <c r="F507" t="s">
        <v>504</v>
      </c>
      <c r="G507" t="s">
        <v>21</v>
      </c>
      <c r="H507" t="s">
        <v>42</v>
      </c>
      <c r="I507" t="s">
        <v>21</v>
      </c>
      <c r="J507" t="s">
        <v>35</v>
      </c>
      <c r="K507" t="s">
        <v>21</v>
      </c>
      <c r="L507" t="s">
        <v>24</v>
      </c>
      <c r="M507">
        <v>71</v>
      </c>
      <c r="N507" t="s">
        <v>25</v>
      </c>
      <c r="O507" t="s">
        <v>796</v>
      </c>
      <c r="P507" t="s">
        <v>349</v>
      </c>
      <c r="Q507" t="s">
        <v>387</v>
      </c>
      <c r="R507">
        <v>2015</v>
      </c>
      <c r="S507" t="s">
        <v>797</v>
      </c>
      <c r="T507">
        <f>IF(IPL_Matches_2008_2020___New[[#This Row],[Toss Winner]]=IPL_Matches_2008_2020___New[[#This Row],[Winner]],1,0)</f>
        <v>1</v>
      </c>
      <c r="U507" t="s">
        <v>801</v>
      </c>
    </row>
    <row r="508" spans="1:21" x14ac:dyDescent="0.3">
      <c r="A508" t="s">
        <v>1308</v>
      </c>
      <c r="B508" t="s">
        <v>444</v>
      </c>
      <c r="C508">
        <f>YEAR(IPL_Matches_2008_2020___New[[#This Row],[Date ]])</f>
        <v>2015</v>
      </c>
      <c r="D508" s="1">
        <v>42146</v>
      </c>
      <c r="E508" t="s">
        <v>101</v>
      </c>
      <c r="F508" t="s">
        <v>445</v>
      </c>
      <c r="G508" t="s">
        <v>34</v>
      </c>
      <c r="H508" t="s">
        <v>21</v>
      </c>
      <c r="I508" t="s">
        <v>34</v>
      </c>
      <c r="J508" t="s">
        <v>23</v>
      </c>
      <c r="K508" t="s">
        <v>34</v>
      </c>
      <c r="L508" t="s">
        <v>43</v>
      </c>
      <c r="M508">
        <v>3</v>
      </c>
      <c r="N508" t="s">
        <v>25</v>
      </c>
      <c r="O508" t="s">
        <v>796</v>
      </c>
      <c r="P508" t="s">
        <v>349</v>
      </c>
      <c r="Q508" t="s">
        <v>506</v>
      </c>
      <c r="R508">
        <v>2015</v>
      </c>
      <c r="S508" t="s">
        <v>803</v>
      </c>
      <c r="T508">
        <f>IF(IPL_Matches_2008_2020___New[[#This Row],[Toss Winner]]=IPL_Matches_2008_2020___New[[#This Row],[Winner]],1,0)</f>
        <v>1</v>
      </c>
      <c r="U508" t="s">
        <v>801</v>
      </c>
    </row>
    <row r="509" spans="1:21" x14ac:dyDescent="0.3">
      <c r="A509" t="s">
        <v>1309</v>
      </c>
      <c r="B509" t="s">
        <v>53</v>
      </c>
      <c r="C509">
        <f>YEAR(IPL_Matches_2008_2020___New[[#This Row],[Date ]])</f>
        <v>2015</v>
      </c>
      <c r="D509" s="1">
        <v>42148</v>
      </c>
      <c r="E509" t="s">
        <v>190</v>
      </c>
      <c r="F509" t="s">
        <v>55</v>
      </c>
      <c r="G509" t="s">
        <v>50</v>
      </c>
      <c r="H509" t="s">
        <v>34</v>
      </c>
      <c r="I509" t="s">
        <v>34</v>
      </c>
      <c r="J509" t="s">
        <v>23</v>
      </c>
      <c r="K509" t="s">
        <v>50</v>
      </c>
      <c r="L509" t="s">
        <v>24</v>
      </c>
      <c r="M509">
        <v>41</v>
      </c>
      <c r="N509" t="s">
        <v>25</v>
      </c>
      <c r="O509" t="s">
        <v>796</v>
      </c>
      <c r="P509" t="s">
        <v>165</v>
      </c>
      <c r="Q509" t="s">
        <v>460</v>
      </c>
      <c r="R509">
        <v>2015</v>
      </c>
      <c r="S509" t="s">
        <v>797</v>
      </c>
      <c r="T509">
        <f>IF(IPL_Matches_2008_2020___New[[#This Row],[Toss Winner]]=IPL_Matches_2008_2020___New[[#This Row],[Winner]],1,0)</f>
        <v>0</v>
      </c>
      <c r="U509" t="s">
        <v>798</v>
      </c>
    </row>
    <row r="510" spans="1:21" x14ac:dyDescent="0.3">
      <c r="A510" t="s">
        <v>1310</v>
      </c>
      <c r="B510" t="s">
        <v>46</v>
      </c>
      <c r="C510">
        <f>YEAR(IPL_Matches_2008_2020___New[[#This Row],[Date ]])</f>
        <v>2016</v>
      </c>
      <c r="D510" s="1">
        <v>42469</v>
      </c>
      <c r="E510" t="s">
        <v>350</v>
      </c>
      <c r="F510" t="s">
        <v>49</v>
      </c>
      <c r="G510" t="s">
        <v>50</v>
      </c>
      <c r="H510" t="s">
        <v>606</v>
      </c>
      <c r="I510" t="s">
        <v>50</v>
      </c>
      <c r="J510" t="s">
        <v>35</v>
      </c>
      <c r="K510" t="s">
        <v>606</v>
      </c>
      <c r="L510" t="s">
        <v>43</v>
      </c>
      <c r="M510">
        <v>9</v>
      </c>
      <c r="N510" t="s">
        <v>25</v>
      </c>
      <c r="O510" t="s">
        <v>796</v>
      </c>
      <c r="P510" t="s">
        <v>165</v>
      </c>
      <c r="Q510" t="s">
        <v>418</v>
      </c>
      <c r="R510">
        <v>2016</v>
      </c>
      <c r="S510" t="s">
        <v>803</v>
      </c>
      <c r="T510">
        <f>IF(IPL_Matches_2008_2020___New[[#This Row],[Toss Winner]]=IPL_Matches_2008_2020___New[[#This Row],[Winner]],1,0)</f>
        <v>0</v>
      </c>
      <c r="U510" t="s">
        <v>798</v>
      </c>
    </row>
    <row r="511" spans="1:21" x14ac:dyDescent="0.3">
      <c r="A511" t="s">
        <v>1311</v>
      </c>
      <c r="B511" t="s">
        <v>53</v>
      </c>
      <c r="C511">
        <f>YEAR(IPL_Matches_2008_2020___New[[#This Row],[Date ]])</f>
        <v>2016</v>
      </c>
      <c r="D511" s="1">
        <v>42470</v>
      </c>
      <c r="E511" t="s">
        <v>513</v>
      </c>
      <c r="F511" t="s">
        <v>55</v>
      </c>
      <c r="G511" t="s">
        <v>22</v>
      </c>
      <c r="H511" t="s">
        <v>692</v>
      </c>
      <c r="I511" t="s">
        <v>22</v>
      </c>
      <c r="J511" t="s">
        <v>23</v>
      </c>
      <c r="K511" t="s">
        <v>22</v>
      </c>
      <c r="L511" t="s">
        <v>43</v>
      </c>
      <c r="M511">
        <v>9</v>
      </c>
      <c r="N511" t="s">
        <v>25</v>
      </c>
      <c r="O511" t="s">
        <v>796</v>
      </c>
      <c r="P511" t="s">
        <v>183</v>
      </c>
      <c r="Q511" t="s">
        <v>387</v>
      </c>
      <c r="R511">
        <v>2016</v>
      </c>
      <c r="S511" t="s">
        <v>803</v>
      </c>
      <c r="T511">
        <f>IF(IPL_Matches_2008_2020___New[[#This Row],[Toss Winner]]=IPL_Matches_2008_2020___New[[#This Row],[Winner]],1,0)</f>
        <v>1</v>
      </c>
      <c r="U511" t="s">
        <v>801</v>
      </c>
    </row>
    <row r="512" spans="1:21" x14ac:dyDescent="0.3">
      <c r="A512" t="s">
        <v>1312</v>
      </c>
      <c r="B512" t="s">
        <v>29</v>
      </c>
      <c r="C512">
        <f>YEAR(IPL_Matches_2008_2020___New[[#This Row],[Date ]])</f>
        <v>2016</v>
      </c>
      <c r="D512" s="1">
        <v>42471</v>
      </c>
      <c r="E512" t="s">
        <v>409</v>
      </c>
      <c r="F512" t="s">
        <v>32</v>
      </c>
      <c r="G512" t="s">
        <v>800</v>
      </c>
      <c r="H512" t="s">
        <v>551</v>
      </c>
      <c r="I512" t="s">
        <v>551</v>
      </c>
      <c r="J512" t="s">
        <v>23</v>
      </c>
      <c r="K512" t="s">
        <v>551</v>
      </c>
      <c r="L512" t="s">
        <v>43</v>
      </c>
      <c r="M512">
        <v>5</v>
      </c>
      <c r="N512" t="s">
        <v>25</v>
      </c>
      <c r="O512" t="s">
        <v>796</v>
      </c>
      <c r="P512" t="s">
        <v>349</v>
      </c>
      <c r="Q512" t="s">
        <v>354</v>
      </c>
      <c r="R512">
        <v>2016</v>
      </c>
      <c r="S512" t="s">
        <v>803</v>
      </c>
      <c r="T512">
        <f>IF(IPL_Matches_2008_2020___New[[#This Row],[Toss Winner]]=IPL_Matches_2008_2020___New[[#This Row],[Winner]],1,0)</f>
        <v>1</v>
      </c>
      <c r="U512" t="s">
        <v>801</v>
      </c>
    </row>
    <row r="513" spans="1:21" x14ac:dyDescent="0.3">
      <c r="A513" t="s">
        <v>1313</v>
      </c>
      <c r="B513" t="s">
        <v>17</v>
      </c>
      <c r="C513">
        <f>YEAR(IPL_Matches_2008_2020___New[[#This Row],[Date ]])</f>
        <v>2016</v>
      </c>
      <c r="D513" s="1">
        <v>42472</v>
      </c>
      <c r="E513" t="s">
        <v>157</v>
      </c>
      <c r="F513" t="s">
        <v>795</v>
      </c>
      <c r="G513" t="s">
        <v>21</v>
      </c>
      <c r="H513" t="s">
        <v>406</v>
      </c>
      <c r="I513" t="s">
        <v>406</v>
      </c>
      <c r="J513" t="s">
        <v>23</v>
      </c>
      <c r="K513" t="s">
        <v>21</v>
      </c>
      <c r="L513" t="s">
        <v>24</v>
      </c>
      <c r="M513">
        <v>45</v>
      </c>
      <c r="N513" t="s">
        <v>25</v>
      </c>
      <c r="O513" t="s">
        <v>796</v>
      </c>
      <c r="P513" t="s">
        <v>165</v>
      </c>
      <c r="Q513" t="s">
        <v>552</v>
      </c>
      <c r="R513">
        <v>2016</v>
      </c>
      <c r="S513" t="s">
        <v>797</v>
      </c>
      <c r="T513">
        <f>IF(IPL_Matches_2008_2020___New[[#This Row],[Toss Winner]]=IPL_Matches_2008_2020___New[[#This Row],[Winner]],1,0)</f>
        <v>0</v>
      </c>
      <c r="U513" t="s">
        <v>798</v>
      </c>
    </row>
    <row r="514" spans="1:21" x14ac:dyDescent="0.3">
      <c r="A514" t="s">
        <v>1314</v>
      </c>
      <c r="B514" t="s">
        <v>53</v>
      </c>
      <c r="C514">
        <f>YEAR(IPL_Matches_2008_2020___New[[#This Row],[Date ]])</f>
        <v>2016</v>
      </c>
      <c r="D514" s="1">
        <v>42473</v>
      </c>
      <c r="E514" t="s">
        <v>190</v>
      </c>
      <c r="F514" t="s">
        <v>55</v>
      </c>
      <c r="G514" t="s">
        <v>22</v>
      </c>
      <c r="H514" t="s">
        <v>50</v>
      </c>
      <c r="I514" t="s">
        <v>50</v>
      </c>
      <c r="J514" t="s">
        <v>23</v>
      </c>
      <c r="K514" t="s">
        <v>50</v>
      </c>
      <c r="L514" t="s">
        <v>43</v>
      </c>
      <c r="M514">
        <v>6</v>
      </c>
      <c r="N514" t="s">
        <v>25</v>
      </c>
      <c r="O514" t="s">
        <v>796</v>
      </c>
      <c r="P514" t="s">
        <v>554</v>
      </c>
      <c r="Q514" t="s">
        <v>183</v>
      </c>
      <c r="R514">
        <v>2016</v>
      </c>
      <c r="S514" t="s">
        <v>803</v>
      </c>
      <c r="T514">
        <f>IF(IPL_Matches_2008_2020___New[[#This Row],[Toss Winner]]=IPL_Matches_2008_2020___New[[#This Row],[Winner]],1,0)</f>
        <v>1</v>
      </c>
      <c r="U514" t="s">
        <v>801</v>
      </c>
    </row>
    <row r="515" spans="1:21" x14ac:dyDescent="0.3">
      <c r="A515" t="s">
        <v>1315</v>
      </c>
      <c r="B515" t="s">
        <v>555</v>
      </c>
      <c r="C515">
        <f>YEAR(IPL_Matches_2008_2020___New[[#This Row],[Date ]])</f>
        <v>2016</v>
      </c>
      <c r="D515" s="1">
        <v>42474</v>
      </c>
      <c r="E515" t="s">
        <v>409</v>
      </c>
      <c r="F515" t="s">
        <v>557</v>
      </c>
      <c r="G515" t="s">
        <v>551</v>
      </c>
      <c r="H515" t="s">
        <v>606</v>
      </c>
      <c r="I515" t="s">
        <v>606</v>
      </c>
      <c r="J515" t="s">
        <v>35</v>
      </c>
      <c r="K515" t="s">
        <v>551</v>
      </c>
      <c r="L515" t="s">
        <v>43</v>
      </c>
      <c r="M515">
        <v>7</v>
      </c>
      <c r="N515" t="s">
        <v>25</v>
      </c>
      <c r="O515" t="s">
        <v>796</v>
      </c>
      <c r="P515" t="s">
        <v>354</v>
      </c>
      <c r="Q515" t="s">
        <v>418</v>
      </c>
      <c r="R515">
        <v>2016</v>
      </c>
      <c r="S515" t="s">
        <v>803</v>
      </c>
      <c r="T515">
        <f>IF(IPL_Matches_2008_2020___New[[#This Row],[Toss Winner]]=IPL_Matches_2008_2020___New[[#This Row],[Winner]],1,0)</f>
        <v>0</v>
      </c>
      <c r="U515" t="s">
        <v>798</v>
      </c>
    </row>
    <row r="516" spans="1:21" x14ac:dyDescent="0.3">
      <c r="A516" t="s">
        <v>1316</v>
      </c>
      <c r="B516" t="s">
        <v>38</v>
      </c>
      <c r="C516">
        <f>YEAR(IPL_Matches_2008_2020___New[[#This Row],[Date ]])</f>
        <v>2016</v>
      </c>
      <c r="D516" s="1">
        <v>42475</v>
      </c>
      <c r="E516" t="s">
        <v>111</v>
      </c>
      <c r="F516" t="s">
        <v>40</v>
      </c>
      <c r="G516" t="s">
        <v>692</v>
      </c>
      <c r="H516" t="s">
        <v>800</v>
      </c>
      <c r="I516" t="s">
        <v>692</v>
      </c>
      <c r="J516" t="s">
        <v>23</v>
      </c>
      <c r="K516" t="s">
        <v>692</v>
      </c>
      <c r="L516" t="s">
        <v>43</v>
      </c>
      <c r="M516">
        <v>8</v>
      </c>
      <c r="N516" t="s">
        <v>25</v>
      </c>
      <c r="O516" t="s">
        <v>796</v>
      </c>
      <c r="P516" t="s">
        <v>183</v>
      </c>
      <c r="Q516" t="s">
        <v>387</v>
      </c>
      <c r="R516">
        <v>2016</v>
      </c>
      <c r="S516" t="s">
        <v>803</v>
      </c>
      <c r="T516">
        <f>IF(IPL_Matches_2008_2020___New[[#This Row],[Toss Winner]]=IPL_Matches_2008_2020___New[[#This Row],[Winner]],1,0)</f>
        <v>1</v>
      </c>
      <c r="U516" t="s">
        <v>801</v>
      </c>
    </row>
    <row r="517" spans="1:21" x14ac:dyDescent="0.3">
      <c r="A517" t="s">
        <v>1317</v>
      </c>
      <c r="B517" t="s">
        <v>64</v>
      </c>
      <c r="C517">
        <f>YEAR(IPL_Matches_2008_2020___New[[#This Row],[Date ]])</f>
        <v>2016</v>
      </c>
      <c r="D517" s="1">
        <v>42476</v>
      </c>
      <c r="E517" t="s">
        <v>189</v>
      </c>
      <c r="F517" t="s">
        <v>67</v>
      </c>
      <c r="G517" t="s">
        <v>406</v>
      </c>
      <c r="H517" t="s">
        <v>22</v>
      </c>
      <c r="I517" t="s">
        <v>406</v>
      </c>
      <c r="J517" t="s">
        <v>35</v>
      </c>
      <c r="K517" t="s">
        <v>22</v>
      </c>
      <c r="L517" t="s">
        <v>43</v>
      </c>
      <c r="M517">
        <v>8</v>
      </c>
      <c r="N517" t="s">
        <v>25</v>
      </c>
      <c r="O517" t="s">
        <v>796</v>
      </c>
      <c r="P517" t="s">
        <v>349</v>
      </c>
      <c r="Q517" t="s">
        <v>418</v>
      </c>
      <c r="R517">
        <v>2016</v>
      </c>
      <c r="S517" t="s">
        <v>803</v>
      </c>
      <c r="T517">
        <f>IF(IPL_Matches_2008_2020___New[[#This Row],[Toss Winner]]=IPL_Matches_2008_2020___New[[#This Row],[Winner]],1,0)</f>
        <v>0</v>
      </c>
      <c r="U517" t="s">
        <v>798</v>
      </c>
    </row>
    <row r="518" spans="1:21" x14ac:dyDescent="0.3">
      <c r="A518" t="s">
        <v>1318</v>
      </c>
      <c r="B518" t="s">
        <v>46</v>
      </c>
      <c r="C518">
        <f>YEAR(IPL_Matches_2008_2020___New[[#This Row],[Date ]])</f>
        <v>2016</v>
      </c>
      <c r="D518" s="1">
        <v>42476</v>
      </c>
      <c r="E518" t="s">
        <v>409</v>
      </c>
      <c r="F518" t="s">
        <v>49</v>
      </c>
      <c r="G518" t="s">
        <v>50</v>
      </c>
      <c r="H518" t="s">
        <v>551</v>
      </c>
      <c r="I518" t="s">
        <v>551</v>
      </c>
      <c r="J518" t="s">
        <v>23</v>
      </c>
      <c r="K518" t="s">
        <v>551</v>
      </c>
      <c r="L518" t="s">
        <v>43</v>
      </c>
      <c r="M518">
        <v>3</v>
      </c>
      <c r="N518" t="s">
        <v>25</v>
      </c>
      <c r="O518" t="s">
        <v>796</v>
      </c>
      <c r="P518" t="s">
        <v>165</v>
      </c>
      <c r="Q518" t="s">
        <v>552</v>
      </c>
      <c r="R518">
        <v>2016</v>
      </c>
      <c r="S518" t="s">
        <v>803</v>
      </c>
      <c r="T518">
        <f>IF(IPL_Matches_2008_2020___New[[#This Row],[Toss Winner]]=IPL_Matches_2008_2020___New[[#This Row],[Winner]],1,0)</f>
        <v>1</v>
      </c>
      <c r="U518" t="s">
        <v>801</v>
      </c>
    </row>
    <row r="519" spans="1:21" x14ac:dyDescent="0.3">
      <c r="A519" t="s">
        <v>1319</v>
      </c>
      <c r="B519" t="s">
        <v>29</v>
      </c>
      <c r="C519">
        <f>YEAR(IPL_Matches_2008_2020___New[[#This Row],[Date ]])</f>
        <v>2016</v>
      </c>
      <c r="D519" s="1">
        <v>42477</v>
      </c>
      <c r="E519" t="s">
        <v>407</v>
      </c>
      <c r="F519" t="s">
        <v>32</v>
      </c>
      <c r="G519" t="s">
        <v>800</v>
      </c>
      <c r="H519" t="s">
        <v>606</v>
      </c>
      <c r="I519" t="s">
        <v>606</v>
      </c>
      <c r="J519" t="s">
        <v>35</v>
      </c>
      <c r="K519" t="s">
        <v>800</v>
      </c>
      <c r="L519" t="s">
        <v>43</v>
      </c>
      <c r="M519">
        <v>6</v>
      </c>
      <c r="N519" t="s">
        <v>25</v>
      </c>
      <c r="O519" t="s">
        <v>796</v>
      </c>
      <c r="P519" t="s">
        <v>183</v>
      </c>
      <c r="Q519" t="s">
        <v>387</v>
      </c>
      <c r="R519">
        <v>2016</v>
      </c>
      <c r="S519" t="s">
        <v>803</v>
      </c>
      <c r="T519">
        <f>IF(IPL_Matches_2008_2020___New[[#This Row],[Toss Winner]]=IPL_Matches_2008_2020___New[[#This Row],[Winner]],1,0)</f>
        <v>0</v>
      </c>
      <c r="U519" t="s">
        <v>798</v>
      </c>
    </row>
    <row r="520" spans="1:21" x14ac:dyDescent="0.3">
      <c r="A520" t="s">
        <v>1320</v>
      </c>
      <c r="B520" t="s">
        <v>17</v>
      </c>
      <c r="C520">
        <f>YEAR(IPL_Matches_2008_2020___New[[#This Row],[Date ]])</f>
        <v>2016</v>
      </c>
      <c r="D520" s="1">
        <v>42477</v>
      </c>
      <c r="E520" t="s">
        <v>561</v>
      </c>
      <c r="F520" t="s">
        <v>795</v>
      </c>
      <c r="G520" t="s">
        <v>21</v>
      </c>
      <c r="H520" t="s">
        <v>692</v>
      </c>
      <c r="I520" t="s">
        <v>692</v>
      </c>
      <c r="J520" t="s">
        <v>23</v>
      </c>
      <c r="K520" t="s">
        <v>692</v>
      </c>
      <c r="L520" t="s">
        <v>43</v>
      </c>
      <c r="M520">
        <v>7</v>
      </c>
      <c r="N520" t="s">
        <v>25</v>
      </c>
      <c r="O520" t="s">
        <v>796</v>
      </c>
      <c r="P520" t="s">
        <v>354</v>
      </c>
      <c r="Q520" t="s">
        <v>562</v>
      </c>
      <c r="R520">
        <v>2016</v>
      </c>
      <c r="S520" t="s">
        <v>803</v>
      </c>
      <c r="T520">
        <f>IF(IPL_Matches_2008_2020___New[[#This Row],[Toss Winner]]=IPL_Matches_2008_2020___New[[#This Row],[Winner]],1,0)</f>
        <v>1</v>
      </c>
      <c r="U520" t="s">
        <v>801</v>
      </c>
    </row>
    <row r="521" spans="1:21" x14ac:dyDescent="0.3">
      <c r="A521" t="s">
        <v>1321</v>
      </c>
      <c r="B521" t="s">
        <v>64</v>
      </c>
      <c r="C521">
        <f>YEAR(IPL_Matches_2008_2020___New[[#This Row],[Date ]])</f>
        <v>2016</v>
      </c>
      <c r="D521" s="1">
        <v>42478</v>
      </c>
      <c r="E521" t="s">
        <v>251</v>
      </c>
      <c r="F521" t="s">
        <v>67</v>
      </c>
      <c r="G521" t="s">
        <v>406</v>
      </c>
      <c r="H521" t="s">
        <v>50</v>
      </c>
      <c r="I521" t="s">
        <v>406</v>
      </c>
      <c r="J521" t="s">
        <v>23</v>
      </c>
      <c r="K521" t="s">
        <v>406</v>
      </c>
      <c r="L521" t="s">
        <v>43</v>
      </c>
      <c r="M521">
        <v>7</v>
      </c>
      <c r="N521" t="s">
        <v>25</v>
      </c>
      <c r="O521" t="s">
        <v>796</v>
      </c>
      <c r="P521" t="s">
        <v>165</v>
      </c>
      <c r="Q521" t="s">
        <v>552</v>
      </c>
      <c r="R521">
        <v>2016</v>
      </c>
      <c r="S521" t="s">
        <v>803</v>
      </c>
      <c r="T521">
        <f>IF(IPL_Matches_2008_2020___New[[#This Row],[Toss Winner]]=IPL_Matches_2008_2020___New[[#This Row],[Winner]],1,0)</f>
        <v>1</v>
      </c>
      <c r="U521" t="s">
        <v>801</v>
      </c>
    </row>
    <row r="522" spans="1:21" x14ac:dyDescent="0.3">
      <c r="A522" t="s">
        <v>1322</v>
      </c>
      <c r="B522" t="s">
        <v>29</v>
      </c>
      <c r="C522">
        <f>YEAR(IPL_Matches_2008_2020___New[[#This Row],[Date ]])</f>
        <v>2016</v>
      </c>
      <c r="D522" s="1">
        <v>42479</v>
      </c>
      <c r="E522" t="s">
        <v>241</v>
      </c>
      <c r="F522" t="s">
        <v>32</v>
      </c>
      <c r="G522" t="s">
        <v>800</v>
      </c>
      <c r="H522" t="s">
        <v>22</v>
      </c>
      <c r="I522" t="s">
        <v>22</v>
      </c>
      <c r="J522" t="s">
        <v>23</v>
      </c>
      <c r="K522" t="s">
        <v>22</v>
      </c>
      <c r="L522" t="s">
        <v>43</v>
      </c>
      <c r="M522">
        <v>6</v>
      </c>
      <c r="N522" t="s">
        <v>25</v>
      </c>
      <c r="O522" t="s">
        <v>796</v>
      </c>
      <c r="P522" t="s">
        <v>183</v>
      </c>
      <c r="Q522" t="s">
        <v>387</v>
      </c>
      <c r="R522">
        <v>2016</v>
      </c>
      <c r="S522" t="s">
        <v>803</v>
      </c>
      <c r="T522">
        <f>IF(IPL_Matches_2008_2020___New[[#This Row],[Toss Winner]]=IPL_Matches_2008_2020___New[[#This Row],[Winner]],1,0)</f>
        <v>1</v>
      </c>
      <c r="U522" t="s">
        <v>801</v>
      </c>
    </row>
    <row r="523" spans="1:21" x14ac:dyDescent="0.3">
      <c r="A523" t="s">
        <v>1323</v>
      </c>
      <c r="B523" t="s">
        <v>46</v>
      </c>
      <c r="C523">
        <f>YEAR(IPL_Matches_2008_2020___New[[#This Row],[Date ]])</f>
        <v>2016</v>
      </c>
      <c r="D523" s="1">
        <v>42480</v>
      </c>
      <c r="E523" t="s">
        <v>190</v>
      </c>
      <c r="F523" t="s">
        <v>49</v>
      </c>
      <c r="G523" t="s">
        <v>50</v>
      </c>
      <c r="H523" t="s">
        <v>21</v>
      </c>
      <c r="I523" t="s">
        <v>50</v>
      </c>
      <c r="J523" t="s">
        <v>23</v>
      </c>
      <c r="K523" t="s">
        <v>50</v>
      </c>
      <c r="L523" t="s">
        <v>43</v>
      </c>
      <c r="M523">
        <v>6</v>
      </c>
      <c r="N523" t="s">
        <v>25</v>
      </c>
      <c r="O523" t="s">
        <v>796</v>
      </c>
      <c r="P523" t="s">
        <v>349</v>
      </c>
      <c r="Q523" t="s">
        <v>418</v>
      </c>
      <c r="R523">
        <v>2016</v>
      </c>
      <c r="S523" t="s">
        <v>803</v>
      </c>
      <c r="T523">
        <f>IF(IPL_Matches_2008_2020___New[[#This Row],[Toss Winner]]=IPL_Matches_2008_2020___New[[#This Row],[Winner]],1,0)</f>
        <v>1</v>
      </c>
      <c r="U523" t="s">
        <v>801</v>
      </c>
    </row>
    <row r="524" spans="1:21" x14ac:dyDescent="0.3">
      <c r="A524" t="s">
        <v>1324</v>
      </c>
      <c r="B524" t="s">
        <v>555</v>
      </c>
      <c r="C524">
        <f>YEAR(IPL_Matches_2008_2020___New[[#This Row],[Date ]])</f>
        <v>2016</v>
      </c>
      <c r="D524" s="1">
        <v>42481</v>
      </c>
      <c r="E524" t="s">
        <v>483</v>
      </c>
      <c r="F524" t="s">
        <v>557</v>
      </c>
      <c r="G524" t="s">
        <v>551</v>
      </c>
      <c r="H524" t="s">
        <v>406</v>
      </c>
      <c r="I524" t="s">
        <v>406</v>
      </c>
      <c r="J524" t="s">
        <v>23</v>
      </c>
      <c r="K524" t="s">
        <v>406</v>
      </c>
      <c r="L524" t="s">
        <v>43</v>
      </c>
      <c r="M524">
        <v>10</v>
      </c>
      <c r="N524" t="s">
        <v>25</v>
      </c>
      <c r="O524" t="s">
        <v>796</v>
      </c>
      <c r="P524" t="s">
        <v>567</v>
      </c>
      <c r="Q524" t="s">
        <v>165</v>
      </c>
      <c r="R524">
        <v>2016</v>
      </c>
      <c r="S524" t="s">
        <v>803</v>
      </c>
      <c r="T524">
        <f>IF(IPL_Matches_2008_2020___New[[#This Row],[Toss Winner]]=IPL_Matches_2008_2020___New[[#This Row],[Winner]],1,0)</f>
        <v>1</v>
      </c>
      <c r="U524" t="s">
        <v>801</v>
      </c>
    </row>
    <row r="525" spans="1:21" x14ac:dyDescent="0.3">
      <c r="A525" t="s">
        <v>1325</v>
      </c>
      <c r="B525" t="s">
        <v>355</v>
      </c>
      <c r="C525">
        <f>YEAR(IPL_Matches_2008_2020___New[[#This Row],[Date ]])</f>
        <v>2016</v>
      </c>
      <c r="D525" s="1">
        <v>42482</v>
      </c>
      <c r="E525" t="s">
        <v>157</v>
      </c>
      <c r="F525" t="s">
        <v>504</v>
      </c>
      <c r="G525" t="s">
        <v>606</v>
      </c>
      <c r="H525" t="s">
        <v>21</v>
      </c>
      <c r="I525" t="s">
        <v>606</v>
      </c>
      <c r="J525" t="s">
        <v>23</v>
      </c>
      <c r="K525" t="s">
        <v>21</v>
      </c>
      <c r="L525" t="s">
        <v>24</v>
      </c>
      <c r="M525">
        <v>13</v>
      </c>
      <c r="N525" t="s">
        <v>25</v>
      </c>
      <c r="O525" t="s">
        <v>796</v>
      </c>
      <c r="P525" t="s">
        <v>506</v>
      </c>
      <c r="Q525" t="s">
        <v>552</v>
      </c>
      <c r="R525">
        <v>2016</v>
      </c>
      <c r="S525" t="s">
        <v>797</v>
      </c>
      <c r="T525">
        <f>IF(IPL_Matches_2008_2020___New[[#This Row],[Toss Winner]]=IPL_Matches_2008_2020___New[[#This Row],[Winner]],1,0)</f>
        <v>0</v>
      </c>
      <c r="U525" t="s">
        <v>798</v>
      </c>
    </row>
    <row r="526" spans="1:21" x14ac:dyDescent="0.3">
      <c r="A526" t="s">
        <v>1326</v>
      </c>
      <c r="B526" t="s">
        <v>38</v>
      </c>
      <c r="C526">
        <f>YEAR(IPL_Matches_2008_2020___New[[#This Row],[Date ]])</f>
        <v>2016</v>
      </c>
      <c r="D526" s="1">
        <v>42483</v>
      </c>
      <c r="E526" t="s">
        <v>436</v>
      </c>
      <c r="F526" t="s">
        <v>40</v>
      </c>
      <c r="G526" t="s">
        <v>692</v>
      </c>
      <c r="H526" t="s">
        <v>50</v>
      </c>
      <c r="I526" t="s">
        <v>50</v>
      </c>
      <c r="J526" t="s">
        <v>23</v>
      </c>
      <c r="K526" t="s">
        <v>692</v>
      </c>
      <c r="L526" t="s">
        <v>24</v>
      </c>
      <c r="M526">
        <v>10</v>
      </c>
      <c r="N526" t="s">
        <v>25</v>
      </c>
      <c r="O526" t="s">
        <v>796</v>
      </c>
      <c r="P526" t="s">
        <v>183</v>
      </c>
      <c r="Q526" t="s">
        <v>387</v>
      </c>
      <c r="R526">
        <v>2016</v>
      </c>
      <c r="S526" t="s">
        <v>797</v>
      </c>
      <c r="T526">
        <f>IF(IPL_Matches_2008_2020___New[[#This Row],[Toss Winner]]=IPL_Matches_2008_2020___New[[#This Row],[Winner]],1,0)</f>
        <v>0</v>
      </c>
      <c r="U526" t="s">
        <v>798</v>
      </c>
    </row>
    <row r="527" spans="1:21" x14ac:dyDescent="0.3">
      <c r="A527" t="s">
        <v>1327</v>
      </c>
      <c r="B527" t="s">
        <v>64</v>
      </c>
      <c r="C527">
        <f>YEAR(IPL_Matches_2008_2020___New[[#This Row],[Date ]])</f>
        <v>2016</v>
      </c>
      <c r="D527" s="1">
        <v>42483</v>
      </c>
      <c r="E527" t="s">
        <v>570</v>
      </c>
      <c r="F527" t="s">
        <v>67</v>
      </c>
      <c r="G527" t="s">
        <v>406</v>
      </c>
      <c r="H527" t="s">
        <v>800</v>
      </c>
      <c r="I527" t="s">
        <v>406</v>
      </c>
      <c r="J527" t="s">
        <v>23</v>
      </c>
      <c r="K527" t="s">
        <v>406</v>
      </c>
      <c r="L527" t="s">
        <v>43</v>
      </c>
      <c r="M527">
        <v>5</v>
      </c>
      <c r="N527" t="s">
        <v>25</v>
      </c>
      <c r="O527" t="s">
        <v>796</v>
      </c>
      <c r="P527" t="s">
        <v>349</v>
      </c>
      <c r="Q527" t="s">
        <v>418</v>
      </c>
      <c r="R527">
        <v>2016</v>
      </c>
      <c r="S527" t="s">
        <v>803</v>
      </c>
      <c r="T527">
        <f>IF(IPL_Matches_2008_2020___New[[#This Row],[Toss Winner]]=IPL_Matches_2008_2020___New[[#This Row],[Winner]],1,0)</f>
        <v>1</v>
      </c>
      <c r="U527" t="s">
        <v>801</v>
      </c>
    </row>
    <row r="528" spans="1:21" x14ac:dyDescent="0.3">
      <c r="A528" t="s">
        <v>1328</v>
      </c>
      <c r="B528" t="s">
        <v>555</v>
      </c>
      <c r="C528">
        <f>YEAR(IPL_Matches_2008_2020___New[[#This Row],[Date ]])</f>
        <v>2016</v>
      </c>
      <c r="D528" s="1">
        <v>42484</v>
      </c>
      <c r="E528" t="s">
        <v>314</v>
      </c>
      <c r="F528" t="s">
        <v>557</v>
      </c>
      <c r="G528" t="s">
        <v>551</v>
      </c>
      <c r="H528" t="s">
        <v>21</v>
      </c>
      <c r="I528" t="s">
        <v>21</v>
      </c>
      <c r="J528" t="s">
        <v>35</v>
      </c>
      <c r="K528" t="s">
        <v>551</v>
      </c>
      <c r="L528" t="s">
        <v>43</v>
      </c>
      <c r="M528">
        <v>6</v>
      </c>
      <c r="N528" t="s">
        <v>25</v>
      </c>
      <c r="O528" t="s">
        <v>796</v>
      </c>
      <c r="P528" t="s">
        <v>567</v>
      </c>
      <c r="Q528" t="s">
        <v>359</v>
      </c>
      <c r="R528">
        <v>2016</v>
      </c>
      <c r="S528" t="s">
        <v>803</v>
      </c>
      <c r="T528">
        <f>IF(IPL_Matches_2008_2020___New[[#This Row],[Toss Winner]]=IPL_Matches_2008_2020___New[[#This Row],[Winner]],1,0)</f>
        <v>0</v>
      </c>
      <c r="U528" t="s">
        <v>798</v>
      </c>
    </row>
    <row r="529" spans="1:21" x14ac:dyDescent="0.3">
      <c r="A529" t="s">
        <v>1329</v>
      </c>
      <c r="B529" t="s">
        <v>355</v>
      </c>
      <c r="C529">
        <f>YEAR(IPL_Matches_2008_2020___New[[#This Row],[Date ]])</f>
        <v>2016</v>
      </c>
      <c r="D529" s="1">
        <v>42484</v>
      </c>
      <c r="E529" t="s">
        <v>572</v>
      </c>
      <c r="F529" t="s">
        <v>504</v>
      </c>
      <c r="G529" t="s">
        <v>606</v>
      </c>
      <c r="H529" t="s">
        <v>22</v>
      </c>
      <c r="I529" t="s">
        <v>22</v>
      </c>
      <c r="J529" t="s">
        <v>23</v>
      </c>
      <c r="K529" t="s">
        <v>22</v>
      </c>
      <c r="L529" t="s">
        <v>43</v>
      </c>
      <c r="M529">
        <v>2</v>
      </c>
      <c r="N529" t="s">
        <v>25</v>
      </c>
      <c r="O529" t="s">
        <v>796</v>
      </c>
      <c r="P529" t="s">
        <v>506</v>
      </c>
      <c r="Q529" t="s">
        <v>562</v>
      </c>
      <c r="R529">
        <v>2016</v>
      </c>
      <c r="S529" t="s">
        <v>803</v>
      </c>
      <c r="T529">
        <f>IF(IPL_Matches_2008_2020___New[[#This Row],[Toss Winner]]=IPL_Matches_2008_2020___New[[#This Row],[Winner]],1,0)</f>
        <v>1</v>
      </c>
      <c r="U529" t="s">
        <v>801</v>
      </c>
    </row>
    <row r="530" spans="1:21" x14ac:dyDescent="0.3">
      <c r="A530" t="s">
        <v>1330</v>
      </c>
      <c r="B530" t="s">
        <v>29</v>
      </c>
      <c r="C530">
        <f>YEAR(IPL_Matches_2008_2020___New[[#This Row],[Date ]])</f>
        <v>2016</v>
      </c>
      <c r="D530" s="1">
        <v>42485</v>
      </c>
      <c r="E530" t="s">
        <v>443</v>
      </c>
      <c r="F530" t="s">
        <v>32</v>
      </c>
      <c r="G530" t="s">
        <v>800</v>
      </c>
      <c r="H530" t="s">
        <v>50</v>
      </c>
      <c r="I530" t="s">
        <v>800</v>
      </c>
      <c r="J530" t="s">
        <v>23</v>
      </c>
      <c r="K530" t="s">
        <v>50</v>
      </c>
      <c r="L530" t="s">
        <v>24</v>
      </c>
      <c r="M530">
        <v>25</v>
      </c>
      <c r="N530" t="s">
        <v>25</v>
      </c>
      <c r="O530" t="s">
        <v>796</v>
      </c>
      <c r="P530" t="s">
        <v>554</v>
      </c>
      <c r="Q530" t="s">
        <v>305</v>
      </c>
      <c r="R530">
        <v>2016</v>
      </c>
      <c r="S530" t="s">
        <v>797</v>
      </c>
      <c r="T530">
        <f>IF(IPL_Matches_2008_2020___New[[#This Row],[Toss Winner]]=IPL_Matches_2008_2020___New[[#This Row],[Winner]],1,0)</f>
        <v>0</v>
      </c>
      <c r="U530" t="s">
        <v>798</v>
      </c>
    </row>
    <row r="531" spans="1:21" x14ac:dyDescent="0.3">
      <c r="A531" t="s">
        <v>1331</v>
      </c>
      <c r="B531" t="s">
        <v>64</v>
      </c>
      <c r="C531">
        <f>YEAR(IPL_Matches_2008_2020___New[[#This Row],[Date ]])</f>
        <v>2016</v>
      </c>
      <c r="D531" s="1">
        <v>42486</v>
      </c>
      <c r="E531" t="s">
        <v>575</v>
      </c>
      <c r="F531" t="s">
        <v>67</v>
      </c>
      <c r="G531" t="s">
        <v>406</v>
      </c>
      <c r="H531" t="s">
        <v>606</v>
      </c>
      <c r="I531" t="s">
        <v>606</v>
      </c>
      <c r="J531" t="s">
        <v>23</v>
      </c>
      <c r="K531" t="s">
        <v>606</v>
      </c>
      <c r="L531" t="s">
        <v>24</v>
      </c>
      <c r="M531">
        <v>34</v>
      </c>
      <c r="N531" t="s">
        <v>25</v>
      </c>
      <c r="O531" t="s">
        <v>115</v>
      </c>
      <c r="P531" t="s">
        <v>576</v>
      </c>
      <c r="Q531" t="s">
        <v>418</v>
      </c>
      <c r="R531">
        <v>2016</v>
      </c>
      <c r="S531" t="s">
        <v>797</v>
      </c>
      <c r="T531">
        <f>IF(IPL_Matches_2008_2020___New[[#This Row],[Toss Winner]]=IPL_Matches_2008_2020___New[[#This Row],[Winner]],1,0)</f>
        <v>1</v>
      </c>
      <c r="U531" t="s">
        <v>801</v>
      </c>
    </row>
    <row r="532" spans="1:21" x14ac:dyDescent="0.3">
      <c r="A532" t="s">
        <v>1332</v>
      </c>
      <c r="B532" t="s">
        <v>38</v>
      </c>
      <c r="C532">
        <f>YEAR(IPL_Matches_2008_2020___New[[#This Row],[Date ]])</f>
        <v>2016</v>
      </c>
      <c r="D532" s="1">
        <v>42487</v>
      </c>
      <c r="E532" t="s">
        <v>578</v>
      </c>
      <c r="F532" t="s">
        <v>40</v>
      </c>
      <c r="G532" t="s">
        <v>692</v>
      </c>
      <c r="H532" t="s">
        <v>551</v>
      </c>
      <c r="I532" t="s">
        <v>692</v>
      </c>
      <c r="J532" t="s">
        <v>23</v>
      </c>
      <c r="K532" t="s">
        <v>551</v>
      </c>
      <c r="L532" t="s">
        <v>24</v>
      </c>
      <c r="M532">
        <v>1</v>
      </c>
      <c r="N532" t="s">
        <v>25</v>
      </c>
      <c r="O532" t="s">
        <v>796</v>
      </c>
      <c r="P532" t="s">
        <v>155</v>
      </c>
      <c r="Q532" t="s">
        <v>183</v>
      </c>
      <c r="R532">
        <v>2016</v>
      </c>
      <c r="S532" t="s">
        <v>797</v>
      </c>
      <c r="T532">
        <f>IF(IPL_Matches_2008_2020___New[[#This Row],[Toss Winner]]=IPL_Matches_2008_2020___New[[#This Row],[Winner]],1,0)</f>
        <v>0</v>
      </c>
      <c r="U532" t="s">
        <v>798</v>
      </c>
    </row>
    <row r="533" spans="1:21" x14ac:dyDescent="0.3">
      <c r="A533" t="s">
        <v>1333</v>
      </c>
      <c r="B533" t="s">
        <v>46</v>
      </c>
      <c r="C533">
        <f>YEAR(IPL_Matches_2008_2020___New[[#This Row],[Date ]])</f>
        <v>2016</v>
      </c>
      <c r="D533" s="1">
        <v>42488</v>
      </c>
      <c r="E533" t="s">
        <v>190</v>
      </c>
      <c r="F533" t="s">
        <v>49</v>
      </c>
      <c r="G533" t="s">
        <v>50</v>
      </c>
      <c r="H533" t="s">
        <v>22</v>
      </c>
      <c r="I533" t="s">
        <v>50</v>
      </c>
      <c r="J533" t="s">
        <v>23</v>
      </c>
      <c r="K533" t="s">
        <v>50</v>
      </c>
      <c r="L533" t="s">
        <v>43</v>
      </c>
      <c r="M533">
        <v>6</v>
      </c>
      <c r="N533" t="s">
        <v>25</v>
      </c>
      <c r="O533" t="s">
        <v>796</v>
      </c>
      <c r="P533" t="s">
        <v>554</v>
      </c>
      <c r="Q533" t="s">
        <v>305</v>
      </c>
      <c r="R533">
        <v>2016</v>
      </c>
      <c r="S533" t="s">
        <v>803</v>
      </c>
      <c r="T533">
        <f>IF(IPL_Matches_2008_2020___New[[#This Row],[Toss Winner]]=IPL_Matches_2008_2020___New[[#This Row],[Winner]],1,0)</f>
        <v>1</v>
      </c>
      <c r="U533" t="s">
        <v>801</v>
      </c>
    </row>
    <row r="534" spans="1:21" x14ac:dyDescent="0.3">
      <c r="A534" t="s">
        <v>1334</v>
      </c>
      <c r="B534" t="s">
        <v>355</v>
      </c>
      <c r="C534">
        <f>YEAR(IPL_Matches_2008_2020___New[[#This Row],[Date ]])</f>
        <v>2016</v>
      </c>
      <c r="D534" s="1">
        <v>42489</v>
      </c>
      <c r="E534" t="s">
        <v>195</v>
      </c>
      <c r="F534" t="s">
        <v>504</v>
      </c>
      <c r="G534" t="s">
        <v>606</v>
      </c>
      <c r="H534" t="s">
        <v>551</v>
      </c>
      <c r="I534" t="s">
        <v>551</v>
      </c>
      <c r="J534" t="s">
        <v>23</v>
      </c>
      <c r="K534" t="s">
        <v>551</v>
      </c>
      <c r="L534" t="s">
        <v>43</v>
      </c>
      <c r="M534">
        <v>3</v>
      </c>
      <c r="N534" t="s">
        <v>25</v>
      </c>
      <c r="O534" t="s">
        <v>796</v>
      </c>
      <c r="P534" t="s">
        <v>506</v>
      </c>
      <c r="Q534" t="s">
        <v>359</v>
      </c>
      <c r="R534">
        <v>2016</v>
      </c>
      <c r="S534" t="s">
        <v>803</v>
      </c>
      <c r="T534">
        <f>IF(IPL_Matches_2008_2020___New[[#This Row],[Toss Winner]]=IPL_Matches_2008_2020___New[[#This Row],[Winner]],1,0)</f>
        <v>1</v>
      </c>
      <c r="U534" t="s">
        <v>801</v>
      </c>
    </row>
    <row r="535" spans="1:21" x14ac:dyDescent="0.3">
      <c r="A535" t="s">
        <v>1335</v>
      </c>
      <c r="B535" t="s">
        <v>38</v>
      </c>
      <c r="C535">
        <f>YEAR(IPL_Matches_2008_2020___New[[#This Row],[Date ]])</f>
        <v>2016</v>
      </c>
      <c r="D535" s="1">
        <v>42490</v>
      </c>
      <c r="E535" t="s">
        <v>582</v>
      </c>
      <c r="F535" t="s">
        <v>40</v>
      </c>
      <c r="G535" t="s">
        <v>692</v>
      </c>
      <c r="H535" t="s">
        <v>22</v>
      </c>
      <c r="I535" t="s">
        <v>22</v>
      </c>
      <c r="J535" t="s">
        <v>23</v>
      </c>
      <c r="K535" t="s">
        <v>692</v>
      </c>
      <c r="L535" t="s">
        <v>24</v>
      </c>
      <c r="M535">
        <v>27</v>
      </c>
      <c r="N535" t="s">
        <v>25</v>
      </c>
      <c r="O535" t="s">
        <v>796</v>
      </c>
      <c r="P535" t="s">
        <v>583</v>
      </c>
      <c r="Q535" t="s">
        <v>155</v>
      </c>
      <c r="R535">
        <v>2016</v>
      </c>
      <c r="S535" t="s">
        <v>797</v>
      </c>
      <c r="T535">
        <f>IF(IPL_Matches_2008_2020___New[[#This Row],[Toss Winner]]=IPL_Matches_2008_2020___New[[#This Row],[Winner]],1,0)</f>
        <v>0</v>
      </c>
      <c r="U535" t="s">
        <v>798</v>
      </c>
    </row>
    <row r="536" spans="1:21" x14ac:dyDescent="0.3">
      <c r="A536" t="s">
        <v>1336</v>
      </c>
      <c r="B536" t="s">
        <v>64</v>
      </c>
      <c r="C536">
        <f>YEAR(IPL_Matches_2008_2020___New[[#This Row],[Date ]])</f>
        <v>2016</v>
      </c>
      <c r="D536" s="1">
        <v>42490</v>
      </c>
      <c r="E536" t="s">
        <v>251</v>
      </c>
      <c r="F536" t="s">
        <v>67</v>
      </c>
      <c r="G536" t="s">
        <v>406</v>
      </c>
      <c r="H536" t="s">
        <v>21</v>
      </c>
      <c r="I536" t="s">
        <v>21</v>
      </c>
      <c r="J536" t="s">
        <v>23</v>
      </c>
      <c r="K536" t="s">
        <v>406</v>
      </c>
      <c r="L536" t="s">
        <v>24</v>
      </c>
      <c r="M536">
        <v>15</v>
      </c>
      <c r="N536" t="s">
        <v>25</v>
      </c>
      <c r="O536" t="s">
        <v>796</v>
      </c>
      <c r="P536" t="s">
        <v>349</v>
      </c>
      <c r="Q536" t="s">
        <v>165</v>
      </c>
      <c r="R536">
        <v>2016</v>
      </c>
      <c r="S536" t="s">
        <v>797</v>
      </c>
      <c r="T536">
        <f>IF(IPL_Matches_2008_2020___New[[#This Row],[Toss Winner]]=IPL_Matches_2008_2020___New[[#This Row],[Winner]],1,0)</f>
        <v>0</v>
      </c>
      <c r="U536" t="s">
        <v>798</v>
      </c>
    </row>
    <row r="537" spans="1:21" x14ac:dyDescent="0.3">
      <c r="A537" t="s">
        <v>1337</v>
      </c>
      <c r="B537" t="s">
        <v>555</v>
      </c>
      <c r="C537">
        <f>YEAR(IPL_Matches_2008_2020___New[[#This Row],[Date ]])</f>
        <v>2016</v>
      </c>
      <c r="D537" s="1">
        <v>42491</v>
      </c>
      <c r="E537" t="s">
        <v>493</v>
      </c>
      <c r="F537" t="s">
        <v>557</v>
      </c>
      <c r="G537" t="s">
        <v>551</v>
      </c>
      <c r="H537" t="s">
        <v>800</v>
      </c>
      <c r="I537" t="s">
        <v>551</v>
      </c>
      <c r="J537" t="s">
        <v>23</v>
      </c>
      <c r="K537" t="s">
        <v>800</v>
      </c>
      <c r="L537" t="s">
        <v>24</v>
      </c>
      <c r="M537">
        <v>23</v>
      </c>
      <c r="N537" t="s">
        <v>25</v>
      </c>
      <c r="O537" t="s">
        <v>796</v>
      </c>
      <c r="P537" t="s">
        <v>359</v>
      </c>
      <c r="Q537" t="s">
        <v>552</v>
      </c>
      <c r="R537">
        <v>2016</v>
      </c>
      <c r="S537" t="s">
        <v>797</v>
      </c>
      <c r="T537">
        <f>IF(IPL_Matches_2008_2020___New[[#This Row],[Toss Winner]]=IPL_Matches_2008_2020___New[[#This Row],[Winner]],1,0)</f>
        <v>0</v>
      </c>
      <c r="U537" t="s">
        <v>798</v>
      </c>
    </row>
    <row r="538" spans="1:21" x14ac:dyDescent="0.3">
      <c r="A538" t="s">
        <v>1338</v>
      </c>
      <c r="B538" t="s">
        <v>355</v>
      </c>
      <c r="C538">
        <f>YEAR(IPL_Matches_2008_2020___New[[#This Row],[Date ]])</f>
        <v>2016</v>
      </c>
      <c r="D538" s="1">
        <v>42491</v>
      </c>
      <c r="E538" t="s">
        <v>190</v>
      </c>
      <c r="F538" t="s">
        <v>504</v>
      </c>
      <c r="G538" t="s">
        <v>606</v>
      </c>
      <c r="H538" t="s">
        <v>50</v>
      </c>
      <c r="I538" t="s">
        <v>50</v>
      </c>
      <c r="J538" t="s">
        <v>23</v>
      </c>
      <c r="K538" t="s">
        <v>50</v>
      </c>
      <c r="L538" t="s">
        <v>43</v>
      </c>
      <c r="M538">
        <v>8</v>
      </c>
      <c r="N538" t="s">
        <v>25</v>
      </c>
      <c r="O538" t="s">
        <v>796</v>
      </c>
      <c r="P538" t="s">
        <v>576</v>
      </c>
      <c r="Q538" t="s">
        <v>305</v>
      </c>
      <c r="R538">
        <v>2016</v>
      </c>
      <c r="S538" t="s">
        <v>803</v>
      </c>
      <c r="T538">
        <f>IF(IPL_Matches_2008_2020___New[[#This Row],[Toss Winner]]=IPL_Matches_2008_2020___New[[#This Row],[Winner]],1,0)</f>
        <v>1</v>
      </c>
      <c r="U538" t="s">
        <v>801</v>
      </c>
    </row>
    <row r="539" spans="1:21" x14ac:dyDescent="0.3">
      <c r="A539" t="s">
        <v>1339</v>
      </c>
      <c r="B539" t="s">
        <v>17</v>
      </c>
      <c r="C539">
        <f>YEAR(IPL_Matches_2008_2020___New[[#This Row],[Date ]])</f>
        <v>2016</v>
      </c>
      <c r="D539" s="1">
        <v>42492</v>
      </c>
      <c r="E539" t="s">
        <v>513</v>
      </c>
      <c r="F539" t="s">
        <v>795</v>
      </c>
      <c r="G539" t="s">
        <v>21</v>
      </c>
      <c r="H539" t="s">
        <v>22</v>
      </c>
      <c r="I539" t="s">
        <v>22</v>
      </c>
      <c r="J539" t="s">
        <v>23</v>
      </c>
      <c r="K539" t="s">
        <v>22</v>
      </c>
      <c r="L539" t="s">
        <v>43</v>
      </c>
      <c r="M539">
        <v>5</v>
      </c>
      <c r="N539" t="s">
        <v>25</v>
      </c>
      <c r="O539" t="s">
        <v>796</v>
      </c>
      <c r="P539" t="s">
        <v>155</v>
      </c>
      <c r="Q539" t="s">
        <v>183</v>
      </c>
      <c r="R539">
        <v>2016</v>
      </c>
      <c r="S539" t="s">
        <v>803</v>
      </c>
      <c r="T539">
        <f>IF(IPL_Matches_2008_2020___New[[#This Row],[Toss Winner]]=IPL_Matches_2008_2020___New[[#This Row],[Winner]],1,0)</f>
        <v>1</v>
      </c>
      <c r="U539" t="s">
        <v>801</v>
      </c>
    </row>
    <row r="540" spans="1:21" x14ac:dyDescent="0.3">
      <c r="A540" t="s">
        <v>1340</v>
      </c>
      <c r="B540" t="s">
        <v>555</v>
      </c>
      <c r="C540">
        <f>YEAR(IPL_Matches_2008_2020___New[[#This Row],[Date ]])</f>
        <v>2016</v>
      </c>
      <c r="D540" s="1">
        <v>42493</v>
      </c>
      <c r="E540" t="s">
        <v>584</v>
      </c>
      <c r="F540" t="s">
        <v>557</v>
      </c>
      <c r="G540" t="s">
        <v>551</v>
      </c>
      <c r="H540" t="s">
        <v>692</v>
      </c>
      <c r="I540" t="s">
        <v>692</v>
      </c>
      <c r="J540" t="s">
        <v>23</v>
      </c>
      <c r="K540" t="s">
        <v>692</v>
      </c>
      <c r="L540" t="s">
        <v>43</v>
      </c>
      <c r="M540">
        <v>8</v>
      </c>
      <c r="N540" t="s">
        <v>25</v>
      </c>
      <c r="O540" t="s">
        <v>796</v>
      </c>
      <c r="P540" t="s">
        <v>506</v>
      </c>
      <c r="Q540" t="s">
        <v>359</v>
      </c>
      <c r="R540">
        <v>2016</v>
      </c>
      <c r="S540" t="s">
        <v>803</v>
      </c>
      <c r="T540">
        <f>IF(IPL_Matches_2008_2020___New[[#This Row],[Toss Winner]]=IPL_Matches_2008_2020___New[[#This Row],[Winner]],1,0)</f>
        <v>1</v>
      </c>
      <c r="U540" t="s">
        <v>801</v>
      </c>
    </row>
    <row r="541" spans="1:21" x14ac:dyDescent="0.3">
      <c r="A541" t="s">
        <v>1341</v>
      </c>
      <c r="B541" t="s">
        <v>53</v>
      </c>
      <c r="C541">
        <f>YEAR(IPL_Matches_2008_2020___New[[#This Row],[Date ]])</f>
        <v>2016</v>
      </c>
      <c r="D541" s="1">
        <v>42494</v>
      </c>
      <c r="E541" t="s">
        <v>513</v>
      </c>
      <c r="F541" t="s">
        <v>55</v>
      </c>
      <c r="G541" t="s">
        <v>22</v>
      </c>
      <c r="H541" t="s">
        <v>800</v>
      </c>
      <c r="I541" t="s">
        <v>800</v>
      </c>
      <c r="J541" t="s">
        <v>23</v>
      </c>
      <c r="K541" t="s">
        <v>22</v>
      </c>
      <c r="L541" t="s">
        <v>24</v>
      </c>
      <c r="M541">
        <v>7</v>
      </c>
      <c r="N541" t="s">
        <v>25</v>
      </c>
      <c r="O541" t="s">
        <v>796</v>
      </c>
      <c r="P541" t="s">
        <v>349</v>
      </c>
      <c r="Q541" t="s">
        <v>165</v>
      </c>
      <c r="R541">
        <v>2016</v>
      </c>
      <c r="S541" t="s">
        <v>797</v>
      </c>
      <c r="T541">
        <f>IF(IPL_Matches_2008_2020___New[[#This Row],[Toss Winner]]=IPL_Matches_2008_2020___New[[#This Row],[Winner]],1,0)</f>
        <v>0</v>
      </c>
      <c r="U541" t="s">
        <v>798</v>
      </c>
    </row>
    <row r="542" spans="1:21" x14ac:dyDescent="0.3">
      <c r="A542" t="s">
        <v>1342</v>
      </c>
      <c r="B542" t="s">
        <v>38</v>
      </c>
      <c r="C542">
        <f>YEAR(IPL_Matches_2008_2020___New[[#This Row],[Date ]])</f>
        <v>2016</v>
      </c>
      <c r="D542" s="1">
        <v>42495</v>
      </c>
      <c r="E542" t="s">
        <v>350</v>
      </c>
      <c r="F542" t="s">
        <v>40</v>
      </c>
      <c r="G542" t="s">
        <v>692</v>
      </c>
      <c r="H542" t="s">
        <v>606</v>
      </c>
      <c r="I542" t="s">
        <v>606</v>
      </c>
      <c r="J542" t="s">
        <v>23</v>
      </c>
      <c r="K542" t="s">
        <v>606</v>
      </c>
      <c r="L542" t="s">
        <v>43</v>
      </c>
      <c r="M542">
        <v>7</v>
      </c>
      <c r="N542" t="s">
        <v>25</v>
      </c>
      <c r="O542" t="s">
        <v>796</v>
      </c>
      <c r="P542" t="s">
        <v>387</v>
      </c>
      <c r="Q542" t="s">
        <v>305</v>
      </c>
      <c r="R542">
        <v>2016</v>
      </c>
      <c r="S542" t="s">
        <v>803</v>
      </c>
      <c r="T542">
        <f>IF(IPL_Matches_2008_2020___New[[#This Row],[Toss Winner]]=IPL_Matches_2008_2020___New[[#This Row],[Winner]],1,0)</f>
        <v>1</v>
      </c>
      <c r="U542" t="s">
        <v>801</v>
      </c>
    </row>
    <row r="543" spans="1:21" x14ac:dyDescent="0.3">
      <c r="A543" t="s">
        <v>1343</v>
      </c>
      <c r="B543" t="s">
        <v>64</v>
      </c>
      <c r="C543">
        <f>YEAR(IPL_Matches_2008_2020___New[[#This Row],[Date ]])</f>
        <v>2016</v>
      </c>
      <c r="D543" s="1">
        <v>42496</v>
      </c>
      <c r="E543" t="s">
        <v>483</v>
      </c>
      <c r="F543" t="s">
        <v>67</v>
      </c>
      <c r="G543" t="s">
        <v>406</v>
      </c>
      <c r="H543" t="s">
        <v>551</v>
      </c>
      <c r="I543" t="s">
        <v>406</v>
      </c>
      <c r="J543" t="s">
        <v>23</v>
      </c>
      <c r="K543" t="s">
        <v>406</v>
      </c>
      <c r="L543" t="s">
        <v>43</v>
      </c>
      <c r="M543">
        <v>5</v>
      </c>
      <c r="N543" t="s">
        <v>25</v>
      </c>
      <c r="O543" t="s">
        <v>796</v>
      </c>
      <c r="P543" t="s">
        <v>155</v>
      </c>
      <c r="Q543" t="s">
        <v>183</v>
      </c>
      <c r="R543">
        <v>2016</v>
      </c>
      <c r="S543" t="s">
        <v>803</v>
      </c>
      <c r="T543">
        <f>IF(IPL_Matches_2008_2020___New[[#This Row],[Toss Winner]]=IPL_Matches_2008_2020___New[[#This Row],[Winner]],1,0)</f>
        <v>1</v>
      </c>
      <c r="U543" t="s">
        <v>801</v>
      </c>
    </row>
    <row r="544" spans="1:21" x14ac:dyDescent="0.3">
      <c r="A544" t="s">
        <v>1344</v>
      </c>
      <c r="B544" t="s">
        <v>17</v>
      </c>
      <c r="C544">
        <f>YEAR(IPL_Matches_2008_2020___New[[#This Row],[Date ]])</f>
        <v>2016</v>
      </c>
      <c r="D544" s="1">
        <v>42497</v>
      </c>
      <c r="E544" t="s">
        <v>314</v>
      </c>
      <c r="F544" t="s">
        <v>795</v>
      </c>
      <c r="G544" t="s">
        <v>21</v>
      </c>
      <c r="H544" t="s">
        <v>606</v>
      </c>
      <c r="I544" t="s">
        <v>21</v>
      </c>
      <c r="J544" t="s">
        <v>23</v>
      </c>
      <c r="K544" t="s">
        <v>21</v>
      </c>
      <c r="L544" t="s">
        <v>43</v>
      </c>
      <c r="M544">
        <v>7</v>
      </c>
      <c r="N544" t="s">
        <v>25</v>
      </c>
      <c r="O544" t="s">
        <v>796</v>
      </c>
      <c r="P544" t="s">
        <v>506</v>
      </c>
      <c r="Q544" t="s">
        <v>359</v>
      </c>
      <c r="R544">
        <v>2016</v>
      </c>
      <c r="S544" t="s">
        <v>803</v>
      </c>
      <c r="T544">
        <f>IF(IPL_Matches_2008_2020___New[[#This Row],[Toss Winner]]=IPL_Matches_2008_2020___New[[#This Row],[Winner]],1,0)</f>
        <v>1</v>
      </c>
      <c r="U544" t="s">
        <v>801</v>
      </c>
    </row>
    <row r="545" spans="1:21" x14ac:dyDescent="0.3">
      <c r="A545" t="s">
        <v>1345</v>
      </c>
      <c r="B545" t="s">
        <v>29</v>
      </c>
      <c r="C545">
        <f>YEAR(IPL_Matches_2008_2020___New[[#This Row],[Date ]])</f>
        <v>2016</v>
      </c>
      <c r="D545" s="1">
        <v>42497</v>
      </c>
      <c r="E545" t="s">
        <v>585</v>
      </c>
      <c r="F545" t="s">
        <v>32</v>
      </c>
      <c r="G545" t="s">
        <v>800</v>
      </c>
      <c r="H545" t="s">
        <v>692</v>
      </c>
      <c r="I545" t="s">
        <v>692</v>
      </c>
      <c r="J545" t="s">
        <v>23</v>
      </c>
      <c r="K545" t="s">
        <v>800</v>
      </c>
      <c r="L545" t="s">
        <v>24</v>
      </c>
      <c r="M545">
        <v>9</v>
      </c>
      <c r="N545" t="s">
        <v>25</v>
      </c>
      <c r="O545" t="s">
        <v>796</v>
      </c>
      <c r="P545" t="s">
        <v>165</v>
      </c>
      <c r="Q545" t="s">
        <v>418</v>
      </c>
      <c r="R545">
        <v>2016</v>
      </c>
      <c r="S545" t="s">
        <v>797</v>
      </c>
      <c r="T545">
        <f>IF(IPL_Matches_2008_2020___New[[#This Row],[Toss Winner]]=IPL_Matches_2008_2020___New[[#This Row],[Winner]],1,0)</f>
        <v>0</v>
      </c>
      <c r="U545" t="s">
        <v>798</v>
      </c>
    </row>
    <row r="546" spans="1:21" x14ac:dyDescent="0.3">
      <c r="A546" t="s">
        <v>1346</v>
      </c>
      <c r="B546" t="s">
        <v>351</v>
      </c>
      <c r="C546">
        <f>YEAR(IPL_Matches_2008_2020___New[[#This Row],[Date ]])</f>
        <v>2016</v>
      </c>
      <c r="D546" s="1">
        <v>42498</v>
      </c>
      <c r="E546" t="s">
        <v>101</v>
      </c>
      <c r="F546" t="s">
        <v>353</v>
      </c>
      <c r="G546" t="s">
        <v>50</v>
      </c>
      <c r="H546" t="s">
        <v>406</v>
      </c>
      <c r="I546" t="s">
        <v>50</v>
      </c>
      <c r="J546" t="s">
        <v>23</v>
      </c>
      <c r="K546" t="s">
        <v>406</v>
      </c>
      <c r="L546" t="s">
        <v>24</v>
      </c>
      <c r="M546">
        <v>85</v>
      </c>
      <c r="N546" t="s">
        <v>25</v>
      </c>
      <c r="O546" t="s">
        <v>796</v>
      </c>
      <c r="P546" t="s">
        <v>183</v>
      </c>
      <c r="Q546" t="s">
        <v>387</v>
      </c>
      <c r="R546">
        <v>2016</v>
      </c>
      <c r="S546" t="s">
        <v>797</v>
      </c>
      <c r="T546">
        <f>IF(IPL_Matches_2008_2020___New[[#This Row],[Toss Winner]]=IPL_Matches_2008_2020___New[[#This Row],[Winner]],1,0)</f>
        <v>0</v>
      </c>
      <c r="U546" t="s">
        <v>798</v>
      </c>
    </row>
    <row r="547" spans="1:21" x14ac:dyDescent="0.3">
      <c r="A547" t="s">
        <v>1347</v>
      </c>
      <c r="B547" t="s">
        <v>53</v>
      </c>
      <c r="C547">
        <f>YEAR(IPL_Matches_2008_2020___New[[#This Row],[Date ]])</f>
        <v>2016</v>
      </c>
      <c r="D547" s="1">
        <v>42498</v>
      </c>
      <c r="E547" t="s">
        <v>129</v>
      </c>
      <c r="F547" t="s">
        <v>55</v>
      </c>
      <c r="G547" t="s">
        <v>22</v>
      </c>
      <c r="H547" t="s">
        <v>551</v>
      </c>
      <c r="I547" t="s">
        <v>551</v>
      </c>
      <c r="J547" t="s">
        <v>23</v>
      </c>
      <c r="K547" t="s">
        <v>551</v>
      </c>
      <c r="L547" t="s">
        <v>43</v>
      </c>
      <c r="M547">
        <v>5</v>
      </c>
      <c r="N547" t="s">
        <v>25</v>
      </c>
      <c r="O547" t="s">
        <v>796</v>
      </c>
      <c r="P547" t="s">
        <v>155</v>
      </c>
      <c r="Q547" t="s">
        <v>305</v>
      </c>
      <c r="R547">
        <v>2016</v>
      </c>
      <c r="S547" t="s">
        <v>803</v>
      </c>
      <c r="T547">
        <f>IF(IPL_Matches_2008_2020___New[[#This Row],[Toss Winner]]=IPL_Matches_2008_2020___New[[#This Row],[Winner]],1,0)</f>
        <v>1</v>
      </c>
      <c r="U547" t="s">
        <v>801</v>
      </c>
    </row>
    <row r="548" spans="1:21" x14ac:dyDescent="0.3">
      <c r="A548" t="s">
        <v>1348</v>
      </c>
      <c r="B548" t="s">
        <v>29</v>
      </c>
      <c r="C548">
        <f>YEAR(IPL_Matches_2008_2020___New[[#This Row],[Date ]])</f>
        <v>2016</v>
      </c>
      <c r="D548" s="1">
        <v>42499</v>
      </c>
      <c r="E548" t="s">
        <v>61</v>
      </c>
      <c r="F548" t="s">
        <v>32</v>
      </c>
      <c r="G548" t="s">
        <v>800</v>
      </c>
      <c r="H548" t="s">
        <v>21</v>
      </c>
      <c r="I548" t="s">
        <v>800</v>
      </c>
      <c r="J548" t="s">
        <v>23</v>
      </c>
      <c r="K548" t="s">
        <v>21</v>
      </c>
      <c r="L548" t="s">
        <v>24</v>
      </c>
      <c r="M548">
        <v>1</v>
      </c>
      <c r="N548" t="s">
        <v>25</v>
      </c>
      <c r="O548" t="s">
        <v>796</v>
      </c>
      <c r="P548" t="s">
        <v>349</v>
      </c>
      <c r="Q548" t="s">
        <v>165</v>
      </c>
      <c r="R548">
        <v>2016</v>
      </c>
      <c r="S548" t="s">
        <v>797</v>
      </c>
      <c r="T548">
        <f>IF(IPL_Matches_2008_2020___New[[#This Row],[Toss Winner]]=IPL_Matches_2008_2020___New[[#This Row],[Winner]],1,0)</f>
        <v>0</v>
      </c>
      <c r="U548" t="s">
        <v>798</v>
      </c>
    </row>
    <row r="549" spans="1:21" x14ac:dyDescent="0.3">
      <c r="A549" t="s">
        <v>1349</v>
      </c>
      <c r="B549" t="s">
        <v>351</v>
      </c>
      <c r="C549">
        <f>YEAR(IPL_Matches_2008_2020___New[[#This Row],[Date ]])</f>
        <v>2016</v>
      </c>
      <c r="D549" s="1">
        <v>42500</v>
      </c>
      <c r="E549" t="s">
        <v>586</v>
      </c>
      <c r="F549" t="s">
        <v>353</v>
      </c>
      <c r="G549" t="s">
        <v>606</v>
      </c>
      <c r="H549" t="s">
        <v>406</v>
      </c>
      <c r="I549" t="s">
        <v>406</v>
      </c>
      <c r="J549" t="s">
        <v>35</v>
      </c>
      <c r="K549" t="s">
        <v>406</v>
      </c>
      <c r="L549" t="s">
        <v>24</v>
      </c>
      <c r="M549">
        <v>4</v>
      </c>
      <c r="N549" t="s">
        <v>25</v>
      </c>
      <c r="O549" t="s">
        <v>796</v>
      </c>
      <c r="P549" t="s">
        <v>506</v>
      </c>
      <c r="Q549" t="s">
        <v>552</v>
      </c>
      <c r="R549">
        <v>2016</v>
      </c>
      <c r="S549" t="s">
        <v>797</v>
      </c>
      <c r="T549">
        <f>IF(IPL_Matches_2008_2020___New[[#This Row],[Toss Winner]]=IPL_Matches_2008_2020___New[[#This Row],[Winner]],1,0)</f>
        <v>1</v>
      </c>
      <c r="U549" t="s">
        <v>801</v>
      </c>
    </row>
    <row r="550" spans="1:21" x14ac:dyDescent="0.3">
      <c r="A550" t="s">
        <v>1350</v>
      </c>
      <c r="B550" t="s">
        <v>17</v>
      </c>
      <c r="C550">
        <f>YEAR(IPL_Matches_2008_2020___New[[#This Row],[Date ]])</f>
        <v>2016</v>
      </c>
      <c r="D550" s="1">
        <v>42501</v>
      </c>
      <c r="E550" t="s">
        <v>587</v>
      </c>
      <c r="F550" t="s">
        <v>795</v>
      </c>
      <c r="G550" t="s">
        <v>21</v>
      </c>
      <c r="H550" t="s">
        <v>50</v>
      </c>
      <c r="I550" t="s">
        <v>50</v>
      </c>
      <c r="J550" t="s">
        <v>23</v>
      </c>
      <c r="K550" t="s">
        <v>50</v>
      </c>
      <c r="L550" t="s">
        <v>43</v>
      </c>
      <c r="M550">
        <v>6</v>
      </c>
      <c r="N550" t="s">
        <v>25</v>
      </c>
      <c r="O550" t="s">
        <v>796</v>
      </c>
      <c r="P550" t="s">
        <v>576</v>
      </c>
      <c r="Q550" t="s">
        <v>387</v>
      </c>
      <c r="R550">
        <v>2016</v>
      </c>
      <c r="S550" t="s">
        <v>803</v>
      </c>
      <c r="T550">
        <f>IF(IPL_Matches_2008_2020___New[[#This Row],[Toss Winner]]=IPL_Matches_2008_2020___New[[#This Row],[Winner]],1,0)</f>
        <v>1</v>
      </c>
      <c r="U550" t="s">
        <v>801</v>
      </c>
    </row>
    <row r="551" spans="1:21" x14ac:dyDescent="0.3">
      <c r="A551" t="s">
        <v>1351</v>
      </c>
      <c r="B551" t="s">
        <v>64</v>
      </c>
      <c r="C551">
        <f>YEAR(IPL_Matches_2008_2020___New[[#This Row],[Date ]])</f>
        <v>2016</v>
      </c>
      <c r="D551" s="1">
        <v>42502</v>
      </c>
      <c r="E551" t="s">
        <v>578</v>
      </c>
      <c r="F551" t="s">
        <v>67</v>
      </c>
      <c r="G551" t="s">
        <v>406</v>
      </c>
      <c r="H551" t="s">
        <v>692</v>
      </c>
      <c r="I551" t="s">
        <v>692</v>
      </c>
      <c r="J551" t="s">
        <v>23</v>
      </c>
      <c r="K551" t="s">
        <v>692</v>
      </c>
      <c r="L551" t="s">
        <v>43</v>
      </c>
      <c r="M551">
        <v>7</v>
      </c>
      <c r="N551" t="s">
        <v>25</v>
      </c>
      <c r="O551" t="s">
        <v>796</v>
      </c>
      <c r="P551" t="s">
        <v>567</v>
      </c>
      <c r="Q551" t="s">
        <v>155</v>
      </c>
      <c r="R551">
        <v>2016</v>
      </c>
      <c r="S551" t="s">
        <v>803</v>
      </c>
      <c r="T551">
        <f>IF(IPL_Matches_2008_2020___New[[#This Row],[Toss Winner]]=IPL_Matches_2008_2020___New[[#This Row],[Winner]],1,0)</f>
        <v>1</v>
      </c>
      <c r="U551" t="s">
        <v>801</v>
      </c>
    </row>
    <row r="552" spans="1:21" x14ac:dyDescent="0.3">
      <c r="A552" t="s">
        <v>1352</v>
      </c>
      <c r="B552" t="s">
        <v>351</v>
      </c>
      <c r="C552">
        <f>YEAR(IPL_Matches_2008_2020___New[[#This Row],[Date ]])</f>
        <v>2016</v>
      </c>
      <c r="D552" s="1">
        <v>42503</v>
      </c>
      <c r="E552" t="s">
        <v>585</v>
      </c>
      <c r="F552" t="s">
        <v>353</v>
      </c>
      <c r="G552" t="s">
        <v>50</v>
      </c>
      <c r="H552" t="s">
        <v>800</v>
      </c>
      <c r="I552" t="s">
        <v>50</v>
      </c>
      <c r="J552" t="s">
        <v>35</v>
      </c>
      <c r="K552" t="s">
        <v>800</v>
      </c>
      <c r="L552" t="s">
        <v>43</v>
      </c>
      <c r="M552">
        <v>7</v>
      </c>
      <c r="N552" t="s">
        <v>25</v>
      </c>
      <c r="O552" t="s">
        <v>796</v>
      </c>
      <c r="P552" t="s">
        <v>165</v>
      </c>
      <c r="Q552" t="s">
        <v>418</v>
      </c>
      <c r="R552">
        <v>2016</v>
      </c>
      <c r="S552" t="s">
        <v>803</v>
      </c>
      <c r="T552">
        <f>IF(IPL_Matches_2008_2020___New[[#This Row],[Toss Winner]]=IPL_Matches_2008_2020___New[[#This Row],[Winner]],1,0)</f>
        <v>0</v>
      </c>
      <c r="U552" t="s">
        <v>798</v>
      </c>
    </row>
    <row r="553" spans="1:21" x14ac:dyDescent="0.3">
      <c r="A553" t="s">
        <v>1353</v>
      </c>
      <c r="B553" t="s">
        <v>17</v>
      </c>
      <c r="C553">
        <f>YEAR(IPL_Matches_2008_2020___New[[#This Row],[Date ]])</f>
        <v>2016</v>
      </c>
      <c r="D553" s="1">
        <v>42504</v>
      </c>
      <c r="E553" t="s">
        <v>157</v>
      </c>
      <c r="F553" t="s">
        <v>795</v>
      </c>
      <c r="G553" t="s">
        <v>21</v>
      </c>
      <c r="H553" t="s">
        <v>551</v>
      </c>
      <c r="I553" t="s">
        <v>551</v>
      </c>
      <c r="J553" t="s">
        <v>23</v>
      </c>
      <c r="K553" t="s">
        <v>21</v>
      </c>
      <c r="L553" t="s">
        <v>24</v>
      </c>
      <c r="M553">
        <v>144</v>
      </c>
      <c r="N553" t="s">
        <v>25</v>
      </c>
      <c r="O553" t="s">
        <v>796</v>
      </c>
      <c r="P553" t="s">
        <v>576</v>
      </c>
      <c r="Q553" t="s">
        <v>552</v>
      </c>
      <c r="R553">
        <v>2016</v>
      </c>
      <c r="S553" t="s">
        <v>797</v>
      </c>
      <c r="T553">
        <f>IF(IPL_Matches_2008_2020___New[[#This Row],[Toss Winner]]=IPL_Matches_2008_2020___New[[#This Row],[Winner]],1,0)</f>
        <v>0</v>
      </c>
      <c r="U553" t="s">
        <v>798</v>
      </c>
    </row>
    <row r="554" spans="1:21" x14ac:dyDescent="0.3">
      <c r="A554" t="s">
        <v>1354</v>
      </c>
      <c r="B554" t="s">
        <v>53</v>
      </c>
      <c r="C554">
        <f>YEAR(IPL_Matches_2008_2020___New[[#This Row],[Date ]])</f>
        <v>2016</v>
      </c>
      <c r="D554" s="1">
        <v>42504</v>
      </c>
      <c r="E554" t="s">
        <v>75</v>
      </c>
      <c r="F554" t="s">
        <v>55</v>
      </c>
      <c r="G554" t="s">
        <v>22</v>
      </c>
      <c r="H554" t="s">
        <v>606</v>
      </c>
      <c r="I554" t="s">
        <v>606</v>
      </c>
      <c r="J554" t="s">
        <v>35</v>
      </c>
      <c r="K554" t="s">
        <v>22</v>
      </c>
      <c r="L554" t="s">
        <v>43</v>
      </c>
      <c r="M554">
        <v>8</v>
      </c>
      <c r="N554" t="s">
        <v>25</v>
      </c>
      <c r="O554" t="s">
        <v>115</v>
      </c>
      <c r="P554" t="s">
        <v>562</v>
      </c>
      <c r="Q554" t="s">
        <v>359</v>
      </c>
      <c r="R554">
        <v>2016</v>
      </c>
      <c r="S554" t="s">
        <v>803</v>
      </c>
      <c r="T554">
        <f>IF(IPL_Matches_2008_2020___New[[#This Row],[Toss Winner]]=IPL_Matches_2008_2020___New[[#This Row],[Winner]],1,0)</f>
        <v>0</v>
      </c>
      <c r="U554" t="s">
        <v>798</v>
      </c>
    </row>
    <row r="555" spans="1:21" x14ac:dyDescent="0.3">
      <c r="A555" t="s">
        <v>1355</v>
      </c>
      <c r="B555" t="s">
        <v>29</v>
      </c>
      <c r="C555">
        <f>YEAR(IPL_Matches_2008_2020___New[[#This Row],[Date ]])</f>
        <v>2016</v>
      </c>
      <c r="D555" s="1">
        <v>42505</v>
      </c>
      <c r="E555" t="s">
        <v>591</v>
      </c>
      <c r="F555" t="s">
        <v>32</v>
      </c>
      <c r="G555" t="s">
        <v>800</v>
      </c>
      <c r="H555" t="s">
        <v>406</v>
      </c>
      <c r="I555" t="s">
        <v>800</v>
      </c>
      <c r="J555" t="s">
        <v>35</v>
      </c>
      <c r="K555" t="s">
        <v>406</v>
      </c>
      <c r="L555" t="s">
        <v>43</v>
      </c>
      <c r="M555">
        <v>7</v>
      </c>
      <c r="N555" t="s">
        <v>25</v>
      </c>
      <c r="O555" t="s">
        <v>796</v>
      </c>
      <c r="P555" t="s">
        <v>583</v>
      </c>
      <c r="Q555" t="s">
        <v>155</v>
      </c>
      <c r="R555">
        <v>2016</v>
      </c>
      <c r="S555" t="s">
        <v>803</v>
      </c>
      <c r="T555">
        <f>IF(IPL_Matches_2008_2020___New[[#This Row],[Toss Winner]]=IPL_Matches_2008_2020___New[[#This Row],[Winner]],1,0)</f>
        <v>0</v>
      </c>
      <c r="U555" t="s">
        <v>798</v>
      </c>
    </row>
    <row r="556" spans="1:21" x14ac:dyDescent="0.3">
      <c r="A556" t="s">
        <v>1356</v>
      </c>
      <c r="B556" t="s">
        <v>351</v>
      </c>
      <c r="C556">
        <f>YEAR(IPL_Matches_2008_2020___New[[#This Row],[Date ]])</f>
        <v>2016</v>
      </c>
      <c r="D556" s="1">
        <v>42505</v>
      </c>
      <c r="E556" t="s">
        <v>587</v>
      </c>
      <c r="F556" t="s">
        <v>353</v>
      </c>
      <c r="G556" t="s">
        <v>50</v>
      </c>
      <c r="H556" t="s">
        <v>692</v>
      </c>
      <c r="I556" t="s">
        <v>692</v>
      </c>
      <c r="J556" t="s">
        <v>23</v>
      </c>
      <c r="K556" t="s">
        <v>50</v>
      </c>
      <c r="L556" t="s">
        <v>24</v>
      </c>
      <c r="M556">
        <v>80</v>
      </c>
      <c r="N556" t="s">
        <v>25</v>
      </c>
      <c r="O556" t="s">
        <v>796</v>
      </c>
      <c r="P556" t="s">
        <v>554</v>
      </c>
      <c r="Q556" t="s">
        <v>418</v>
      </c>
      <c r="R556">
        <v>2016</v>
      </c>
      <c r="S556" t="s">
        <v>797</v>
      </c>
      <c r="T556">
        <f>IF(IPL_Matches_2008_2020___New[[#This Row],[Toss Winner]]=IPL_Matches_2008_2020___New[[#This Row],[Winner]],1,0)</f>
        <v>0</v>
      </c>
      <c r="U556" t="s">
        <v>798</v>
      </c>
    </row>
    <row r="557" spans="1:21" x14ac:dyDescent="0.3">
      <c r="A557" t="s">
        <v>1357</v>
      </c>
      <c r="B557" t="s">
        <v>53</v>
      </c>
      <c r="C557">
        <f>YEAR(IPL_Matches_2008_2020___New[[#This Row],[Date ]])</f>
        <v>2016</v>
      </c>
      <c r="D557" s="1">
        <v>42506</v>
      </c>
      <c r="E557" t="s">
        <v>314</v>
      </c>
      <c r="F557" t="s">
        <v>55</v>
      </c>
      <c r="G557" t="s">
        <v>22</v>
      </c>
      <c r="H557" t="s">
        <v>21</v>
      </c>
      <c r="I557" t="s">
        <v>21</v>
      </c>
      <c r="J557" t="s">
        <v>23</v>
      </c>
      <c r="K557" t="s">
        <v>21</v>
      </c>
      <c r="L557" t="s">
        <v>43</v>
      </c>
      <c r="M557">
        <v>9</v>
      </c>
      <c r="N557" t="s">
        <v>25</v>
      </c>
      <c r="O557" t="s">
        <v>796</v>
      </c>
      <c r="P557" t="s">
        <v>506</v>
      </c>
      <c r="Q557" t="s">
        <v>562</v>
      </c>
      <c r="R557">
        <v>2016</v>
      </c>
      <c r="S557" t="s">
        <v>803</v>
      </c>
      <c r="T557">
        <f>IF(IPL_Matches_2008_2020___New[[#This Row],[Toss Winner]]=IPL_Matches_2008_2020___New[[#This Row],[Winner]],1,0)</f>
        <v>1</v>
      </c>
      <c r="U557" t="s">
        <v>801</v>
      </c>
    </row>
    <row r="558" spans="1:21" x14ac:dyDescent="0.3">
      <c r="A558" t="s">
        <v>1358</v>
      </c>
      <c r="B558" t="s">
        <v>351</v>
      </c>
      <c r="C558">
        <f>YEAR(IPL_Matches_2008_2020___New[[#This Row],[Date ]])</f>
        <v>2016</v>
      </c>
      <c r="D558" s="1">
        <v>42507</v>
      </c>
      <c r="E558" t="s">
        <v>575</v>
      </c>
      <c r="F558" t="s">
        <v>353</v>
      </c>
      <c r="G558" t="s">
        <v>606</v>
      </c>
      <c r="H558" t="s">
        <v>692</v>
      </c>
      <c r="I558" t="s">
        <v>606</v>
      </c>
      <c r="J558" t="s">
        <v>23</v>
      </c>
      <c r="K558" t="s">
        <v>606</v>
      </c>
      <c r="L558" t="s">
        <v>24</v>
      </c>
      <c r="M558">
        <v>19</v>
      </c>
      <c r="N558" t="s">
        <v>25</v>
      </c>
      <c r="O558" t="s">
        <v>115</v>
      </c>
      <c r="P558" t="s">
        <v>554</v>
      </c>
      <c r="Q558" t="s">
        <v>387</v>
      </c>
      <c r="R558">
        <v>2016</v>
      </c>
      <c r="S558" t="s">
        <v>797</v>
      </c>
      <c r="T558">
        <f>IF(IPL_Matches_2008_2020___New[[#This Row],[Toss Winner]]=IPL_Matches_2008_2020___New[[#This Row],[Winner]],1,0)</f>
        <v>1</v>
      </c>
      <c r="U558" t="s">
        <v>801</v>
      </c>
    </row>
    <row r="559" spans="1:21" x14ac:dyDescent="0.3">
      <c r="A559" t="s">
        <v>1359</v>
      </c>
      <c r="B559" t="s">
        <v>17</v>
      </c>
      <c r="C559">
        <f>YEAR(IPL_Matches_2008_2020___New[[#This Row],[Date ]])</f>
        <v>2016</v>
      </c>
      <c r="D559" s="1">
        <v>42508</v>
      </c>
      <c r="E559" t="s">
        <v>314</v>
      </c>
      <c r="F559" t="s">
        <v>795</v>
      </c>
      <c r="G559" t="s">
        <v>21</v>
      </c>
      <c r="H559" t="s">
        <v>800</v>
      </c>
      <c r="I559" t="s">
        <v>800</v>
      </c>
      <c r="J559" t="s">
        <v>23</v>
      </c>
      <c r="K559" t="s">
        <v>21</v>
      </c>
      <c r="L559" t="s">
        <v>24</v>
      </c>
      <c r="M559">
        <v>82</v>
      </c>
      <c r="N559" t="s">
        <v>25</v>
      </c>
      <c r="O559" t="s">
        <v>115</v>
      </c>
      <c r="P559" t="s">
        <v>583</v>
      </c>
      <c r="Q559" t="s">
        <v>155</v>
      </c>
      <c r="R559">
        <v>2016</v>
      </c>
      <c r="S559" t="s">
        <v>797</v>
      </c>
      <c r="T559">
        <f>IF(IPL_Matches_2008_2020___New[[#This Row],[Toss Winner]]=IPL_Matches_2008_2020___New[[#This Row],[Winner]],1,0)</f>
        <v>0</v>
      </c>
      <c r="U559" t="s">
        <v>798</v>
      </c>
    </row>
    <row r="560" spans="1:21" x14ac:dyDescent="0.3">
      <c r="A560" t="s">
        <v>1360</v>
      </c>
      <c r="B560" t="s">
        <v>595</v>
      </c>
      <c r="C560">
        <f>YEAR(IPL_Matches_2008_2020___New[[#This Row],[Date ]])</f>
        <v>2016</v>
      </c>
      <c r="D560" s="1">
        <v>42509</v>
      </c>
      <c r="E560" t="s">
        <v>195</v>
      </c>
      <c r="F560" t="s">
        <v>597</v>
      </c>
      <c r="G560" t="s">
        <v>551</v>
      </c>
      <c r="H560" t="s">
        <v>22</v>
      </c>
      <c r="I560" t="s">
        <v>551</v>
      </c>
      <c r="J560" t="s">
        <v>23</v>
      </c>
      <c r="K560" t="s">
        <v>551</v>
      </c>
      <c r="L560" t="s">
        <v>43</v>
      </c>
      <c r="M560">
        <v>6</v>
      </c>
      <c r="N560" t="s">
        <v>25</v>
      </c>
      <c r="O560" t="s">
        <v>796</v>
      </c>
      <c r="P560" t="s">
        <v>349</v>
      </c>
      <c r="Q560" t="s">
        <v>418</v>
      </c>
      <c r="R560">
        <v>2016</v>
      </c>
      <c r="S560" t="s">
        <v>803</v>
      </c>
      <c r="T560">
        <f>IF(IPL_Matches_2008_2020___New[[#This Row],[Toss Winner]]=IPL_Matches_2008_2020___New[[#This Row],[Winner]],1,0)</f>
        <v>1</v>
      </c>
      <c r="U560" t="s">
        <v>801</v>
      </c>
    </row>
    <row r="561" spans="1:21" x14ac:dyDescent="0.3">
      <c r="A561" t="s">
        <v>1361</v>
      </c>
      <c r="B561" t="s">
        <v>433</v>
      </c>
      <c r="C561">
        <f>YEAR(IPL_Matches_2008_2020___New[[#This Row],[Date ]])</f>
        <v>2016</v>
      </c>
      <c r="D561" s="1">
        <v>42510</v>
      </c>
      <c r="E561" t="s">
        <v>485</v>
      </c>
      <c r="F561" t="s">
        <v>434</v>
      </c>
      <c r="G561" t="s">
        <v>692</v>
      </c>
      <c r="H561" t="s">
        <v>406</v>
      </c>
      <c r="I561" t="s">
        <v>692</v>
      </c>
      <c r="J561" t="s">
        <v>23</v>
      </c>
      <c r="K561" t="s">
        <v>692</v>
      </c>
      <c r="L561" t="s">
        <v>43</v>
      </c>
      <c r="M561">
        <v>6</v>
      </c>
      <c r="N561" t="s">
        <v>25</v>
      </c>
      <c r="O561" t="s">
        <v>796</v>
      </c>
      <c r="P561" t="s">
        <v>562</v>
      </c>
      <c r="Q561" t="s">
        <v>359</v>
      </c>
      <c r="R561">
        <v>2016</v>
      </c>
      <c r="S561" t="s">
        <v>803</v>
      </c>
      <c r="T561">
        <f>IF(IPL_Matches_2008_2020___New[[#This Row],[Toss Winner]]=IPL_Matches_2008_2020___New[[#This Row],[Winner]],1,0)</f>
        <v>1</v>
      </c>
      <c r="U561" t="s">
        <v>801</v>
      </c>
    </row>
    <row r="562" spans="1:21" x14ac:dyDescent="0.3">
      <c r="A562" t="s">
        <v>1362</v>
      </c>
      <c r="B562" t="s">
        <v>351</v>
      </c>
      <c r="C562">
        <f>YEAR(IPL_Matches_2008_2020___New[[#This Row],[Date ]])</f>
        <v>2016</v>
      </c>
      <c r="D562" s="1">
        <v>42511</v>
      </c>
      <c r="E562" t="s">
        <v>87</v>
      </c>
      <c r="F562" t="s">
        <v>353</v>
      </c>
      <c r="G562" t="s">
        <v>606</v>
      </c>
      <c r="H562" t="s">
        <v>800</v>
      </c>
      <c r="I562" t="s">
        <v>800</v>
      </c>
      <c r="J562" t="s">
        <v>35</v>
      </c>
      <c r="K562" t="s">
        <v>606</v>
      </c>
      <c r="L562" t="s">
        <v>43</v>
      </c>
      <c r="M562">
        <v>4</v>
      </c>
      <c r="N562" t="s">
        <v>25</v>
      </c>
      <c r="O562" t="s">
        <v>796</v>
      </c>
      <c r="P562" t="s">
        <v>165</v>
      </c>
      <c r="Q562" t="s">
        <v>554</v>
      </c>
      <c r="R562">
        <v>2016</v>
      </c>
      <c r="S562" t="s">
        <v>803</v>
      </c>
      <c r="T562">
        <f>IF(IPL_Matches_2008_2020___New[[#This Row],[Toss Winner]]=IPL_Matches_2008_2020___New[[#This Row],[Winner]],1,0)</f>
        <v>0</v>
      </c>
      <c r="U562" t="s">
        <v>798</v>
      </c>
    </row>
    <row r="563" spans="1:21" x14ac:dyDescent="0.3">
      <c r="A563" t="s">
        <v>1363</v>
      </c>
      <c r="B563" t="s">
        <v>595</v>
      </c>
      <c r="C563">
        <f>YEAR(IPL_Matches_2008_2020___New[[#This Row],[Date ]])</f>
        <v>2016</v>
      </c>
      <c r="D563" s="1">
        <v>42511</v>
      </c>
      <c r="E563" t="s">
        <v>133</v>
      </c>
      <c r="F563" t="s">
        <v>597</v>
      </c>
      <c r="G563" t="s">
        <v>551</v>
      </c>
      <c r="H563" t="s">
        <v>50</v>
      </c>
      <c r="I563" t="s">
        <v>551</v>
      </c>
      <c r="J563" t="s">
        <v>23</v>
      </c>
      <c r="K563" t="s">
        <v>551</v>
      </c>
      <c r="L563" t="s">
        <v>43</v>
      </c>
      <c r="M563">
        <v>6</v>
      </c>
      <c r="N563" t="s">
        <v>25</v>
      </c>
      <c r="O563" t="s">
        <v>796</v>
      </c>
      <c r="P563" t="s">
        <v>349</v>
      </c>
      <c r="Q563" t="s">
        <v>418</v>
      </c>
      <c r="R563">
        <v>2016</v>
      </c>
      <c r="S563" t="s">
        <v>803</v>
      </c>
      <c r="T563">
        <f>IF(IPL_Matches_2008_2020___New[[#This Row],[Toss Winner]]=IPL_Matches_2008_2020___New[[#This Row],[Winner]],1,0)</f>
        <v>1</v>
      </c>
      <c r="U563" t="s">
        <v>801</v>
      </c>
    </row>
    <row r="564" spans="1:21" x14ac:dyDescent="0.3">
      <c r="A564" t="s">
        <v>1364</v>
      </c>
      <c r="B564" t="s">
        <v>53</v>
      </c>
      <c r="C564">
        <f>YEAR(IPL_Matches_2008_2020___New[[#This Row],[Date ]])</f>
        <v>2016</v>
      </c>
      <c r="D564" s="1">
        <v>42512</v>
      </c>
      <c r="E564" t="s">
        <v>75</v>
      </c>
      <c r="F564" t="s">
        <v>55</v>
      </c>
      <c r="G564" t="s">
        <v>22</v>
      </c>
      <c r="H564" t="s">
        <v>406</v>
      </c>
      <c r="I564" t="s">
        <v>406</v>
      </c>
      <c r="J564" t="s">
        <v>23</v>
      </c>
      <c r="K564" t="s">
        <v>22</v>
      </c>
      <c r="L564" t="s">
        <v>24</v>
      </c>
      <c r="M564">
        <v>22</v>
      </c>
      <c r="N564" t="s">
        <v>25</v>
      </c>
      <c r="O564" t="s">
        <v>796</v>
      </c>
      <c r="P564" t="s">
        <v>583</v>
      </c>
      <c r="Q564" t="s">
        <v>155</v>
      </c>
      <c r="R564">
        <v>2016</v>
      </c>
      <c r="S564" t="s">
        <v>797</v>
      </c>
      <c r="T564">
        <f>IF(IPL_Matches_2008_2020___New[[#This Row],[Toss Winner]]=IPL_Matches_2008_2020___New[[#This Row],[Winner]],1,0)</f>
        <v>0</v>
      </c>
      <c r="U564" t="s">
        <v>798</v>
      </c>
    </row>
    <row r="565" spans="1:21" x14ac:dyDescent="0.3">
      <c r="A565" t="s">
        <v>1365</v>
      </c>
      <c r="B565" t="s">
        <v>433</v>
      </c>
      <c r="C565">
        <f>YEAR(IPL_Matches_2008_2020___New[[#This Row],[Date ]])</f>
        <v>2016</v>
      </c>
      <c r="D565" s="1">
        <v>42512</v>
      </c>
      <c r="E565" t="s">
        <v>314</v>
      </c>
      <c r="F565" t="s">
        <v>434</v>
      </c>
      <c r="G565" t="s">
        <v>692</v>
      </c>
      <c r="H565" t="s">
        <v>21</v>
      </c>
      <c r="I565" t="s">
        <v>21</v>
      </c>
      <c r="J565" t="s">
        <v>23</v>
      </c>
      <c r="K565" t="s">
        <v>21</v>
      </c>
      <c r="L565" t="s">
        <v>43</v>
      </c>
      <c r="M565">
        <v>6</v>
      </c>
      <c r="N565" t="s">
        <v>25</v>
      </c>
      <c r="O565" t="s">
        <v>796</v>
      </c>
      <c r="P565" t="s">
        <v>562</v>
      </c>
      <c r="Q565" t="s">
        <v>359</v>
      </c>
      <c r="R565">
        <v>2016</v>
      </c>
      <c r="S565" t="s">
        <v>803</v>
      </c>
      <c r="T565">
        <f>IF(IPL_Matches_2008_2020___New[[#This Row],[Toss Winner]]=IPL_Matches_2008_2020___New[[#This Row],[Winner]],1,0)</f>
        <v>1</v>
      </c>
      <c r="U565" t="s">
        <v>801</v>
      </c>
    </row>
    <row r="566" spans="1:21" x14ac:dyDescent="0.3">
      <c r="A566" t="s">
        <v>1366</v>
      </c>
      <c r="B566" t="s">
        <v>17</v>
      </c>
      <c r="C566">
        <f>YEAR(IPL_Matches_2008_2020___New[[#This Row],[Date ]])</f>
        <v>2016</v>
      </c>
      <c r="D566" s="1">
        <v>42514</v>
      </c>
      <c r="E566" t="s">
        <v>157</v>
      </c>
      <c r="F566" t="s">
        <v>795</v>
      </c>
      <c r="G566" t="s">
        <v>551</v>
      </c>
      <c r="H566" t="s">
        <v>21</v>
      </c>
      <c r="I566" t="s">
        <v>21</v>
      </c>
      <c r="J566" t="s">
        <v>23</v>
      </c>
      <c r="K566" t="s">
        <v>21</v>
      </c>
      <c r="L566" t="s">
        <v>43</v>
      </c>
      <c r="M566">
        <v>4</v>
      </c>
      <c r="N566" t="s">
        <v>25</v>
      </c>
      <c r="O566" t="s">
        <v>796</v>
      </c>
      <c r="P566" t="s">
        <v>349</v>
      </c>
      <c r="Q566" t="s">
        <v>165</v>
      </c>
      <c r="R566">
        <v>2016</v>
      </c>
      <c r="S566" t="s">
        <v>803</v>
      </c>
      <c r="T566">
        <f>IF(IPL_Matches_2008_2020___New[[#This Row],[Toss Winner]]=IPL_Matches_2008_2020___New[[#This Row],[Winner]],1,0)</f>
        <v>1</v>
      </c>
      <c r="U566" t="s">
        <v>801</v>
      </c>
    </row>
    <row r="567" spans="1:21" x14ac:dyDescent="0.3">
      <c r="A567" t="s">
        <v>1367</v>
      </c>
      <c r="B567" t="s">
        <v>38</v>
      </c>
      <c r="C567">
        <f>YEAR(IPL_Matches_2008_2020___New[[#This Row],[Date ]])</f>
        <v>2016</v>
      </c>
      <c r="D567" s="1">
        <v>42515</v>
      </c>
      <c r="E567" t="s">
        <v>537</v>
      </c>
      <c r="F567" t="s">
        <v>40</v>
      </c>
      <c r="G567" t="s">
        <v>406</v>
      </c>
      <c r="H567" t="s">
        <v>22</v>
      </c>
      <c r="I567" t="s">
        <v>22</v>
      </c>
      <c r="J567" t="s">
        <v>23</v>
      </c>
      <c r="K567" t="s">
        <v>406</v>
      </c>
      <c r="L567" t="s">
        <v>24</v>
      </c>
      <c r="M567">
        <v>22</v>
      </c>
      <c r="N567" t="s">
        <v>25</v>
      </c>
      <c r="O567" t="s">
        <v>796</v>
      </c>
      <c r="P567" t="s">
        <v>155</v>
      </c>
      <c r="Q567" t="s">
        <v>387</v>
      </c>
      <c r="R567">
        <v>2016</v>
      </c>
      <c r="S567" t="s">
        <v>797</v>
      </c>
      <c r="T567">
        <f>IF(IPL_Matches_2008_2020___New[[#This Row],[Toss Winner]]=IPL_Matches_2008_2020___New[[#This Row],[Winner]],1,0)</f>
        <v>0</v>
      </c>
      <c r="U567" t="s">
        <v>798</v>
      </c>
    </row>
    <row r="568" spans="1:21" x14ac:dyDescent="0.3">
      <c r="A568" t="s">
        <v>1368</v>
      </c>
      <c r="B568" t="s">
        <v>38</v>
      </c>
      <c r="C568">
        <f>YEAR(IPL_Matches_2008_2020___New[[#This Row],[Date ]])</f>
        <v>2016</v>
      </c>
      <c r="D568" s="1">
        <v>42517</v>
      </c>
      <c r="E568" t="s">
        <v>251</v>
      </c>
      <c r="F568" t="s">
        <v>40</v>
      </c>
      <c r="G568" t="s">
        <v>551</v>
      </c>
      <c r="H568" t="s">
        <v>406</v>
      </c>
      <c r="I568" t="s">
        <v>406</v>
      </c>
      <c r="J568" t="s">
        <v>23</v>
      </c>
      <c r="K568" t="s">
        <v>406</v>
      </c>
      <c r="L568" t="s">
        <v>43</v>
      </c>
      <c r="M568">
        <v>4</v>
      </c>
      <c r="N568" t="s">
        <v>25</v>
      </c>
      <c r="O568" t="s">
        <v>796</v>
      </c>
      <c r="P568" t="s">
        <v>155</v>
      </c>
      <c r="Q568" t="s">
        <v>418</v>
      </c>
      <c r="R568">
        <v>2016</v>
      </c>
      <c r="S568" t="s">
        <v>803</v>
      </c>
      <c r="T568">
        <f>IF(IPL_Matches_2008_2020___New[[#This Row],[Toss Winner]]=IPL_Matches_2008_2020___New[[#This Row],[Winner]],1,0)</f>
        <v>1</v>
      </c>
      <c r="U568" t="s">
        <v>801</v>
      </c>
    </row>
    <row r="569" spans="1:21" x14ac:dyDescent="0.3">
      <c r="A569" t="s">
        <v>1369</v>
      </c>
      <c r="B569" t="s">
        <v>17</v>
      </c>
      <c r="C569">
        <f>YEAR(IPL_Matches_2008_2020___New[[#This Row],[Date ]])</f>
        <v>2016</v>
      </c>
      <c r="D569" s="1">
        <v>42519</v>
      </c>
      <c r="E569" t="s">
        <v>605</v>
      </c>
      <c r="F569" t="s">
        <v>795</v>
      </c>
      <c r="G569" t="s">
        <v>21</v>
      </c>
      <c r="H569" t="s">
        <v>406</v>
      </c>
      <c r="I569" t="s">
        <v>406</v>
      </c>
      <c r="J569" t="s">
        <v>35</v>
      </c>
      <c r="K569" t="s">
        <v>406</v>
      </c>
      <c r="L569" t="s">
        <v>24</v>
      </c>
      <c r="M569">
        <v>8</v>
      </c>
      <c r="N569" t="s">
        <v>25</v>
      </c>
      <c r="O569" t="s">
        <v>796</v>
      </c>
      <c r="P569" t="s">
        <v>165</v>
      </c>
      <c r="Q569" t="s">
        <v>359</v>
      </c>
      <c r="R569">
        <v>2016</v>
      </c>
      <c r="S569" t="s">
        <v>797</v>
      </c>
      <c r="T569">
        <f>IF(IPL_Matches_2008_2020___New[[#This Row],[Toss Winner]]=IPL_Matches_2008_2020___New[[#This Row],[Winner]],1,0)</f>
        <v>1</v>
      </c>
      <c r="U569" t="s">
        <v>801</v>
      </c>
    </row>
    <row r="570" spans="1:21" x14ac:dyDescent="0.3">
      <c r="A570" t="s">
        <v>1370</v>
      </c>
      <c r="B570" t="s">
        <v>64</v>
      </c>
      <c r="C570">
        <f>YEAR(IPL_Matches_2008_2020___New[[#This Row],[Date ]])</f>
        <v>2017</v>
      </c>
      <c r="D570" s="1">
        <v>42830</v>
      </c>
      <c r="E570" t="s">
        <v>182</v>
      </c>
      <c r="F570" t="s">
        <v>67</v>
      </c>
      <c r="G570" t="s">
        <v>406</v>
      </c>
      <c r="H570" t="s">
        <v>21</v>
      </c>
      <c r="I570" t="s">
        <v>21</v>
      </c>
      <c r="J570" t="s">
        <v>23</v>
      </c>
      <c r="K570" t="s">
        <v>406</v>
      </c>
      <c r="L570" t="s">
        <v>24</v>
      </c>
      <c r="M570">
        <v>35</v>
      </c>
      <c r="N570" t="s">
        <v>25</v>
      </c>
      <c r="O570" t="s">
        <v>796</v>
      </c>
      <c r="P570" t="s">
        <v>576</v>
      </c>
      <c r="Q570" t="s">
        <v>441</v>
      </c>
      <c r="R570">
        <v>2017</v>
      </c>
      <c r="S570" t="s">
        <v>797</v>
      </c>
      <c r="T570">
        <f>IF(IPL_Matches_2008_2020___New[[#This Row],[Toss Winner]]=IPL_Matches_2008_2020___New[[#This Row],[Winner]],1,0)</f>
        <v>0</v>
      </c>
      <c r="U570" t="s">
        <v>798</v>
      </c>
    </row>
    <row r="571" spans="1:21" x14ac:dyDescent="0.3">
      <c r="A571" t="s">
        <v>1371</v>
      </c>
      <c r="B571" t="s">
        <v>355</v>
      </c>
      <c r="C571">
        <f>YEAR(IPL_Matches_2008_2020___New[[#This Row],[Date ]])</f>
        <v>2017</v>
      </c>
      <c r="D571" s="1">
        <v>42831</v>
      </c>
      <c r="E571" t="s">
        <v>348</v>
      </c>
      <c r="F571" t="s">
        <v>504</v>
      </c>
      <c r="G571" t="s">
        <v>606</v>
      </c>
      <c r="H571" t="s">
        <v>50</v>
      </c>
      <c r="I571" t="s">
        <v>606</v>
      </c>
      <c r="J571" t="s">
        <v>23</v>
      </c>
      <c r="K571" t="s">
        <v>606</v>
      </c>
      <c r="L571" t="s">
        <v>43</v>
      </c>
      <c r="M571">
        <v>7</v>
      </c>
      <c r="N571" t="s">
        <v>25</v>
      </c>
      <c r="O571" t="s">
        <v>796</v>
      </c>
      <c r="P571" t="s">
        <v>562</v>
      </c>
      <c r="Q571" t="s">
        <v>183</v>
      </c>
      <c r="R571">
        <v>2017</v>
      </c>
      <c r="S571" t="s">
        <v>803</v>
      </c>
      <c r="T571">
        <f>IF(IPL_Matches_2008_2020___New[[#This Row],[Toss Winner]]=IPL_Matches_2008_2020___New[[#This Row],[Winner]],1,0)</f>
        <v>1</v>
      </c>
      <c r="U571" t="s">
        <v>801</v>
      </c>
    </row>
    <row r="572" spans="1:21" x14ac:dyDescent="0.3">
      <c r="A572" t="s">
        <v>1372</v>
      </c>
      <c r="B572" t="s">
        <v>555</v>
      </c>
      <c r="C572">
        <f>YEAR(IPL_Matches_2008_2020___New[[#This Row],[Date ]])</f>
        <v>2017</v>
      </c>
      <c r="D572" s="1">
        <v>42832</v>
      </c>
      <c r="E572" t="s">
        <v>473</v>
      </c>
      <c r="F572" t="s">
        <v>557</v>
      </c>
      <c r="G572" t="s">
        <v>551</v>
      </c>
      <c r="H572" t="s">
        <v>22</v>
      </c>
      <c r="I572" t="s">
        <v>22</v>
      </c>
      <c r="J572" t="s">
        <v>23</v>
      </c>
      <c r="K572" t="s">
        <v>22</v>
      </c>
      <c r="L572" t="s">
        <v>43</v>
      </c>
      <c r="M572">
        <v>10</v>
      </c>
      <c r="N572" t="s">
        <v>25</v>
      </c>
      <c r="O572" t="s">
        <v>796</v>
      </c>
      <c r="P572" t="s">
        <v>554</v>
      </c>
      <c r="Q572" t="s">
        <v>418</v>
      </c>
      <c r="R572">
        <v>2017</v>
      </c>
      <c r="S572" t="s">
        <v>803</v>
      </c>
      <c r="T572">
        <f>IF(IPL_Matches_2008_2020___New[[#This Row],[Toss Winner]]=IPL_Matches_2008_2020___New[[#This Row],[Winner]],1,0)</f>
        <v>1</v>
      </c>
      <c r="U572" t="s">
        <v>801</v>
      </c>
    </row>
    <row r="573" spans="1:21" x14ac:dyDescent="0.3">
      <c r="A573" t="s">
        <v>1373</v>
      </c>
      <c r="B573" t="s">
        <v>327</v>
      </c>
      <c r="C573">
        <f>YEAR(IPL_Matches_2008_2020___New[[#This Row],[Date ]])</f>
        <v>2017</v>
      </c>
      <c r="D573" s="1">
        <v>42833</v>
      </c>
      <c r="E573" t="s">
        <v>465</v>
      </c>
      <c r="F573" t="s">
        <v>329</v>
      </c>
      <c r="G573" t="s">
        <v>800</v>
      </c>
      <c r="H573" t="s">
        <v>606</v>
      </c>
      <c r="I573" t="s">
        <v>800</v>
      </c>
      <c r="J573" t="s">
        <v>23</v>
      </c>
      <c r="K573" t="s">
        <v>800</v>
      </c>
      <c r="L573" t="s">
        <v>43</v>
      </c>
      <c r="M573">
        <v>6</v>
      </c>
      <c r="N573" t="s">
        <v>25</v>
      </c>
      <c r="O573" t="s">
        <v>796</v>
      </c>
      <c r="P573" t="s">
        <v>349</v>
      </c>
      <c r="Q573" t="s">
        <v>387</v>
      </c>
      <c r="R573">
        <v>2017</v>
      </c>
      <c r="S573" t="s">
        <v>803</v>
      </c>
      <c r="T573">
        <f>IF(IPL_Matches_2008_2020___New[[#This Row],[Toss Winner]]=IPL_Matches_2008_2020___New[[#This Row],[Winner]],1,0)</f>
        <v>1</v>
      </c>
      <c r="U573" t="s">
        <v>801</v>
      </c>
    </row>
    <row r="574" spans="1:21" x14ac:dyDescent="0.3">
      <c r="A574" t="s">
        <v>1374</v>
      </c>
      <c r="B574" t="s">
        <v>607</v>
      </c>
      <c r="C574">
        <f>YEAR(IPL_Matches_2008_2020___New[[#This Row],[Date ]])</f>
        <v>2017</v>
      </c>
      <c r="D574" s="1">
        <v>42833</v>
      </c>
      <c r="E574" t="s">
        <v>247</v>
      </c>
      <c r="F574" t="s">
        <v>795</v>
      </c>
      <c r="G574" t="s">
        <v>21</v>
      </c>
      <c r="H574" t="s">
        <v>692</v>
      </c>
      <c r="I574" t="s">
        <v>21</v>
      </c>
      <c r="J574" t="s">
        <v>35</v>
      </c>
      <c r="K574" t="s">
        <v>21</v>
      </c>
      <c r="L574" t="s">
        <v>24</v>
      </c>
      <c r="M574">
        <v>15</v>
      </c>
      <c r="N574" t="s">
        <v>25</v>
      </c>
      <c r="O574" t="s">
        <v>796</v>
      </c>
      <c r="P574" t="s">
        <v>183</v>
      </c>
      <c r="Q574" t="s">
        <v>552</v>
      </c>
      <c r="R574">
        <v>2017</v>
      </c>
      <c r="S574" t="s">
        <v>797</v>
      </c>
      <c r="T574">
        <f>IF(IPL_Matches_2008_2020___New[[#This Row],[Toss Winner]]=IPL_Matches_2008_2020___New[[#This Row],[Winner]],1,0)</f>
        <v>1</v>
      </c>
      <c r="U574" t="s">
        <v>801</v>
      </c>
    </row>
    <row r="575" spans="1:21" x14ac:dyDescent="0.3">
      <c r="A575" t="s">
        <v>1375</v>
      </c>
      <c r="B575" t="s">
        <v>64</v>
      </c>
      <c r="C575">
        <f>YEAR(IPL_Matches_2008_2020___New[[#This Row],[Date ]])</f>
        <v>2017</v>
      </c>
      <c r="D575" s="1">
        <v>42834</v>
      </c>
      <c r="E575" t="s">
        <v>609</v>
      </c>
      <c r="F575" t="s">
        <v>67</v>
      </c>
      <c r="G575" t="s">
        <v>406</v>
      </c>
      <c r="H575" t="s">
        <v>551</v>
      </c>
      <c r="I575" t="s">
        <v>406</v>
      </c>
      <c r="J575" t="s">
        <v>23</v>
      </c>
      <c r="K575" t="s">
        <v>406</v>
      </c>
      <c r="L575" t="s">
        <v>43</v>
      </c>
      <c r="M575">
        <v>9</v>
      </c>
      <c r="N575" t="s">
        <v>25</v>
      </c>
      <c r="O575" t="s">
        <v>796</v>
      </c>
      <c r="P575" t="s">
        <v>610</v>
      </c>
      <c r="Q575" t="s">
        <v>441</v>
      </c>
      <c r="R575">
        <v>2017</v>
      </c>
      <c r="S575" t="s">
        <v>803</v>
      </c>
      <c r="T575">
        <f>IF(IPL_Matches_2008_2020___New[[#This Row],[Toss Winner]]=IPL_Matches_2008_2020___New[[#This Row],[Winner]],1,0)</f>
        <v>1</v>
      </c>
      <c r="U575" t="s">
        <v>801</v>
      </c>
    </row>
    <row r="576" spans="1:21" x14ac:dyDescent="0.3">
      <c r="A576" t="s">
        <v>1376</v>
      </c>
      <c r="B576" t="s">
        <v>46</v>
      </c>
      <c r="C576">
        <f>YEAR(IPL_Matches_2008_2020___New[[#This Row],[Date ]])</f>
        <v>2017</v>
      </c>
      <c r="D576" s="1">
        <v>42834</v>
      </c>
      <c r="E576" t="s">
        <v>611</v>
      </c>
      <c r="F576" t="s">
        <v>49</v>
      </c>
      <c r="G576" t="s">
        <v>50</v>
      </c>
      <c r="H576" t="s">
        <v>22</v>
      </c>
      <c r="I576" t="s">
        <v>50</v>
      </c>
      <c r="J576" t="s">
        <v>23</v>
      </c>
      <c r="K576" t="s">
        <v>50</v>
      </c>
      <c r="L576" t="s">
        <v>43</v>
      </c>
      <c r="M576">
        <v>4</v>
      </c>
      <c r="N576" t="s">
        <v>25</v>
      </c>
      <c r="O576" t="s">
        <v>796</v>
      </c>
      <c r="P576" t="s">
        <v>554</v>
      </c>
      <c r="Q576" t="s">
        <v>418</v>
      </c>
      <c r="R576">
        <v>2017</v>
      </c>
      <c r="S576" t="s">
        <v>803</v>
      </c>
      <c r="T576">
        <f>IF(IPL_Matches_2008_2020___New[[#This Row],[Toss Winner]]=IPL_Matches_2008_2020___New[[#This Row],[Winner]],1,0)</f>
        <v>1</v>
      </c>
      <c r="U576" t="s">
        <v>801</v>
      </c>
    </row>
    <row r="577" spans="1:21" x14ac:dyDescent="0.3">
      <c r="A577" t="s">
        <v>1377</v>
      </c>
      <c r="B577" t="s">
        <v>327</v>
      </c>
      <c r="C577">
        <f>YEAR(IPL_Matches_2008_2020___New[[#This Row],[Date ]])</f>
        <v>2017</v>
      </c>
      <c r="D577" s="1">
        <v>42835</v>
      </c>
      <c r="E577" t="s">
        <v>493</v>
      </c>
      <c r="F577" t="s">
        <v>329</v>
      </c>
      <c r="G577" t="s">
        <v>800</v>
      </c>
      <c r="H577" t="s">
        <v>21</v>
      </c>
      <c r="I577" t="s">
        <v>21</v>
      </c>
      <c r="J577" t="s">
        <v>35</v>
      </c>
      <c r="K577" t="s">
        <v>800</v>
      </c>
      <c r="L577" t="s">
        <v>43</v>
      </c>
      <c r="M577">
        <v>8</v>
      </c>
      <c r="N577" t="s">
        <v>25</v>
      </c>
      <c r="O577" t="s">
        <v>796</v>
      </c>
      <c r="P577" t="s">
        <v>349</v>
      </c>
      <c r="Q577" t="s">
        <v>387</v>
      </c>
      <c r="R577">
        <v>2017</v>
      </c>
      <c r="S577" t="s">
        <v>803</v>
      </c>
      <c r="T577">
        <f>IF(IPL_Matches_2008_2020___New[[#This Row],[Toss Winner]]=IPL_Matches_2008_2020___New[[#This Row],[Winner]],1,0)</f>
        <v>0</v>
      </c>
      <c r="U577" t="s">
        <v>798</v>
      </c>
    </row>
    <row r="578" spans="1:21" x14ac:dyDescent="0.3">
      <c r="A578" t="s">
        <v>1378</v>
      </c>
      <c r="B578" t="s">
        <v>355</v>
      </c>
      <c r="C578">
        <f>YEAR(IPL_Matches_2008_2020___New[[#This Row],[Date ]])</f>
        <v>2017</v>
      </c>
      <c r="D578" s="1">
        <v>42836</v>
      </c>
      <c r="E578" t="s">
        <v>436</v>
      </c>
      <c r="F578" t="s">
        <v>504</v>
      </c>
      <c r="G578" t="s">
        <v>606</v>
      </c>
      <c r="H578" t="s">
        <v>692</v>
      </c>
      <c r="I578" t="s">
        <v>606</v>
      </c>
      <c r="J578" t="s">
        <v>23</v>
      </c>
      <c r="K578" t="s">
        <v>692</v>
      </c>
      <c r="L578" t="s">
        <v>24</v>
      </c>
      <c r="M578">
        <v>97</v>
      </c>
      <c r="N578" t="s">
        <v>25</v>
      </c>
      <c r="O578" t="s">
        <v>796</v>
      </c>
      <c r="P578" t="s">
        <v>576</v>
      </c>
      <c r="Q578" t="s">
        <v>183</v>
      </c>
      <c r="R578">
        <v>2017</v>
      </c>
      <c r="S578" t="s">
        <v>797</v>
      </c>
      <c r="T578">
        <f>IF(IPL_Matches_2008_2020___New[[#This Row],[Toss Winner]]=IPL_Matches_2008_2020___New[[#This Row],[Winner]],1,0)</f>
        <v>0</v>
      </c>
      <c r="U578" t="s">
        <v>798</v>
      </c>
    </row>
    <row r="579" spans="1:21" x14ac:dyDescent="0.3">
      <c r="A579" t="s">
        <v>1379</v>
      </c>
      <c r="B579" t="s">
        <v>46</v>
      </c>
      <c r="C579">
        <f>YEAR(IPL_Matches_2008_2020___New[[#This Row],[Date ]])</f>
        <v>2017</v>
      </c>
      <c r="D579" s="1">
        <v>42837</v>
      </c>
      <c r="E579" t="s">
        <v>612</v>
      </c>
      <c r="F579" t="s">
        <v>49</v>
      </c>
      <c r="G579" t="s">
        <v>50</v>
      </c>
      <c r="H579" t="s">
        <v>406</v>
      </c>
      <c r="I579" t="s">
        <v>50</v>
      </c>
      <c r="J579" t="s">
        <v>23</v>
      </c>
      <c r="K579" t="s">
        <v>50</v>
      </c>
      <c r="L579" t="s">
        <v>43</v>
      </c>
      <c r="M579">
        <v>4</v>
      </c>
      <c r="N579" t="s">
        <v>25</v>
      </c>
      <c r="O579" t="s">
        <v>796</v>
      </c>
      <c r="P579" t="s">
        <v>554</v>
      </c>
      <c r="Q579" t="s">
        <v>418</v>
      </c>
      <c r="R579">
        <v>2017</v>
      </c>
      <c r="S579" t="s">
        <v>803</v>
      </c>
      <c r="T579">
        <f>IF(IPL_Matches_2008_2020___New[[#This Row],[Toss Winner]]=IPL_Matches_2008_2020___New[[#This Row],[Winner]],1,0)</f>
        <v>1</v>
      </c>
      <c r="U579" t="s">
        <v>801</v>
      </c>
    </row>
    <row r="580" spans="1:21" x14ac:dyDescent="0.3">
      <c r="A580" t="s">
        <v>1380</v>
      </c>
      <c r="B580" t="s">
        <v>53</v>
      </c>
      <c r="C580">
        <f>YEAR(IPL_Matches_2008_2020___New[[#This Row],[Date ]])</f>
        <v>2017</v>
      </c>
      <c r="D580" s="1">
        <v>42838</v>
      </c>
      <c r="E580" t="s">
        <v>368</v>
      </c>
      <c r="F580" t="s">
        <v>55</v>
      </c>
      <c r="G580" t="s">
        <v>22</v>
      </c>
      <c r="H580" t="s">
        <v>800</v>
      </c>
      <c r="I580" t="s">
        <v>22</v>
      </c>
      <c r="J580" t="s">
        <v>23</v>
      </c>
      <c r="K580" t="s">
        <v>22</v>
      </c>
      <c r="L580" t="s">
        <v>43</v>
      </c>
      <c r="M580">
        <v>8</v>
      </c>
      <c r="N580" t="s">
        <v>25</v>
      </c>
      <c r="O580" t="s">
        <v>796</v>
      </c>
      <c r="P580" t="s">
        <v>610</v>
      </c>
      <c r="Q580" t="s">
        <v>441</v>
      </c>
      <c r="R580">
        <v>2017</v>
      </c>
      <c r="S580" t="s">
        <v>803</v>
      </c>
      <c r="T580">
        <f>IF(IPL_Matches_2008_2020___New[[#This Row],[Toss Winner]]=IPL_Matches_2008_2020___New[[#This Row],[Winner]],1,0)</f>
        <v>1</v>
      </c>
      <c r="U580" t="s">
        <v>801</v>
      </c>
    </row>
    <row r="581" spans="1:21" x14ac:dyDescent="0.3">
      <c r="A581" t="s">
        <v>1381</v>
      </c>
      <c r="B581" t="s">
        <v>17</v>
      </c>
      <c r="C581">
        <f>YEAR(IPL_Matches_2008_2020___New[[#This Row],[Date ]])</f>
        <v>2017</v>
      </c>
      <c r="D581" s="1">
        <v>42839</v>
      </c>
      <c r="E581" t="s">
        <v>267</v>
      </c>
      <c r="F581" t="s">
        <v>795</v>
      </c>
      <c r="G581" t="s">
        <v>21</v>
      </c>
      <c r="H581" t="s">
        <v>50</v>
      </c>
      <c r="I581" t="s">
        <v>50</v>
      </c>
      <c r="J581" t="s">
        <v>23</v>
      </c>
      <c r="K581" t="s">
        <v>50</v>
      </c>
      <c r="L581" t="s">
        <v>43</v>
      </c>
      <c r="M581">
        <v>4</v>
      </c>
      <c r="N581" t="s">
        <v>25</v>
      </c>
      <c r="O581" t="s">
        <v>796</v>
      </c>
      <c r="P581" t="s">
        <v>583</v>
      </c>
      <c r="Q581" t="s">
        <v>349</v>
      </c>
      <c r="R581">
        <v>2017</v>
      </c>
      <c r="S581" t="s">
        <v>803</v>
      </c>
      <c r="T581">
        <f>IF(IPL_Matches_2008_2020___New[[#This Row],[Toss Winner]]=IPL_Matches_2008_2020___New[[#This Row],[Winner]],1,0)</f>
        <v>1</v>
      </c>
      <c r="U581" t="s">
        <v>801</v>
      </c>
    </row>
    <row r="582" spans="1:21" x14ac:dyDescent="0.3">
      <c r="A582" t="s">
        <v>1382</v>
      </c>
      <c r="B582" t="s">
        <v>555</v>
      </c>
      <c r="C582">
        <f>YEAR(IPL_Matches_2008_2020___New[[#This Row],[Date ]])</f>
        <v>2017</v>
      </c>
      <c r="D582" s="1">
        <v>42839</v>
      </c>
      <c r="E582" t="s">
        <v>615</v>
      </c>
      <c r="F582" t="s">
        <v>557</v>
      </c>
      <c r="G582" t="s">
        <v>551</v>
      </c>
      <c r="H582" t="s">
        <v>606</v>
      </c>
      <c r="I582" t="s">
        <v>551</v>
      </c>
      <c r="J582" t="s">
        <v>23</v>
      </c>
      <c r="K582" t="s">
        <v>551</v>
      </c>
      <c r="L582" t="s">
        <v>43</v>
      </c>
      <c r="M582">
        <v>7</v>
      </c>
      <c r="N582" t="s">
        <v>25</v>
      </c>
      <c r="O582" t="s">
        <v>796</v>
      </c>
      <c r="P582" t="s">
        <v>562</v>
      </c>
      <c r="Q582" t="s">
        <v>183</v>
      </c>
      <c r="R582">
        <v>2017</v>
      </c>
      <c r="S582" t="s">
        <v>803</v>
      </c>
      <c r="T582">
        <f>IF(IPL_Matches_2008_2020___New[[#This Row],[Toss Winner]]=IPL_Matches_2008_2020___New[[#This Row],[Winner]],1,0)</f>
        <v>1</v>
      </c>
      <c r="U582" t="s">
        <v>801</v>
      </c>
    </row>
    <row r="583" spans="1:21" x14ac:dyDescent="0.3">
      <c r="A583" t="s">
        <v>1383</v>
      </c>
      <c r="B583" t="s">
        <v>53</v>
      </c>
      <c r="C583">
        <f>YEAR(IPL_Matches_2008_2020___New[[#This Row],[Date ]])</f>
        <v>2017</v>
      </c>
      <c r="D583" s="1">
        <v>42840</v>
      </c>
      <c r="E583" t="s">
        <v>241</v>
      </c>
      <c r="F583" t="s">
        <v>55</v>
      </c>
      <c r="G583" t="s">
        <v>22</v>
      </c>
      <c r="H583" t="s">
        <v>406</v>
      </c>
      <c r="I583" t="s">
        <v>406</v>
      </c>
      <c r="J583" t="s">
        <v>23</v>
      </c>
      <c r="K583" t="s">
        <v>22</v>
      </c>
      <c r="L583" t="s">
        <v>24</v>
      </c>
      <c r="M583">
        <v>17</v>
      </c>
      <c r="N583" t="s">
        <v>25</v>
      </c>
      <c r="O583" t="s">
        <v>796</v>
      </c>
      <c r="P583" t="s">
        <v>576</v>
      </c>
      <c r="Q583" t="s">
        <v>441</v>
      </c>
      <c r="R583">
        <v>2017</v>
      </c>
      <c r="S583" t="s">
        <v>797</v>
      </c>
      <c r="T583">
        <f>IF(IPL_Matches_2008_2020___New[[#This Row],[Toss Winner]]=IPL_Matches_2008_2020___New[[#This Row],[Winner]],1,0)</f>
        <v>0</v>
      </c>
      <c r="U583" t="s">
        <v>798</v>
      </c>
    </row>
    <row r="584" spans="1:21" x14ac:dyDescent="0.3">
      <c r="A584" t="s">
        <v>1384</v>
      </c>
      <c r="B584" t="s">
        <v>38</v>
      </c>
      <c r="C584">
        <f>YEAR(IPL_Matches_2008_2020___New[[#This Row],[Date ]])</f>
        <v>2017</v>
      </c>
      <c r="D584" s="1">
        <v>42840</v>
      </c>
      <c r="E584" t="s">
        <v>484</v>
      </c>
      <c r="F584" t="s">
        <v>40</v>
      </c>
      <c r="G584" t="s">
        <v>692</v>
      </c>
      <c r="H584" t="s">
        <v>800</v>
      </c>
      <c r="I584" t="s">
        <v>692</v>
      </c>
      <c r="J584" t="s">
        <v>35</v>
      </c>
      <c r="K584" t="s">
        <v>692</v>
      </c>
      <c r="L584" t="s">
        <v>24</v>
      </c>
      <c r="M584">
        <v>51</v>
      </c>
      <c r="N584" t="s">
        <v>25</v>
      </c>
      <c r="O584" t="s">
        <v>796</v>
      </c>
      <c r="P584" t="s">
        <v>617</v>
      </c>
      <c r="Q584" t="s">
        <v>554</v>
      </c>
      <c r="R584">
        <v>2017</v>
      </c>
      <c r="S584" t="s">
        <v>797</v>
      </c>
      <c r="T584">
        <f>IF(IPL_Matches_2008_2020___New[[#This Row],[Toss Winner]]=IPL_Matches_2008_2020___New[[#This Row],[Winner]],1,0)</f>
        <v>1</v>
      </c>
      <c r="U584" t="s">
        <v>801</v>
      </c>
    </row>
    <row r="585" spans="1:21" x14ac:dyDescent="0.3">
      <c r="A585" t="s">
        <v>1385</v>
      </c>
      <c r="B585" t="s">
        <v>46</v>
      </c>
      <c r="C585">
        <f>YEAR(IPL_Matches_2008_2020___New[[#This Row],[Date ]])</f>
        <v>2017</v>
      </c>
      <c r="D585" s="1">
        <v>42841</v>
      </c>
      <c r="E585" t="s">
        <v>611</v>
      </c>
      <c r="F585" t="s">
        <v>49</v>
      </c>
      <c r="G585" t="s">
        <v>50</v>
      </c>
      <c r="H585" t="s">
        <v>551</v>
      </c>
      <c r="I585" t="s">
        <v>50</v>
      </c>
      <c r="J585" t="s">
        <v>23</v>
      </c>
      <c r="K585" t="s">
        <v>50</v>
      </c>
      <c r="L585" t="s">
        <v>43</v>
      </c>
      <c r="M585">
        <v>6</v>
      </c>
      <c r="N585" t="s">
        <v>25</v>
      </c>
      <c r="O585" t="s">
        <v>796</v>
      </c>
      <c r="P585" t="s">
        <v>562</v>
      </c>
      <c r="Q585" t="s">
        <v>183</v>
      </c>
      <c r="R585">
        <v>2017</v>
      </c>
      <c r="S585" t="s">
        <v>803</v>
      </c>
      <c r="T585">
        <f>IF(IPL_Matches_2008_2020___New[[#This Row],[Toss Winner]]=IPL_Matches_2008_2020___New[[#This Row],[Winner]],1,0)</f>
        <v>1</v>
      </c>
      <c r="U585" t="s">
        <v>801</v>
      </c>
    </row>
    <row r="586" spans="1:21" x14ac:dyDescent="0.3">
      <c r="A586" t="s">
        <v>1386</v>
      </c>
      <c r="B586" t="s">
        <v>17</v>
      </c>
      <c r="C586">
        <f>YEAR(IPL_Matches_2008_2020___New[[#This Row],[Date ]])</f>
        <v>2017</v>
      </c>
      <c r="D586" s="1">
        <v>42841</v>
      </c>
      <c r="E586" t="s">
        <v>619</v>
      </c>
      <c r="F586" t="s">
        <v>795</v>
      </c>
      <c r="G586" t="s">
        <v>21</v>
      </c>
      <c r="H586" t="s">
        <v>606</v>
      </c>
      <c r="I586" t="s">
        <v>21</v>
      </c>
      <c r="J586" t="s">
        <v>23</v>
      </c>
      <c r="K586" t="s">
        <v>606</v>
      </c>
      <c r="L586" t="s">
        <v>24</v>
      </c>
      <c r="M586">
        <v>27</v>
      </c>
      <c r="N586" t="s">
        <v>25</v>
      </c>
      <c r="O586" t="s">
        <v>796</v>
      </c>
      <c r="P586" t="s">
        <v>583</v>
      </c>
      <c r="Q586" t="s">
        <v>387</v>
      </c>
      <c r="R586">
        <v>2017</v>
      </c>
      <c r="S586" t="s">
        <v>797</v>
      </c>
      <c r="T586">
        <f>IF(IPL_Matches_2008_2020___New[[#This Row],[Toss Winner]]=IPL_Matches_2008_2020___New[[#This Row],[Winner]],1,0)</f>
        <v>0</v>
      </c>
      <c r="U586" t="s">
        <v>798</v>
      </c>
    </row>
    <row r="587" spans="1:21" x14ac:dyDescent="0.3">
      <c r="A587" t="s">
        <v>1387</v>
      </c>
      <c r="B587" t="s">
        <v>38</v>
      </c>
      <c r="C587">
        <f>YEAR(IPL_Matches_2008_2020___New[[#This Row],[Date ]])</f>
        <v>2017</v>
      </c>
      <c r="D587" s="1">
        <v>42842</v>
      </c>
      <c r="E587" t="s">
        <v>534</v>
      </c>
      <c r="F587" t="s">
        <v>40</v>
      </c>
      <c r="G587" t="s">
        <v>692</v>
      </c>
      <c r="H587" t="s">
        <v>22</v>
      </c>
      <c r="I587" t="s">
        <v>692</v>
      </c>
      <c r="J587" t="s">
        <v>35</v>
      </c>
      <c r="K587" t="s">
        <v>22</v>
      </c>
      <c r="L587" t="s">
        <v>43</v>
      </c>
      <c r="M587">
        <v>4</v>
      </c>
      <c r="N587" t="s">
        <v>25</v>
      </c>
      <c r="O587" t="s">
        <v>796</v>
      </c>
      <c r="P587" t="s">
        <v>554</v>
      </c>
      <c r="Q587" t="s">
        <v>418</v>
      </c>
      <c r="R587">
        <v>2017</v>
      </c>
      <c r="S587" t="s">
        <v>803</v>
      </c>
      <c r="T587">
        <f>IF(IPL_Matches_2008_2020___New[[#This Row],[Toss Winner]]=IPL_Matches_2008_2020___New[[#This Row],[Winner]],1,0)</f>
        <v>0</v>
      </c>
      <c r="U587" t="s">
        <v>798</v>
      </c>
    </row>
    <row r="588" spans="1:21" x14ac:dyDescent="0.3">
      <c r="A588" t="s">
        <v>1388</v>
      </c>
      <c r="B588" t="s">
        <v>64</v>
      </c>
      <c r="C588">
        <f>YEAR(IPL_Matches_2008_2020___New[[#This Row],[Date ]])</f>
        <v>2017</v>
      </c>
      <c r="D588" s="1">
        <v>42842</v>
      </c>
      <c r="E588" t="s">
        <v>483</v>
      </c>
      <c r="F588" t="s">
        <v>67</v>
      </c>
      <c r="G588" t="s">
        <v>406</v>
      </c>
      <c r="H588" t="s">
        <v>800</v>
      </c>
      <c r="I588" t="s">
        <v>800</v>
      </c>
      <c r="J588" t="s">
        <v>23</v>
      </c>
      <c r="K588" t="s">
        <v>406</v>
      </c>
      <c r="L588" t="s">
        <v>24</v>
      </c>
      <c r="M588">
        <v>5</v>
      </c>
      <c r="N588" t="s">
        <v>25</v>
      </c>
      <c r="O588" t="s">
        <v>796</v>
      </c>
      <c r="P588" t="s">
        <v>576</v>
      </c>
      <c r="Q588" t="s">
        <v>610</v>
      </c>
      <c r="R588">
        <v>2017</v>
      </c>
      <c r="S588" t="s">
        <v>797</v>
      </c>
      <c r="T588">
        <f>IF(IPL_Matches_2008_2020___New[[#This Row],[Toss Winner]]=IPL_Matches_2008_2020___New[[#This Row],[Winner]],1,0)</f>
        <v>0</v>
      </c>
      <c r="U588" t="s">
        <v>798</v>
      </c>
    </row>
    <row r="589" spans="1:21" x14ac:dyDescent="0.3">
      <c r="A589" t="s">
        <v>1389</v>
      </c>
      <c r="B589" t="s">
        <v>555</v>
      </c>
      <c r="C589">
        <f>YEAR(IPL_Matches_2008_2020___New[[#This Row],[Date ]])</f>
        <v>2017</v>
      </c>
      <c r="D589" s="1">
        <v>42843</v>
      </c>
      <c r="E589" t="s">
        <v>152</v>
      </c>
      <c r="F589" t="s">
        <v>557</v>
      </c>
      <c r="G589" t="s">
        <v>551</v>
      </c>
      <c r="H589" t="s">
        <v>21</v>
      </c>
      <c r="I589" t="s">
        <v>551</v>
      </c>
      <c r="J589" t="s">
        <v>23</v>
      </c>
      <c r="K589" t="s">
        <v>21</v>
      </c>
      <c r="L589" t="s">
        <v>24</v>
      </c>
      <c r="M589">
        <v>21</v>
      </c>
      <c r="N589" t="s">
        <v>25</v>
      </c>
      <c r="O589" t="s">
        <v>796</v>
      </c>
      <c r="P589" t="s">
        <v>183</v>
      </c>
      <c r="Q589" t="s">
        <v>552</v>
      </c>
      <c r="R589">
        <v>2017</v>
      </c>
      <c r="S589" t="s">
        <v>797</v>
      </c>
      <c r="T589">
        <f>IF(IPL_Matches_2008_2020___New[[#This Row],[Toss Winner]]=IPL_Matches_2008_2020___New[[#This Row],[Winner]],1,0)</f>
        <v>0</v>
      </c>
      <c r="U589" t="s">
        <v>798</v>
      </c>
    </row>
    <row r="590" spans="1:21" x14ac:dyDescent="0.3">
      <c r="A590" t="s">
        <v>1390</v>
      </c>
      <c r="B590" t="s">
        <v>64</v>
      </c>
      <c r="C590">
        <f>YEAR(IPL_Matches_2008_2020___New[[#This Row],[Date ]])</f>
        <v>2017</v>
      </c>
      <c r="D590" s="1">
        <v>42844</v>
      </c>
      <c r="E590" t="s">
        <v>623</v>
      </c>
      <c r="F590" t="s">
        <v>67</v>
      </c>
      <c r="G590" t="s">
        <v>406</v>
      </c>
      <c r="H590" t="s">
        <v>692</v>
      </c>
      <c r="I590" t="s">
        <v>406</v>
      </c>
      <c r="J590" t="s">
        <v>35</v>
      </c>
      <c r="K590" t="s">
        <v>406</v>
      </c>
      <c r="L590" t="s">
        <v>24</v>
      </c>
      <c r="M590">
        <v>15</v>
      </c>
      <c r="N590" t="s">
        <v>25</v>
      </c>
      <c r="O590" t="s">
        <v>796</v>
      </c>
      <c r="P590" t="s">
        <v>506</v>
      </c>
      <c r="Q590" t="s">
        <v>441</v>
      </c>
      <c r="R590">
        <v>2017</v>
      </c>
      <c r="S590" t="s">
        <v>797</v>
      </c>
      <c r="T590">
        <f>IF(IPL_Matches_2008_2020___New[[#This Row],[Toss Winner]]=IPL_Matches_2008_2020___New[[#This Row],[Winner]],1,0)</f>
        <v>1</v>
      </c>
      <c r="U590" t="s">
        <v>801</v>
      </c>
    </row>
    <row r="591" spans="1:21" x14ac:dyDescent="0.3">
      <c r="A591" t="s">
        <v>1391</v>
      </c>
      <c r="B591" t="s">
        <v>327</v>
      </c>
      <c r="C591">
        <f>YEAR(IPL_Matches_2008_2020___New[[#This Row],[Date ]])</f>
        <v>2017</v>
      </c>
      <c r="D591" s="1">
        <v>42845</v>
      </c>
      <c r="E591" t="s">
        <v>625</v>
      </c>
      <c r="F591" t="s">
        <v>329</v>
      </c>
      <c r="G591" t="s">
        <v>800</v>
      </c>
      <c r="H591" t="s">
        <v>50</v>
      </c>
      <c r="I591" t="s">
        <v>50</v>
      </c>
      <c r="J591" t="s">
        <v>23</v>
      </c>
      <c r="K591" t="s">
        <v>50</v>
      </c>
      <c r="L591" t="s">
        <v>43</v>
      </c>
      <c r="M591">
        <v>8</v>
      </c>
      <c r="N591" t="s">
        <v>25</v>
      </c>
      <c r="O591" t="s">
        <v>796</v>
      </c>
      <c r="P591" t="s">
        <v>155</v>
      </c>
      <c r="Q591" t="s">
        <v>387</v>
      </c>
      <c r="R591">
        <v>2017</v>
      </c>
      <c r="S591" t="s">
        <v>803</v>
      </c>
      <c r="T591">
        <f>IF(IPL_Matches_2008_2020___New[[#This Row],[Toss Winner]]=IPL_Matches_2008_2020___New[[#This Row],[Winner]],1,0)</f>
        <v>1</v>
      </c>
      <c r="U591" t="s">
        <v>801</v>
      </c>
    </row>
    <row r="592" spans="1:21" x14ac:dyDescent="0.3">
      <c r="A592" t="s">
        <v>1392</v>
      </c>
      <c r="B592" t="s">
        <v>53</v>
      </c>
      <c r="C592">
        <f>YEAR(IPL_Matches_2008_2020___New[[#This Row],[Date ]])</f>
        <v>2017</v>
      </c>
      <c r="D592" s="1">
        <v>42846</v>
      </c>
      <c r="E592" t="s">
        <v>133</v>
      </c>
      <c r="F592" t="s">
        <v>55</v>
      </c>
      <c r="G592" t="s">
        <v>22</v>
      </c>
      <c r="H592" t="s">
        <v>551</v>
      </c>
      <c r="I592" t="s">
        <v>551</v>
      </c>
      <c r="J592" t="s">
        <v>23</v>
      </c>
      <c r="K592" t="s">
        <v>551</v>
      </c>
      <c r="L592" t="s">
        <v>43</v>
      </c>
      <c r="M592">
        <v>4</v>
      </c>
      <c r="N592" t="s">
        <v>25</v>
      </c>
      <c r="O592" t="s">
        <v>796</v>
      </c>
      <c r="P592" t="s">
        <v>506</v>
      </c>
      <c r="Q592" t="s">
        <v>554</v>
      </c>
      <c r="R592">
        <v>2017</v>
      </c>
      <c r="S592" t="s">
        <v>803</v>
      </c>
      <c r="T592">
        <f>IF(IPL_Matches_2008_2020___New[[#This Row],[Toss Winner]]=IPL_Matches_2008_2020___New[[#This Row],[Winner]],1,0)</f>
        <v>1</v>
      </c>
      <c r="U592" t="s">
        <v>801</v>
      </c>
    </row>
    <row r="593" spans="1:21" x14ac:dyDescent="0.3">
      <c r="A593" t="s">
        <v>1393</v>
      </c>
      <c r="B593" t="s">
        <v>46</v>
      </c>
      <c r="C593">
        <f>YEAR(IPL_Matches_2008_2020___New[[#This Row],[Date ]])</f>
        <v>2017</v>
      </c>
      <c r="D593" s="1">
        <v>42847</v>
      </c>
      <c r="E593" t="s">
        <v>544</v>
      </c>
      <c r="F593" t="s">
        <v>49</v>
      </c>
      <c r="G593" t="s">
        <v>50</v>
      </c>
      <c r="H593" t="s">
        <v>692</v>
      </c>
      <c r="I593" t="s">
        <v>692</v>
      </c>
      <c r="J593" t="s">
        <v>23</v>
      </c>
      <c r="K593" t="s">
        <v>50</v>
      </c>
      <c r="L593" t="s">
        <v>24</v>
      </c>
      <c r="M593">
        <v>14</v>
      </c>
      <c r="N593" t="s">
        <v>25</v>
      </c>
      <c r="O593" t="s">
        <v>796</v>
      </c>
      <c r="P593" t="s">
        <v>562</v>
      </c>
      <c r="Q593" t="s">
        <v>183</v>
      </c>
      <c r="R593">
        <v>2017</v>
      </c>
      <c r="S593" t="s">
        <v>797</v>
      </c>
      <c r="T593">
        <f>IF(IPL_Matches_2008_2020___New[[#This Row],[Toss Winner]]=IPL_Matches_2008_2020___New[[#This Row],[Winner]],1,0)</f>
        <v>0</v>
      </c>
      <c r="U593" t="s">
        <v>798</v>
      </c>
    </row>
    <row r="594" spans="1:21" x14ac:dyDescent="0.3">
      <c r="A594" t="s">
        <v>1394</v>
      </c>
      <c r="B594" t="s">
        <v>355</v>
      </c>
      <c r="C594">
        <f>YEAR(IPL_Matches_2008_2020___New[[#This Row],[Date ]])</f>
        <v>2017</v>
      </c>
      <c r="D594" s="1">
        <v>42847</v>
      </c>
      <c r="E594" t="s">
        <v>87</v>
      </c>
      <c r="F594" t="s">
        <v>504</v>
      </c>
      <c r="G594" t="s">
        <v>606</v>
      </c>
      <c r="H594" t="s">
        <v>406</v>
      </c>
      <c r="I594" t="s">
        <v>606</v>
      </c>
      <c r="J594" t="s">
        <v>23</v>
      </c>
      <c r="K594" t="s">
        <v>606</v>
      </c>
      <c r="L594" t="s">
        <v>43</v>
      </c>
      <c r="M594">
        <v>6</v>
      </c>
      <c r="N594" t="s">
        <v>25</v>
      </c>
      <c r="O594" t="s">
        <v>796</v>
      </c>
      <c r="P594" t="s">
        <v>576</v>
      </c>
      <c r="Q594" t="s">
        <v>610</v>
      </c>
      <c r="R594">
        <v>2017</v>
      </c>
      <c r="S594" t="s">
        <v>803</v>
      </c>
      <c r="T594">
        <f>IF(IPL_Matches_2008_2020___New[[#This Row],[Toss Winner]]=IPL_Matches_2008_2020___New[[#This Row],[Winner]],1,0)</f>
        <v>1</v>
      </c>
      <c r="U594" t="s">
        <v>801</v>
      </c>
    </row>
    <row r="595" spans="1:21" x14ac:dyDescent="0.3">
      <c r="A595" t="s">
        <v>1395</v>
      </c>
      <c r="B595" t="s">
        <v>555</v>
      </c>
      <c r="C595">
        <f>YEAR(IPL_Matches_2008_2020___New[[#This Row],[Date ]])</f>
        <v>2017</v>
      </c>
      <c r="D595" s="1">
        <v>42848</v>
      </c>
      <c r="E595" t="s">
        <v>591</v>
      </c>
      <c r="F595" t="s">
        <v>557</v>
      </c>
      <c r="G595" t="s">
        <v>551</v>
      </c>
      <c r="H595" t="s">
        <v>800</v>
      </c>
      <c r="I595" t="s">
        <v>551</v>
      </c>
      <c r="J595" t="s">
        <v>23</v>
      </c>
      <c r="K595" t="s">
        <v>800</v>
      </c>
      <c r="L595" t="s">
        <v>24</v>
      </c>
      <c r="M595">
        <v>26</v>
      </c>
      <c r="N595" t="s">
        <v>25</v>
      </c>
      <c r="O595" t="s">
        <v>796</v>
      </c>
      <c r="P595" t="s">
        <v>349</v>
      </c>
      <c r="Q595" t="s">
        <v>155</v>
      </c>
      <c r="R595">
        <v>2017</v>
      </c>
      <c r="S595" t="s">
        <v>797</v>
      </c>
      <c r="T595">
        <f>IF(IPL_Matches_2008_2020___New[[#This Row],[Toss Winner]]=IPL_Matches_2008_2020___New[[#This Row],[Winner]],1,0)</f>
        <v>0</v>
      </c>
      <c r="U595" t="s">
        <v>798</v>
      </c>
    </row>
    <row r="596" spans="1:21" x14ac:dyDescent="0.3">
      <c r="A596" t="s">
        <v>1396</v>
      </c>
      <c r="B596" t="s">
        <v>53</v>
      </c>
      <c r="C596">
        <f>YEAR(IPL_Matches_2008_2020___New[[#This Row],[Date ]])</f>
        <v>2017</v>
      </c>
      <c r="D596" s="1">
        <v>42848</v>
      </c>
      <c r="E596" t="s">
        <v>534</v>
      </c>
      <c r="F596" t="s">
        <v>55</v>
      </c>
      <c r="G596" t="s">
        <v>22</v>
      </c>
      <c r="H596" t="s">
        <v>21</v>
      </c>
      <c r="I596" t="s">
        <v>21</v>
      </c>
      <c r="J596" t="s">
        <v>23</v>
      </c>
      <c r="K596" t="s">
        <v>22</v>
      </c>
      <c r="L596" t="s">
        <v>24</v>
      </c>
      <c r="M596">
        <v>82</v>
      </c>
      <c r="N596" t="s">
        <v>25</v>
      </c>
      <c r="O596" t="s">
        <v>796</v>
      </c>
      <c r="P596" t="s">
        <v>506</v>
      </c>
      <c r="Q596" t="s">
        <v>418</v>
      </c>
      <c r="R596">
        <v>2017</v>
      </c>
      <c r="S596" t="s">
        <v>797</v>
      </c>
      <c r="T596">
        <f>IF(IPL_Matches_2008_2020___New[[#This Row],[Toss Winner]]=IPL_Matches_2008_2020___New[[#This Row],[Winner]],1,0)</f>
        <v>0</v>
      </c>
      <c r="U596" t="s">
        <v>798</v>
      </c>
    </row>
    <row r="597" spans="1:21" x14ac:dyDescent="0.3">
      <c r="A597" t="s">
        <v>1397</v>
      </c>
      <c r="B597" t="s">
        <v>46</v>
      </c>
      <c r="C597">
        <f>YEAR(IPL_Matches_2008_2020___New[[#This Row],[Date ]])</f>
        <v>2017</v>
      </c>
      <c r="D597" s="1">
        <v>42849</v>
      </c>
      <c r="E597" t="s">
        <v>619</v>
      </c>
      <c r="F597" t="s">
        <v>49</v>
      </c>
      <c r="G597" t="s">
        <v>50</v>
      </c>
      <c r="H597" t="s">
        <v>606</v>
      </c>
      <c r="I597" t="s">
        <v>50</v>
      </c>
      <c r="J597" t="s">
        <v>23</v>
      </c>
      <c r="K597" t="s">
        <v>606</v>
      </c>
      <c r="L597" t="s">
        <v>24</v>
      </c>
      <c r="M597">
        <v>3</v>
      </c>
      <c r="N597" t="s">
        <v>25</v>
      </c>
      <c r="O597" t="s">
        <v>796</v>
      </c>
      <c r="P597" t="s">
        <v>562</v>
      </c>
      <c r="Q597" t="s">
        <v>183</v>
      </c>
      <c r="R597">
        <v>2017</v>
      </c>
      <c r="S597" t="s">
        <v>797</v>
      </c>
      <c r="T597">
        <f>IF(IPL_Matches_2008_2020___New[[#This Row],[Toss Winner]]=IPL_Matches_2008_2020___New[[#This Row],[Winner]],1,0)</f>
        <v>0</v>
      </c>
      <c r="U597" t="s">
        <v>798</v>
      </c>
    </row>
    <row r="598" spans="1:21" x14ac:dyDescent="0.3">
      <c r="A598" t="s">
        <v>1398</v>
      </c>
      <c r="B598" t="s">
        <v>355</v>
      </c>
      <c r="C598">
        <f>YEAR(IPL_Matches_2008_2020___New[[#This Row],[Date ]])</f>
        <v>2017</v>
      </c>
      <c r="D598" s="1">
        <v>42851</v>
      </c>
      <c r="E598" t="s">
        <v>241</v>
      </c>
      <c r="F598" t="s">
        <v>504</v>
      </c>
      <c r="G598" t="s">
        <v>606</v>
      </c>
      <c r="H598" t="s">
        <v>22</v>
      </c>
      <c r="I598" t="s">
        <v>22</v>
      </c>
      <c r="J598" t="s">
        <v>23</v>
      </c>
      <c r="K598" t="s">
        <v>22</v>
      </c>
      <c r="L598" t="s">
        <v>43</v>
      </c>
      <c r="M598">
        <v>7</v>
      </c>
      <c r="N598" t="s">
        <v>25</v>
      </c>
      <c r="O598" t="s">
        <v>796</v>
      </c>
      <c r="P598" t="s">
        <v>576</v>
      </c>
      <c r="Q598" t="s">
        <v>441</v>
      </c>
      <c r="R598">
        <v>2017</v>
      </c>
      <c r="S598" t="s">
        <v>803</v>
      </c>
      <c r="T598">
        <f>IF(IPL_Matches_2008_2020___New[[#This Row],[Toss Winner]]=IPL_Matches_2008_2020___New[[#This Row],[Winner]],1,0)</f>
        <v>1</v>
      </c>
      <c r="U598" t="s">
        <v>801</v>
      </c>
    </row>
    <row r="599" spans="1:21" x14ac:dyDescent="0.3">
      <c r="A599" t="s">
        <v>1399</v>
      </c>
      <c r="B599" t="s">
        <v>17</v>
      </c>
      <c r="C599">
        <f>YEAR(IPL_Matches_2008_2020___New[[#This Row],[Date ]])</f>
        <v>2017</v>
      </c>
      <c r="D599" s="1">
        <v>42852</v>
      </c>
      <c r="E599" t="s">
        <v>615</v>
      </c>
      <c r="F599" t="s">
        <v>795</v>
      </c>
      <c r="G599" t="s">
        <v>21</v>
      </c>
      <c r="H599" t="s">
        <v>551</v>
      </c>
      <c r="I599" t="s">
        <v>551</v>
      </c>
      <c r="J599" t="s">
        <v>23</v>
      </c>
      <c r="K599" t="s">
        <v>551</v>
      </c>
      <c r="L599" t="s">
        <v>43</v>
      </c>
      <c r="M599">
        <v>7</v>
      </c>
      <c r="N599" t="s">
        <v>25</v>
      </c>
      <c r="O599" t="s">
        <v>796</v>
      </c>
      <c r="P599" t="s">
        <v>349</v>
      </c>
      <c r="Q599" t="s">
        <v>387</v>
      </c>
      <c r="R599">
        <v>2017</v>
      </c>
      <c r="S599" t="s">
        <v>803</v>
      </c>
      <c r="T599">
        <f>IF(IPL_Matches_2008_2020___New[[#This Row],[Toss Winner]]=IPL_Matches_2008_2020___New[[#This Row],[Winner]],1,0)</f>
        <v>1</v>
      </c>
      <c r="U599" t="s">
        <v>801</v>
      </c>
    </row>
    <row r="600" spans="1:21" x14ac:dyDescent="0.3">
      <c r="A600" t="s">
        <v>1400</v>
      </c>
      <c r="B600" t="s">
        <v>53</v>
      </c>
      <c r="C600">
        <f>YEAR(IPL_Matches_2008_2020___New[[#This Row],[Date ]])</f>
        <v>2017</v>
      </c>
      <c r="D600" s="1">
        <v>42853</v>
      </c>
      <c r="E600" t="s">
        <v>189</v>
      </c>
      <c r="F600" t="s">
        <v>55</v>
      </c>
      <c r="G600" t="s">
        <v>22</v>
      </c>
      <c r="H600" t="s">
        <v>692</v>
      </c>
      <c r="I600" t="s">
        <v>22</v>
      </c>
      <c r="J600" t="s">
        <v>23</v>
      </c>
      <c r="K600" t="s">
        <v>22</v>
      </c>
      <c r="L600" t="s">
        <v>43</v>
      </c>
      <c r="M600">
        <v>7</v>
      </c>
      <c r="N600" t="s">
        <v>25</v>
      </c>
      <c r="O600" t="s">
        <v>796</v>
      </c>
      <c r="P600" t="s">
        <v>441</v>
      </c>
      <c r="Q600" t="s">
        <v>183</v>
      </c>
      <c r="R600">
        <v>2017</v>
      </c>
      <c r="S600" t="s">
        <v>803</v>
      </c>
      <c r="T600">
        <f>IF(IPL_Matches_2008_2020___New[[#This Row],[Toss Winner]]=IPL_Matches_2008_2020___New[[#This Row],[Winner]],1,0)</f>
        <v>1</v>
      </c>
      <c r="U600" t="s">
        <v>801</v>
      </c>
    </row>
    <row r="601" spans="1:21" x14ac:dyDescent="0.3">
      <c r="A601" t="s">
        <v>1401</v>
      </c>
      <c r="B601" t="s">
        <v>29</v>
      </c>
      <c r="C601">
        <f>YEAR(IPL_Matches_2008_2020___New[[#This Row],[Date ]])</f>
        <v>2017</v>
      </c>
      <c r="D601" s="1">
        <v>42853</v>
      </c>
      <c r="E601" t="s">
        <v>609</v>
      </c>
      <c r="F601" t="s">
        <v>32</v>
      </c>
      <c r="G601" t="s">
        <v>800</v>
      </c>
      <c r="H601" t="s">
        <v>406</v>
      </c>
      <c r="I601" t="s">
        <v>800</v>
      </c>
      <c r="J601" t="s">
        <v>23</v>
      </c>
      <c r="K601" t="s">
        <v>406</v>
      </c>
      <c r="L601" t="s">
        <v>24</v>
      </c>
      <c r="M601">
        <v>26</v>
      </c>
      <c r="N601" t="s">
        <v>25</v>
      </c>
      <c r="O601" t="s">
        <v>796</v>
      </c>
      <c r="P601" t="s">
        <v>554</v>
      </c>
      <c r="Q601" t="s">
        <v>418</v>
      </c>
      <c r="R601">
        <v>2017</v>
      </c>
      <c r="S601" t="s">
        <v>797</v>
      </c>
      <c r="T601">
        <f>IF(IPL_Matches_2008_2020___New[[#This Row],[Toss Winner]]=IPL_Matches_2008_2020___New[[#This Row],[Winner]],1,0)</f>
        <v>0</v>
      </c>
      <c r="U601" t="s">
        <v>798</v>
      </c>
    </row>
    <row r="602" spans="1:21" x14ac:dyDescent="0.3">
      <c r="A602" t="s">
        <v>1402</v>
      </c>
      <c r="B602" t="s">
        <v>355</v>
      </c>
      <c r="C602">
        <f>YEAR(IPL_Matches_2008_2020___New[[#This Row],[Date ]])</f>
        <v>2017</v>
      </c>
      <c r="D602" s="1">
        <v>42854</v>
      </c>
      <c r="E602" t="s">
        <v>634</v>
      </c>
      <c r="F602" t="s">
        <v>504</v>
      </c>
      <c r="G602" t="s">
        <v>606</v>
      </c>
      <c r="H602" t="s">
        <v>21</v>
      </c>
      <c r="I602" t="s">
        <v>21</v>
      </c>
      <c r="J602" t="s">
        <v>23</v>
      </c>
      <c r="K602" t="s">
        <v>606</v>
      </c>
      <c r="L602" t="s">
        <v>24</v>
      </c>
      <c r="M602">
        <v>61</v>
      </c>
      <c r="N602" t="s">
        <v>25</v>
      </c>
      <c r="O602" t="s">
        <v>796</v>
      </c>
      <c r="P602" t="s">
        <v>583</v>
      </c>
      <c r="Q602" t="s">
        <v>155</v>
      </c>
      <c r="R602">
        <v>2017</v>
      </c>
      <c r="S602" t="s">
        <v>797</v>
      </c>
      <c r="T602">
        <f>IF(IPL_Matches_2008_2020___New[[#This Row],[Toss Winner]]=IPL_Matches_2008_2020___New[[#This Row],[Winner]],1,0)</f>
        <v>0</v>
      </c>
      <c r="U602" t="s">
        <v>798</v>
      </c>
    </row>
    <row r="603" spans="1:21" x14ac:dyDescent="0.3">
      <c r="A603" t="s">
        <v>1403</v>
      </c>
      <c r="B603" t="s">
        <v>29</v>
      </c>
      <c r="C603">
        <f>YEAR(IPL_Matches_2008_2020___New[[#This Row],[Date ]])</f>
        <v>2017</v>
      </c>
      <c r="D603" s="1">
        <v>42855</v>
      </c>
      <c r="E603" t="s">
        <v>478</v>
      </c>
      <c r="F603" t="s">
        <v>32</v>
      </c>
      <c r="G603" t="s">
        <v>800</v>
      </c>
      <c r="H603" t="s">
        <v>692</v>
      </c>
      <c r="I603" t="s">
        <v>800</v>
      </c>
      <c r="J603" t="s">
        <v>23</v>
      </c>
      <c r="K603" t="s">
        <v>800</v>
      </c>
      <c r="L603" t="s">
        <v>43</v>
      </c>
      <c r="M603">
        <v>10</v>
      </c>
      <c r="N603" t="s">
        <v>25</v>
      </c>
      <c r="O603" t="s">
        <v>796</v>
      </c>
      <c r="P603" t="s">
        <v>617</v>
      </c>
      <c r="Q603" t="s">
        <v>418</v>
      </c>
      <c r="R603">
        <v>2017</v>
      </c>
      <c r="S603" t="s">
        <v>803</v>
      </c>
      <c r="T603">
        <f>IF(IPL_Matches_2008_2020___New[[#This Row],[Toss Winner]]=IPL_Matches_2008_2020___New[[#This Row],[Winner]],1,0)</f>
        <v>1</v>
      </c>
      <c r="U603" t="s">
        <v>801</v>
      </c>
    </row>
    <row r="604" spans="1:21" x14ac:dyDescent="0.3">
      <c r="A604" t="s">
        <v>1404</v>
      </c>
      <c r="B604" t="s">
        <v>64</v>
      </c>
      <c r="C604">
        <f>YEAR(IPL_Matches_2008_2020___New[[#This Row],[Date ]])</f>
        <v>2017</v>
      </c>
      <c r="D604" s="1">
        <v>42855</v>
      </c>
      <c r="E604" t="s">
        <v>251</v>
      </c>
      <c r="F604" t="s">
        <v>67</v>
      </c>
      <c r="G604" t="s">
        <v>406</v>
      </c>
      <c r="H604" t="s">
        <v>22</v>
      </c>
      <c r="I604" t="s">
        <v>22</v>
      </c>
      <c r="J604" t="s">
        <v>23</v>
      </c>
      <c r="K604" t="s">
        <v>406</v>
      </c>
      <c r="L604" t="s">
        <v>24</v>
      </c>
      <c r="M604">
        <v>48</v>
      </c>
      <c r="N604" t="s">
        <v>25</v>
      </c>
      <c r="O604" t="s">
        <v>796</v>
      </c>
      <c r="P604" t="s">
        <v>576</v>
      </c>
      <c r="Q604" t="s">
        <v>183</v>
      </c>
      <c r="R604">
        <v>2017</v>
      </c>
      <c r="S604" t="s">
        <v>797</v>
      </c>
      <c r="T604">
        <f>IF(IPL_Matches_2008_2020___New[[#This Row],[Toss Winner]]=IPL_Matches_2008_2020___New[[#This Row],[Winner]],1,0)</f>
        <v>0</v>
      </c>
      <c r="U604" t="s">
        <v>798</v>
      </c>
    </row>
    <row r="605" spans="1:21" x14ac:dyDescent="0.3">
      <c r="A605" t="s">
        <v>1405</v>
      </c>
      <c r="B605" t="s">
        <v>46</v>
      </c>
      <c r="C605">
        <f>YEAR(IPL_Matches_2008_2020___New[[#This Row],[Date ]])</f>
        <v>2017</v>
      </c>
      <c r="D605" s="1">
        <v>42856</v>
      </c>
      <c r="E605" t="s">
        <v>190</v>
      </c>
      <c r="F605" t="s">
        <v>49</v>
      </c>
      <c r="G605" t="s">
        <v>50</v>
      </c>
      <c r="H605" t="s">
        <v>21</v>
      </c>
      <c r="I605" t="s">
        <v>21</v>
      </c>
      <c r="J605" t="s">
        <v>35</v>
      </c>
      <c r="K605" t="s">
        <v>50</v>
      </c>
      <c r="L605" t="s">
        <v>43</v>
      </c>
      <c r="M605">
        <v>5</v>
      </c>
      <c r="N605" t="s">
        <v>25</v>
      </c>
      <c r="O605" t="s">
        <v>796</v>
      </c>
      <c r="P605" t="s">
        <v>349</v>
      </c>
      <c r="Q605" t="s">
        <v>506</v>
      </c>
      <c r="R605">
        <v>2017</v>
      </c>
      <c r="S605" t="s">
        <v>803</v>
      </c>
      <c r="T605">
        <f>IF(IPL_Matches_2008_2020___New[[#This Row],[Toss Winner]]=IPL_Matches_2008_2020___New[[#This Row],[Winner]],1,0)</f>
        <v>0</v>
      </c>
      <c r="U605" t="s">
        <v>798</v>
      </c>
    </row>
    <row r="606" spans="1:21" x14ac:dyDescent="0.3">
      <c r="A606" t="s">
        <v>1406</v>
      </c>
      <c r="B606" t="s">
        <v>355</v>
      </c>
      <c r="C606">
        <f>YEAR(IPL_Matches_2008_2020___New[[#This Row],[Date ]])</f>
        <v>2017</v>
      </c>
      <c r="D606" s="1">
        <v>42856</v>
      </c>
      <c r="E606" t="s">
        <v>619</v>
      </c>
      <c r="F606" t="s">
        <v>504</v>
      </c>
      <c r="G606" t="s">
        <v>606</v>
      </c>
      <c r="H606" t="s">
        <v>551</v>
      </c>
      <c r="I606" t="s">
        <v>606</v>
      </c>
      <c r="J606" t="s">
        <v>23</v>
      </c>
      <c r="K606" t="s">
        <v>606</v>
      </c>
      <c r="L606" t="s">
        <v>43</v>
      </c>
      <c r="M606">
        <v>5</v>
      </c>
      <c r="N606" t="s">
        <v>25</v>
      </c>
      <c r="O606" t="s">
        <v>796</v>
      </c>
      <c r="P606" t="s">
        <v>155</v>
      </c>
      <c r="Q606" t="s">
        <v>387</v>
      </c>
      <c r="R606">
        <v>2017</v>
      </c>
      <c r="S606" t="s">
        <v>803</v>
      </c>
      <c r="T606">
        <f>IF(IPL_Matches_2008_2020___New[[#This Row],[Toss Winner]]=IPL_Matches_2008_2020___New[[#This Row],[Winner]],1,0)</f>
        <v>1</v>
      </c>
      <c r="U606" t="s">
        <v>801</v>
      </c>
    </row>
    <row r="607" spans="1:21" x14ac:dyDescent="0.3">
      <c r="A607" t="s">
        <v>1407</v>
      </c>
      <c r="B607" t="s">
        <v>38</v>
      </c>
      <c r="C607">
        <f>YEAR(IPL_Matches_2008_2020___New[[#This Row],[Date ]])</f>
        <v>2017</v>
      </c>
      <c r="D607" s="1">
        <v>42857</v>
      </c>
      <c r="E607" t="s">
        <v>636</v>
      </c>
      <c r="F607" t="s">
        <v>40</v>
      </c>
      <c r="G607" t="s">
        <v>692</v>
      </c>
      <c r="H607" t="s">
        <v>406</v>
      </c>
      <c r="I607" t="s">
        <v>692</v>
      </c>
      <c r="J607" t="s">
        <v>23</v>
      </c>
      <c r="K607" t="s">
        <v>692</v>
      </c>
      <c r="L607" t="s">
        <v>43</v>
      </c>
      <c r="M607">
        <v>6</v>
      </c>
      <c r="N607" t="s">
        <v>25</v>
      </c>
      <c r="O607" t="s">
        <v>796</v>
      </c>
      <c r="P607" t="s">
        <v>617</v>
      </c>
      <c r="Q607" t="s">
        <v>554</v>
      </c>
      <c r="R607">
        <v>2017</v>
      </c>
      <c r="S607" t="s">
        <v>803</v>
      </c>
      <c r="T607">
        <f>IF(IPL_Matches_2008_2020___New[[#This Row],[Toss Winner]]=IPL_Matches_2008_2020___New[[#This Row],[Winner]],1,0)</f>
        <v>1</v>
      </c>
      <c r="U607" t="s">
        <v>801</v>
      </c>
    </row>
    <row r="608" spans="1:21" x14ac:dyDescent="0.3">
      <c r="A608" t="s">
        <v>1408</v>
      </c>
      <c r="B608" t="s">
        <v>53</v>
      </c>
      <c r="C608">
        <f>YEAR(IPL_Matches_2008_2020___New[[#This Row],[Date ]])</f>
        <v>2017</v>
      </c>
      <c r="D608" s="1">
        <v>42858</v>
      </c>
      <c r="E608" t="s">
        <v>637</v>
      </c>
      <c r="F608" t="s">
        <v>55</v>
      </c>
      <c r="G608" t="s">
        <v>22</v>
      </c>
      <c r="H608" t="s">
        <v>606</v>
      </c>
      <c r="I608" t="s">
        <v>606</v>
      </c>
      <c r="J608" t="s">
        <v>23</v>
      </c>
      <c r="K608" t="s">
        <v>606</v>
      </c>
      <c r="L608" t="s">
        <v>43</v>
      </c>
      <c r="M608">
        <v>4</v>
      </c>
      <c r="N608" t="s">
        <v>25</v>
      </c>
      <c r="O608" t="s">
        <v>796</v>
      </c>
      <c r="P608" t="s">
        <v>583</v>
      </c>
      <c r="Q608" t="s">
        <v>562</v>
      </c>
      <c r="R608">
        <v>2017</v>
      </c>
      <c r="S608" t="s">
        <v>803</v>
      </c>
      <c r="T608">
        <f>IF(IPL_Matches_2008_2020___New[[#This Row],[Toss Winner]]=IPL_Matches_2008_2020___New[[#This Row],[Winner]],1,0)</f>
        <v>1</v>
      </c>
      <c r="U608" t="s">
        <v>801</v>
      </c>
    </row>
    <row r="609" spans="1:21" x14ac:dyDescent="0.3">
      <c r="A609" t="s">
        <v>1409</v>
      </c>
      <c r="B609" t="s">
        <v>38</v>
      </c>
      <c r="C609">
        <f>YEAR(IPL_Matches_2008_2020___New[[#This Row],[Date ]])</f>
        <v>2017</v>
      </c>
      <c r="D609" s="1">
        <v>42859</v>
      </c>
      <c r="E609" t="s">
        <v>584</v>
      </c>
      <c r="F609" t="s">
        <v>40</v>
      </c>
      <c r="G609" t="s">
        <v>692</v>
      </c>
      <c r="H609" t="s">
        <v>551</v>
      </c>
      <c r="I609" t="s">
        <v>692</v>
      </c>
      <c r="J609" t="s">
        <v>23</v>
      </c>
      <c r="K609" t="s">
        <v>692</v>
      </c>
      <c r="L609" t="s">
        <v>43</v>
      </c>
      <c r="M609">
        <v>7</v>
      </c>
      <c r="N609" t="s">
        <v>25</v>
      </c>
      <c r="O609" t="s">
        <v>796</v>
      </c>
      <c r="P609" t="s">
        <v>155</v>
      </c>
      <c r="Q609" t="s">
        <v>554</v>
      </c>
      <c r="R609">
        <v>2017</v>
      </c>
      <c r="S609" t="s">
        <v>803</v>
      </c>
      <c r="T609">
        <f>IF(IPL_Matches_2008_2020___New[[#This Row],[Toss Winner]]=IPL_Matches_2008_2020___New[[#This Row],[Winner]],1,0)</f>
        <v>1</v>
      </c>
      <c r="U609" t="s">
        <v>801</v>
      </c>
    </row>
    <row r="610" spans="1:21" x14ac:dyDescent="0.3">
      <c r="A610" t="s">
        <v>1410</v>
      </c>
      <c r="B610" t="s">
        <v>17</v>
      </c>
      <c r="C610">
        <f>YEAR(IPL_Matches_2008_2020___New[[#This Row],[Date ]])</f>
        <v>2017</v>
      </c>
      <c r="D610" s="1">
        <v>42860</v>
      </c>
      <c r="E610" t="s">
        <v>478</v>
      </c>
      <c r="F610" t="s">
        <v>795</v>
      </c>
      <c r="G610" t="s">
        <v>21</v>
      </c>
      <c r="H610" t="s">
        <v>800</v>
      </c>
      <c r="I610" t="s">
        <v>21</v>
      </c>
      <c r="J610" t="s">
        <v>23</v>
      </c>
      <c r="K610" t="s">
        <v>800</v>
      </c>
      <c r="L610" t="s">
        <v>24</v>
      </c>
      <c r="M610">
        <v>19</v>
      </c>
      <c r="N610" t="s">
        <v>25</v>
      </c>
      <c r="O610" t="s">
        <v>796</v>
      </c>
      <c r="P610" t="s">
        <v>506</v>
      </c>
      <c r="Q610" t="s">
        <v>387</v>
      </c>
      <c r="R610">
        <v>2017</v>
      </c>
      <c r="S610" t="s">
        <v>797</v>
      </c>
      <c r="T610">
        <f>IF(IPL_Matches_2008_2020___New[[#This Row],[Toss Winner]]=IPL_Matches_2008_2020___New[[#This Row],[Winner]],1,0)</f>
        <v>0</v>
      </c>
      <c r="U610" t="s">
        <v>798</v>
      </c>
    </row>
    <row r="611" spans="1:21" x14ac:dyDescent="0.3">
      <c r="A611" t="s">
        <v>1411</v>
      </c>
      <c r="B611" t="s">
        <v>64</v>
      </c>
      <c r="C611">
        <f>YEAR(IPL_Matches_2008_2020___New[[#This Row],[Date ]])</f>
        <v>2017</v>
      </c>
      <c r="D611" s="1">
        <v>42861</v>
      </c>
      <c r="E611" t="s">
        <v>276</v>
      </c>
      <c r="F611" t="s">
        <v>67</v>
      </c>
      <c r="G611" t="s">
        <v>406</v>
      </c>
      <c r="H611" t="s">
        <v>606</v>
      </c>
      <c r="I611" t="s">
        <v>406</v>
      </c>
      <c r="J611" t="s">
        <v>23</v>
      </c>
      <c r="K611" t="s">
        <v>606</v>
      </c>
      <c r="L611" t="s">
        <v>24</v>
      </c>
      <c r="M611">
        <v>12</v>
      </c>
      <c r="N611" t="s">
        <v>25</v>
      </c>
      <c r="O611" t="s">
        <v>796</v>
      </c>
      <c r="P611" t="s">
        <v>583</v>
      </c>
      <c r="Q611" t="s">
        <v>349</v>
      </c>
      <c r="R611">
        <v>2017</v>
      </c>
      <c r="S611" t="s">
        <v>797</v>
      </c>
      <c r="T611">
        <f>IF(IPL_Matches_2008_2020___New[[#This Row],[Toss Winner]]=IPL_Matches_2008_2020___New[[#This Row],[Winner]],1,0)</f>
        <v>0</v>
      </c>
      <c r="U611" t="s">
        <v>798</v>
      </c>
    </row>
    <row r="612" spans="1:21" x14ac:dyDescent="0.3">
      <c r="A612" t="s">
        <v>1412</v>
      </c>
      <c r="B612" t="s">
        <v>38</v>
      </c>
      <c r="C612">
        <f>YEAR(IPL_Matches_2008_2020___New[[#This Row],[Date ]])</f>
        <v>2017</v>
      </c>
      <c r="D612" s="1">
        <v>42861</v>
      </c>
      <c r="E612" t="s">
        <v>496</v>
      </c>
      <c r="F612" t="s">
        <v>40</v>
      </c>
      <c r="G612" t="s">
        <v>692</v>
      </c>
      <c r="H612" t="s">
        <v>50</v>
      </c>
      <c r="I612" t="s">
        <v>692</v>
      </c>
      <c r="J612" t="s">
        <v>23</v>
      </c>
      <c r="K612" t="s">
        <v>50</v>
      </c>
      <c r="L612" t="s">
        <v>24</v>
      </c>
      <c r="M612">
        <v>146</v>
      </c>
      <c r="N612" t="s">
        <v>25</v>
      </c>
      <c r="O612" t="s">
        <v>796</v>
      </c>
      <c r="P612" t="s">
        <v>554</v>
      </c>
      <c r="Q612" t="s">
        <v>418</v>
      </c>
      <c r="R612">
        <v>2017</v>
      </c>
      <c r="S612" t="s">
        <v>797</v>
      </c>
      <c r="T612">
        <f>IF(IPL_Matches_2008_2020___New[[#This Row],[Toss Winner]]=IPL_Matches_2008_2020___New[[#This Row],[Winner]],1,0)</f>
        <v>0</v>
      </c>
      <c r="U612" t="s">
        <v>798</v>
      </c>
    </row>
    <row r="613" spans="1:21" x14ac:dyDescent="0.3">
      <c r="A613" t="s">
        <v>1413</v>
      </c>
      <c r="B613" t="s">
        <v>17</v>
      </c>
      <c r="C613">
        <f>YEAR(IPL_Matches_2008_2020___New[[#This Row],[Date ]])</f>
        <v>2017</v>
      </c>
      <c r="D613" s="1">
        <v>42862</v>
      </c>
      <c r="E613" t="s">
        <v>368</v>
      </c>
      <c r="F613" t="s">
        <v>795</v>
      </c>
      <c r="G613" t="s">
        <v>21</v>
      </c>
      <c r="H613" t="s">
        <v>22</v>
      </c>
      <c r="I613" t="s">
        <v>22</v>
      </c>
      <c r="J613" t="s">
        <v>23</v>
      </c>
      <c r="K613" t="s">
        <v>22</v>
      </c>
      <c r="L613" t="s">
        <v>43</v>
      </c>
      <c r="M613">
        <v>6</v>
      </c>
      <c r="N613" t="s">
        <v>25</v>
      </c>
      <c r="O613" t="s">
        <v>796</v>
      </c>
      <c r="P613" t="s">
        <v>576</v>
      </c>
      <c r="Q613" t="s">
        <v>387</v>
      </c>
      <c r="R613">
        <v>2017</v>
      </c>
      <c r="S613" t="s">
        <v>803</v>
      </c>
      <c r="T613">
        <f>IF(IPL_Matches_2008_2020___New[[#This Row],[Toss Winner]]=IPL_Matches_2008_2020___New[[#This Row],[Winner]],1,0)</f>
        <v>1</v>
      </c>
      <c r="U613" t="s">
        <v>801</v>
      </c>
    </row>
    <row r="614" spans="1:21" x14ac:dyDescent="0.3">
      <c r="A614" t="s">
        <v>1414</v>
      </c>
      <c r="B614" t="s">
        <v>29</v>
      </c>
      <c r="C614">
        <f>YEAR(IPL_Matches_2008_2020___New[[#This Row],[Date ]])</f>
        <v>2017</v>
      </c>
      <c r="D614" s="1">
        <v>42862</v>
      </c>
      <c r="E614" t="s">
        <v>195</v>
      </c>
      <c r="F614" t="s">
        <v>32</v>
      </c>
      <c r="G614" t="s">
        <v>800</v>
      </c>
      <c r="H614" t="s">
        <v>551</v>
      </c>
      <c r="I614" t="s">
        <v>551</v>
      </c>
      <c r="J614" t="s">
        <v>23</v>
      </c>
      <c r="K614" t="s">
        <v>551</v>
      </c>
      <c r="L614" t="s">
        <v>43</v>
      </c>
      <c r="M614">
        <v>6</v>
      </c>
      <c r="N614" t="s">
        <v>25</v>
      </c>
      <c r="O614" t="s">
        <v>796</v>
      </c>
      <c r="P614" t="s">
        <v>562</v>
      </c>
      <c r="Q614" t="s">
        <v>552</v>
      </c>
      <c r="R614">
        <v>2017</v>
      </c>
      <c r="S614" t="s">
        <v>803</v>
      </c>
      <c r="T614">
        <f>IF(IPL_Matches_2008_2020___New[[#This Row],[Toss Winner]]=IPL_Matches_2008_2020___New[[#This Row],[Winner]],1,0)</f>
        <v>1</v>
      </c>
      <c r="U614" t="s">
        <v>801</v>
      </c>
    </row>
    <row r="615" spans="1:21" x14ac:dyDescent="0.3">
      <c r="A615" t="s">
        <v>1415</v>
      </c>
      <c r="B615" t="s">
        <v>64</v>
      </c>
      <c r="C615">
        <f>YEAR(IPL_Matches_2008_2020___New[[#This Row],[Date ]])</f>
        <v>2017</v>
      </c>
      <c r="D615" s="1">
        <v>42863</v>
      </c>
      <c r="E615" t="s">
        <v>339</v>
      </c>
      <c r="F615" t="s">
        <v>67</v>
      </c>
      <c r="G615" t="s">
        <v>406</v>
      </c>
      <c r="H615" t="s">
        <v>50</v>
      </c>
      <c r="I615" t="s">
        <v>50</v>
      </c>
      <c r="J615" t="s">
        <v>35</v>
      </c>
      <c r="K615" t="s">
        <v>406</v>
      </c>
      <c r="L615" t="s">
        <v>43</v>
      </c>
      <c r="M615">
        <v>7</v>
      </c>
      <c r="N615" t="s">
        <v>25</v>
      </c>
      <c r="O615" t="s">
        <v>796</v>
      </c>
      <c r="P615" t="s">
        <v>583</v>
      </c>
      <c r="Q615" t="s">
        <v>155</v>
      </c>
      <c r="R615">
        <v>2017</v>
      </c>
      <c r="S615" t="s">
        <v>803</v>
      </c>
      <c r="T615">
        <f>IF(IPL_Matches_2008_2020___New[[#This Row],[Toss Winner]]=IPL_Matches_2008_2020___New[[#This Row],[Winner]],1,0)</f>
        <v>0</v>
      </c>
      <c r="U615" t="s">
        <v>798</v>
      </c>
    </row>
    <row r="616" spans="1:21" x14ac:dyDescent="0.3">
      <c r="A616" t="s">
        <v>1416</v>
      </c>
      <c r="B616" t="s">
        <v>29</v>
      </c>
      <c r="C616">
        <f>YEAR(IPL_Matches_2008_2020___New[[#This Row],[Date ]])</f>
        <v>2017</v>
      </c>
      <c r="D616" s="1">
        <v>42864</v>
      </c>
      <c r="E616" t="s">
        <v>475</v>
      </c>
      <c r="F616" t="s">
        <v>32</v>
      </c>
      <c r="G616" t="s">
        <v>800</v>
      </c>
      <c r="H616" t="s">
        <v>22</v>
      </c>
      <c r="I616" t="s">
        <v>22</v>
      </c>
      <c r="J616" t="s">
        <v>23</v>
      </c>
      <c r="K616" t="s">
        <v>800</v>
      </c>
      <c r="L616" t="s">
        <v>24</v>
      </c>
      <c r="M616">
        <v>14</v>
      </c>
      <c r="N616" t="s">
        <v>25</v>
      </c>
      <c r="O616" t="s">
        <v>796</v>
      </c>
      <c r="P616" t="s">
        <v>562</v>
      </c>
      <c r="Q616" t="s">
        <v>183</v>
      </c>
      <c r="R616">
        <v>2017</v>
      </c>
      <c r="S616" t="s">
        <v>797</v>
      </c>
      <c r="T616">
        <f>IF(IPL_Matches_2008_2020___New[[#This Row],[Toss Winner]]=IPL_Matches_2008_2020___New[[#This Row],[Winner]],1,0)</f>
        <v>0</v>
      </c>
      <c r="U616" t="s">
        <v>798</v>
      </c>
    </row>
    <row r="617" spans="1:21" x14ac:dyDescent="0.3">
      <c r="A617" t="s">
        <v>1417</v>
      </c>
      <c r="B617" t="s">
        <v>595</v>
      </c>
      <c r="C617">
        <f>YEAR(IPL_Matches_2008_2020___New[[#This Row],[Date ]])</f>
        <v>2017</v>
      </c>
      <c r="D617" s="1">
        <v>42865</v>
      </c>
      <c r="E617" t="s">
        <v>524</v>
      </c>
      <c r="F617" t="s">
        <v>597</v>
      </c>
      <c r="G617" t="s">
        <v>551</v>
      </c>
      <c r="H617" t="s">
        <v>692</v>
      </c>
      <c r="I617" t="s">
        <v>692</v>
      </c>
      <c r="J617" t="s">
        <v>23</v>
      </c>
      <c r="K617" t="s">
        <v>692</v>
      </c>
      <c r="L617" t="s">
        <v>43</v>
      </c>
      <c r="M617">
        <v>2</v>
      </c>
      <c r="N617" t="s">
        <v>25</v>
      </c>
      <c r="O617" t="s">
        <v>796</v>
      </c>
      <c r="P617" t="s">
        <v>617</v>
      </c>
      <c r="Q617" t="s">
        <v>349</v>
      </c>
      <c r="R617">
        <v>2017</v>
      </c>
      <c r="S617" t="s">
        <v>803</v>
      </c>
      <c r="T617">
        <f>IF(IPL_Matches_2008_2020___New[[#This Row],[Toss Winner]]=IPL_Matches_2008_2020___New[[#This Row],[Winner]],1,0)</f>
        <v>1</v>
      </c>
      <c r="U617" t="s">
        <v>801</v>
      </c>
    </row>
    <row r="618" spans="1:21" x14ac:dyDescent="0.3">
      <c r="A618" t="s">
        <v>1418</v>
      </c>
      <c r="B618" t="s">
        <v>46</v>
      </c>
      <c r="C618">
        <f>YEAR(IPL_Matches_2008_2020___New[[#This Row],[Date ]])</f>
        <v>2017</v>
      </c>
      <c r="D618" s="1">
        <v>42866</v>
      </c>
      <c r="E618" t="s">
        <v>335</v>
      </c>
      <c r="F618" t="s">
        <v>49</v>
      </c>
      <c r="G618" t="s">
        <v>50</v>
      </c>
      <c r="H618" t="s">
        <v>800</v>
      </c>
      <c r="I618" t="s">
        <v>50</v>
      </c>
      <c r="J618" t="s">
        <v>23</v>
      </c>
      <c r="K618" t="s">
        <v>800</v>
      </c>
      <c r="L618" t="s">
        <v>24</v>
      </c>
      <c r="M618">
        <v>7</v>
      </c>
      <c r="N618" t="s">
        <v>25</v>
      </c>
      <c r="O618" t="s">
        <v>796</v>
      </c>
      <c r="P618" t="s">
        <v>610</v>
      </c>
      <c r="Q618" t="s">
        <v>562</v>
      </c>
      <c r="R618">
        <v>2017</v>
      </c>
      <c r="S618" t="s">
        <v>797</v>
      </c>
      <c r="T618">
        <f>IF(IPL_Matches_2008_2020___New[[#This Row],[Toss Winner]]=IPL_Matches_2008_2020___New[[#This Row],[Winner]],1,0)</f>
        <v>0</v>
      </c>
      <c r="U618" t="s">
        <v>798</v>
      </c>
    </row>
    <row r="619" spans="1:21" x14ac:dyDescent="0.3">
      <c r="A619" t="s">
        <v>1419</v>
      </c>
      <c r="B619" t="s">
        <v>38</v>
      </c>
      <c r="C619">
        <f>YEAR(IPL_Matches_2008_2020___New[[#This Row],[Date ]])</f>
        <v>2017</v>
      </c>
      <c r="D619" s="1">
        <v>42867</v>
      </c>
      <c r="E619" t="s">
        <v>485</v>
      </c>
      <c r="F619" t="s">
        <v>40</v>
      </c>
      <c r="G619" t="s">
        <v>692</v>
      </c>
      <c r="H619" t="s">
        <v>606</v>
      </c>
      <c r="I619" t="s">
        <v>692</v>
      </c>
      <c r="J619" t="s">
        <v>35</v>
      </c>
      <c r="K619" t="s">
        <v>692</v>
      </c>
      <c r="L619" t="s">
        <v>24</v>
      </c>
      <c r="M619">
        <v>7</v>
      </c>
      <c r="N619" t="s">
        <v>25</v>
      </c>
      <c r="O619" t="s">
        <v>796</v>
      </c>
      <c r="P619" t="s">
        <v>583</v>
      </c>
      <c r="Q619" t="s">
        <v>418</v>
      </c>
      <c r="R619">
        <v>2017</v>
      </c>
      <c r="S619" t="s">
        <v>797</v>
      </c>
      <c r="T619">
        <f>IF(IPL_Matches_2008_2020___New[[#This Row],[Toss Winner]]=IPL_Matches_2008_2020___New[[#This Row],[Winner]],1,0)</f>
        <v>1</v>
      </c>
      <c r="U619" t="s">
        <v>801</v>
      </c>
    </row>
    <row r="620" spans="1:21" x14ac:dyDescent="0.3">
      <c r="A620" t="s">
        <v>1420</v>
      </c>
      <c r="B620" t="s">
        <v>595</v>
      </c>
      <c r="C620">
        <f>YEAR(IPL_Matches_2008_2020___New[[#This Row],[Date ]])</f>
        <v>2017</v>
      </c>
      <c r="D620" s="1">
        <v>42868</v>
      </c>
      <c r="E620" t="s">
        <v>639</v>
      </c>
      <c r="F620" t="s">
        <v>597</v>
      </c>
      <c r="G620" t="s">
        <v>551</v>
      </c>
      <c r="H620" t="s">
        <v>406</v>
      </c>
      <c r="I620" t="s">
        <v>406</v>
      </c>
      <c r="J620" t="s">
        <v>23</v>
      </c>
      <c r="K620" t="s">
        <v>406</v>
      </c>
      <c r="L620" t="s">
        <v>43</v>
      </c>
      <c r="M620">
        <v>8</v>
      </c>
      <c r="N620" t="s">
        <v>25</v>
      </c>
      <c r="O620" t="s">
        <v>796</v>
      </c>
      <c r="P620" t="s">
        <v>349</v>
      </c>
      <c r="Q620" t="s">
        <v>554</v>
      </c>
      <c r="R620">
        <v>2017</v>
      </c>
      <c r="S620" t="s">
        <v>803</v>
      </c>
      <c r="T620">
        <f>IF(IPL_Matches_2008_2020___New[[#This Row],[Toss Winner]]=IPL_Matches_2008_2020___New[[#This Row],[Winner]],1,0)</f>
        <v>1</v>
      </c>
      <c r="U620" t="s">
        <v>801</v>
      </c>
    </row>
    <row r="621" spans="1:21" x14ac:dyDescent="0.3">
      <c r="A621" t="s">
        <v>1421</v>
      </c>
      <c r="B621" t="s">
        <v>53</v>
      </c>
      <c r="C621">
        <f>YEAR(IPL_Matches_2008_2020___New[[#This Row],[Date ]])</f>
        <v>2017</v>
      </c>
      <c r="D621" s="1">
        <v>42868</v>
      </c>
      <c r="E621" t="s">
        <v>257</v>
      </c>
      <c r="F621" t="s">
        <v>55</v>
      </c>
      <c r="G621" t="s">
        <v>22</v>
      </c>
      <c r="H621" t="s">
        <v>50</v>
      </c>
      <c r="I621" t="s">
        <v>22</v>
      </c>
      <c r="J621" t="s">
        <v>23</v>
      </c>
      <c r="K621" t="s">
        <v>50</v>
      </c>
      <c r="L621" t="s">
        <v>24</v>
      </c>
      <c r="M621">
        <v>9</v>
      </c>
      <c r="N621" t="s">
        <v>25</v>
      </c>
      <c r="O621" t="s">
        <v>796</v>
      </c>
      <c r="P621" t="s">
        <v>562</v>
      </c>
      <c r="Q621" t="s">
        <v>183</v>
      </c>
      <c r="R621">
        <v>2017</v>
      </c>
      <c r="S621" t="s">
        <v>797</v>
      </c>
      <c r="T621">
        <f>IF(IPL_Matches_2008_2020___New[[#This Row],[Toss Winner]]=IPL_Matches_2008_2020___New[[#This Row],[Winner]],1,0)</f>
        <v>0</v>
      </c>
      <c r="U621" t="s">
        <v>798</v>
      </c>
    </row>
    <row r="622" spans="1:21" x14ac:dyDescent="0.3">
      <c r="A622" t="s">
        <v>1422</v>
      </c>
      <c r="B622" t="s">
        <v>355</v>
      </c>
      <c r="C622">
        <f>YEAR(IPL_Matches_2008_2020___New[[#This Row],[Date ]])</f>
        <v>2017</v>
      </c>
      <c r="D622" s="1">
        <v>42869</v>
      </c>
      <c r="E622" t="s">
        <v>276</v>
      </c>
      <c r="F622" t="s">
        <v>504</v>
      </c>
      <c r="G622" t="s">
        <v>606</v>
      </c>
      <c r="H622" t="s">
        <v>800</v>
      </c>
      <c r="I622" t="s">
        <v>606</v>
      </c>
      <c r="J622" t="s">
        <v>23</v>
      </c>
      <c r="K622" t="s">
        <v>606</v>
      </c>
      <c r="L622" t="s">
        <v>43</v>
      </c>
      <c r="M622">
        <v>9</v>
      </c>
      <c r="N622" t="s">
        <v>25</v>
      </c>
      <c r="O622" t="s">
        <v>796</v>
      </c>
      <c r="P622" t="s">
        <v>576</v>
      </c>
      <c r="Q622" t="s">
        <v>610</v>
      </c>
      <c r="R622">
        <v>2017</v>
      </c>
      <c r="S622" t="s">
        <v>803</v>
      </c>
      <c r="T622">
        <f>IF(IPL_Matches_2008_2020___New[[#This Row],[Toss Winner]]=IPL_Matches_2008_2020___New[[#This Row],[Winner]],1,0)</f>
        <v>1</v>
      </c>
      <c r="U622" t="s">
        <v>801</v>
      </c>
    </row>
    <row r="623" spans="1:21" x14ac:dyDescent="0.3">
      <c r="A623" t="s">
        <v>1423</v>
      </c>
      <c r="B623" t="s">
        <v>38</v>
      </c>
      <c r="C623">
        <f>YEAR(IPL_Matches_2008_2020___New[[#This Row],[Date ]])</f>
        <v>2017</v>
      </c>
      <c r="D623" s="1">
        <v>42869</v>
      </c>
      <c r="E623" t="s">
        <v>641</v>
      </c>
      <c r="F623" t="s">
        <v>40</v>
      </c>
      <c r="G623" t="s">
        <v>692</v>
      </c>
      <c r="H623" t="s">
        <v>21</v>
      </c>
      <c r="I623" t="s">
        <v>21</v>
      </c>
      <c r="J623" t="s">
        <v>35</v>
      </c>
      <c r="K623" t="s">
        <v>21</v>
      </c>
      <c r="L623" t="s">
        <v>24</v>
      </c>
      <c r="M623">
        <v>10</v>
      </c>
      <c r="N623" t="s">
        <v>25</v>
      </c>
      <c r="O623" t="s">
        <v>796</v>
      </c>
      <c r="P623" t="s">
        <v>418</v>
      </c>
      <c r="Q623" t="s">
        <v>387</v>
      </c>
      <c r="R623">
        <v>2017</v>
      </c>
      <c r="S623" t="s">
        <v>797</v>
      </c>
      <c r="T623">
        <f>IF(IPL_Matches_2008_2020___New[[#This Row],[Toss Winner]]=IPL_Matches_2008_2020___New[[#This Row],[Winner]],1,0)</f>
        <v>1</v>
      </c>
      <c r="U623" t="s">
        <v>801</v>
      </c>
    </row>
    <row r="624" spans="1:21" x14ac:dyDescent="0.3">
      <c r="A624" t="s">
        <v>1424</v>
      </c>
      <c r="B624" t="s">
        <v>46</v>
      </c>
      <c r="C624">
        <f>YEAR(IPL_Matches_2008_2020___New[[#This Row],[Date ]])</f>
        <v>2017</v>
      </c>
      <c r="D624" s="1">
        <v>42871</v>
      </c>
      <c r="E624" t="s">
        <v>643</v>
      </c>
      <c r="F624" t="s">
        <v>49</v>
      </c>
      <c r="G624" t="s">
        <v>50</v>
      </c>
      <c r="H624" t="s">
        <v>606</v>
      </c>
      <c r="I624" t="s">
        <v>50</v>
      </c>
      <c r="J624" t="s">
        <v>23</v>
      </c>
      <c r="K624" t="s">
        <v>606</v>
      </c>
      <c r="L624" t="s">
        <v>24</v>
      </c>
      <c r="M624">
        <v>20</v>
      </c>
      <c r="N624" t="s">
        <v>25</v>
      </c>
      <c r="O624" t="s">
        <v>796</v>
      </c>
      <c r="P624" t="s">
        <v>183</v>
      </c>
      <c r="Q624" t="s">
        <v>387</v>
      </c>
      <c r="R624">
        <v>2017</v>
      </c>
      <c r="S624" t="s">
        <v>797</v>
      </c>
      <c r="T624">
        <f>IF(IPL_Matches_2008_2020___New[[#This Row],[Toss Winner]]=IPL_Matches_2008_2020___New[[#This Row],[Winner]],1,0)</f>
        <v>0</v>
      </c>
      <c r="U624" t="s">
        <v>798</v>
      </c>
    </row>
    <row r="625" spans="1:21" x14ac:dyDescent="0.3">
      <c r="A625" t="s">
        <v>1425</v>
      </c>
      <c r="B625" t="s">
        <v>17</v>
      </c>
      <c r="C625">
        <f>YEAR(IPL_Matches_2008_2020___New[[#This Row],[Date ]])</f>
        <v>2017</v>
      </c>
      <c r="D625" s="1">
        <v>42872</v>
      </c>
      <c r="E625" t="s">
        <v>534</v>
      </c>
      <c r="F625" t="s">
        <v>795</v>
      </c>
      <c r="G625" t="s">
        <v>406</v>
      </c>
      <c r="H625" t="s">
        <v>22</v>
      </c>
      <c r="I625" t="s">
        <v>22</v>
      </c>
      <c r="J625" t="s">
        <v>23</v>
      </c>
      <c r="K625" t="s">
        <v>22</v>
      </c>
      <c r="L625" t="s">
        <v>43</v>
      </c>
      <c r="M625">
        <v>7</v>
      </c>
      <c r="N625" t="s">
        <v>25</v>
      </c>
      <c r="O625" t="s">
        <v>115</v>
      </c>
      <c r="P625" t="s">
        <v>349</v>
      </c>
      <c r="Q625" t="s">
        <v>554</v>
      </c>
      <c r="R625">
        <v>2017</v>
      </c>
      <c r="S625" t="s">
        <v>803</v>
      </c>
      <c r="T625">
        <f>IF(IPL_Matches_2008_2020___New[[#This Row],[Toss Winner]]=IPL_Matches_2008_2020___New[[#This Row],[Winner]],1,0)</f>
        <v>1</v>
      </c>
      <c r="U625" t="s">
        <v>801</v>
      </c>
    </row>
    <row r="626" spans="1:21" x14ac:dyDescent="0.3">
      <c r="A626" t="s">
        <v>1426</v>
      </c>
      <c r="B626" t="s">
        <v>17</v>
      </c>
      <c r="C626">
        <f>YEAR(IPL_Matches_2008_2020___New[[#This Row],[Date ]])</f>
        <v>2017</v>
      </c>
      <c r="D626" s="1">
        <v>42874</v>
      </c>
      <c r="E626" t="s">
        <v>646</v>
      </c>
      <c r="F626" t="s">
        <v>795</v>
      </c>
      <c r="G626" t="s">
        <v>50</v>
      </c>
      <c r="H626" t="s">
        <v>22</v>
      </c>
      <c r="I626" t="s">
        <v>50</v>
      </c>
      <c r="J626" t="s">
        <v>23</v>
      </c>
      <c r="K626" t="s">
        <v>50</v>
      </c>
      <c r="L626" t="s">
        <v>43</v>
      </c>
      <c r="M626">
        <v>6</v>
      </c>
      <c r="N626" t="s">
        <v>25</v>
      </c>
      <c r="O626" t="s">
        <v>796</v>
      </c>
      <c r="P626" t="s">
        <v>441</v>
      </c>
      <c r="Q626" t="s">
        <v>554</v>
      </c>
      <c r="R626">
        <v>2017</v>
      </c>
      <c r="S626" t="s">
        <v>803</v>
      </c>
      <c r="T626">
        <f>IF(IPL_Matches_2008_2020___New[[#This Row],[Toss Winner]]=IPL_Matches_2008_2020___New[[#This Row],[Winner]],1,0)</f>
        <v>1</v>
      </c>
      <c r="U626" t="s">
        <v>801</v>
      </c>
    </row>
    <row r="627" spans="1:21" x14ac:dyDescent="0.3">
      <c r="A627" t="s">
        <v>1427</v>
      </c>
      <c r="B627" t="s">
        <v>64</v>
      </c>
      <c r="C627">
        <f>YEAR(IPL_Matches_2008_2020___New[[#This Row],[Date ]])</f>
        <v>2017</v>
      </c>
      <c r="D627" s="1">
        <v>42876</v>
      </c>
      <c r="E627" t="s">
        <v>587</v>
      </c>
      <c r="F627" t="s">
        <v>67</v>
      </c>
      <c r="G627" t="s">
        <v>50</v>
      </c>
      <c r="H627" t="s">
        <v>606</v>
      </c>
      <c r="I627" t="s">
        <v>50</v>
      </c>
      <c r="J627" t="s">
        <v>35</v>
      </c>
      <c r="K627" t="s">
        <v>50</v>
      </c>
      <c r="L627" t="s">
        <v>24</v>
      </c>
      <c r="M627">
        <v>1</v>
      </c>
      <c r="N627" t="s">
        <v>25</v>
      </c>
      <c r="O627" t="s">
        <v>796</v>
      </c>
      <c r="P627" t="s">
        <v>441</v>
      </c>
      <c r="Q627" t="s">
        <v>183</v>
      </c>
      <c r="R627">
        <v>2017</v>
      </c>
      <c r="S627" t="s">
        <v>797</v>
      </c>
      <c r="T627">
        <f>IF(IPL_Matches_2008_2020___New[[#This Row],[Toss Winner]]=IPL_Matches_2008_2020___New[[#This Row],[Winner]],1,0)</f>
        <v>1</v>
      </c>
      <c r="U627" t="s">
        <v>801</v>
      </c>
    </row>
    <row r="628" spans="1:21" x14ac:dyDescent="0.3">
      <c r="A628" t="s">
        <v>1428</v>
      </c>
      <c r="B628" t="s">
        <v>46</v>
      </c>
      <c r="C628">
        <f>YEAR(IPL_Matches_2008_2020___New[[#This Row],[Date ]])</f>
        <v>2018</v>
      </c>
      <c r="D628" s="1">
        <v>43197</v>
      </c>
      <c r="E628" t="s">
        <v>118</v>
      </c>
      <c r="F628" t="s">
        <v>49</v>
      </c>
      <c r="G628" t="s">
        <v>50</v>
      </c>
      <c r="H628" t="s">
        <v>34</v>
      </c>
      <c r="I628" t="s">
        <v>34</v>
      </c>
      <c r="J628" t="s">
        <v>23</v>
      </c>
      <c r="K628" t="s">
        <v>34</v>
      </c>
      <c r="L628" t="s">
        <v>43</v>
      </c>
      <c r="M628">
        <v>1</v>
      </c>
      <c r="N628" t="s">
        <v>25</v>
      </c>
      <c r="O628" t="s">
        <v>796</v>
      </c>
      <c r="P628" t="s">
        <v>506</v>
      </c>
      <c r="Q628" t="s">
        <v>562</v>
      </c>
      <c r="R628">
        <v>2018</v>
      </c>
      <c r="S628" t="s">
        <v>803</v>
      </c>
      <c r="T628">
        <f>IF(IPL_Matches_2008_2020___New[[#This Row],[Toss Winner]]=IPL_Matches_2008_2020___New[[#This Row],[Winner]],1,0)</f>
        <v>1</v>
      </c>
      <c r="U628" t="s">
        <v>801</v>
      </c>
    </row>
    <row r="629" spans="1:21" x14ac:dyDescent="0.3">
      <c r="A629" t="s">
        <v>1429</v>
      </c>
      <c r="B629" t="s">
        <v>29</v>
      </c>
      <c r="C629">
        <f>YEAR(IPL_Matches_2008_2020___New[[#This Row],[Date ]])</f>
        <v>2018</v>
      </c>
      <c r="D629" s="1">
        <v>43198</v>
      </c>
      <c r="E629" t="s">
        <v>648</v>
      </c>
      <c r="F629" t="s">
        <v>32</v>
      </c>
      <c r="G629" t="s">
        <v>800</v>
      </c>
      <c r="H629" t="s">
        <v>692</v>
      </c>
      <c r="I629" t="s">
        <v>800</v>
      </c>
      <c r="J629" t="s">
        <v>23</v>
      </c>
      <c r="K629" t="s">
        <v>800</v>
      </c>
      <c r="L629" t="s">
        <v>43</v>
      </c>
      <c r="M629">
        <v>6</v>
      </c>
      <c r="N629" t="s">
        <v>25</v>
      </c>
      <c r="O629" t="s">
        <v>796</v>
      </c>
      <c r="P629" t="s">
        <v>583</v>
      </c>
      <c r="Q629" t="s">
        <v>305</v>
      </c>
      <c r="R629">
        <v>2018</v>
      </c>
      <c r="S629" t="s">
        <v>803</v>
      </c>
      <c r="T629">
        <f>IF(IPL_Matches_2008_2020___New[[#This Row],[Toss Winner]]=IPL_Matches_2008_2020___New[[#This Row],[Winner]],1,0)</f>
        <v>1</v>
      </c>
      <c r="U629" t="s">
        <v>801</v>
      </c>
    </row>
    <row r="630" spans="1:21" x14ac:dyDescent="0.3">
      <c r="A630" t="s">
        <v>1430</v>
      </c>
      <c r="B630" t="s">
        <v>53</v>
      </c>
      <c r="C630">
        <f>YEAR(IPL_Matches_2008_2020___New[[#This Row],[Date ]])</f>
        <v>2018</v>
      </c>
      <c r="D630" s="1">
        <v>43198</v>
      </c>
      <c r="E630" t="s">
        <v>368</v>
      </c>
      <c r="F630" t="s">
        <v>55</v>
      </c>
      <c r="G630" t="s">
        <v>22</v>
      </c>
      <c r="H630" t="s">
        <v>21</v>
      </c>
      <c r="I630" t="s">
        <v>22</v>
      </c>
      <c r="J630" t="s">
        <v>23</v>
      </c>
      <c r="K630" t="s">
        <v>22</v>
      </c>
      <c r="L630" t="s">
        <v>43</v>
      </c>
      <c r="M630">
        <v>4</v>
      </c>
      <c r="N630" t="s">
        <v>25</v>
      </c>
      <c r="O630" t="s">
        <v>796</v>
      </c>
      <c r="P630" t="s">
        <v>387</v>
      </c>
      <c r="Q630" t="s">
        <v>610</v>
      </c>
      <c r="R630">
        <v>2018</v>
      </c>
      <c r="S630" t="s">
        <v>803</v>
      </c>
      <c r="T630">
        <f>IF(IPL_Matches_2008_2020___New[[#This Row],[Toss Winner]]=IPL_Matches_2008_2020___New[[#This Row],[Winner]],1,0)</f>
        <v>1</v>
      </c>
      <c r="U630" t="s">
        <v>801</v>
      </c>
    </row>
    <row r="631" spans="1:21" x14ac:dyDescent="0.3">
      <c r="A631" t="s">
        <v>1431</v>
      </c>
      <c r="B631" t="s">
        <v>64</v>
      </c>
      <c r="C631">
        <f>YEAR(IPL_Matches_2008_2020___New[[#This Row],[Date ]])</f>
        <v>2018</v>
      </c>
      <c r="D631" s="1">
        <v>43199</v>
      </c>
      <c r="E631" t="s">
        <v>339</v>
      </c>
      <c r="F631" t="s">
        <v>67</v>
      </c>
      <c r="G631" t="s">
        <v>406</v>
      </c>
      <c r="H631" t="s">
        <v>42</v>
      </c>
      <c r="I631" t="s">
        <v>406</v>
      </c>
      <c r="J631" t="s">
        <v>23</v>
      </c>
      <c r="K631" t="s">
        <v>406</v>
      </c>
      <c r="L631" t="s">
        <v>43</v>
      </c>
      <c r="M631">
        <v>9</v>
      </c>
      <c r="N631" t="s">
        <v>25</v>
      </c>
      <c r="O631" t="s">
        <v>796</v>
      </c>
      <c r="P631" t="s">
        <v>354</v>
      </c>
      <c r="Q631" t="s">
        <v>441</v>
      </c>
      <c r="R631">
        <v>2018</v>
      </c>
      <c r="S631" t="s">
        <v>803</v>
      </c>
      <c r="T631">
        <f>IF(IPL_Matches_2008_2020___New[[#This Row],[Toss Winner]]=IPL_Matches_2008_2020___New[[#This Row],[Winner]],1,0)</f>
        <v>1</v>
      </c>
      <c r="U631" t="s">
        <v>801</v>
      </c>
    </row>
    <row r="632" spans="1:21" x14ac:dyDescent="0.3">
      <c r="A632" t="s">
        <v>1432</v>
      </c>
      <c r="B632" t="s">
        <v>70</v>
      </c>
      <c r="C632">
        <f>YEAR(IPL_Matches_2008_2020___New[[#This Row],[Date ]])</f>
        <v>2018</v>
      </c>
      <c r="D632" s="1">
        <v>43200</v>
      </c>
      <c r="E632" t="s">
        <v>649</v>
      </c>
      <c r="F632" t="s">
        <v>73</v>
      </c>
      <c r="G632" t="s">
        <v>34</v>
      </c>
      <c r="H632" t="s">
        <v>22</v>
      </c>
      <c r="I632" t="s">
        <v>34</v>
      </c>
      <c r="J632" t="s">
        <v>23</v>
      </c>
      <c r="K632" t="s">
        <v>34</v>
      </c>
      <c r="L632" t="s">
        <v>43</v>
      </c>
      <c r="M632">
        <v>5</v>
      </c>
      <c r="N632" t="s">
        <v>25</v>
      </c>
      <c r="O632" t="s">
        <v>796</v>
      </c>
      <c r="P632" t="s">
        <v>506</v>
      </c>
      <c r="Q632" t="s">
        <v>349</v>
      </c>
      <c r="R632">
        <v>2018</v>
      </c>
      <c r="S632" t="s">
        <v>803</v>
      </c>
      <c r="T632">
        <f>IF(IPL_Matches_2008_2020___New[[#This Row],[Toss Winner]]=IPL_Matches_2008_2020___New[[#This Row],[Winner]],1,0)</f>
        <v>1</v>
      </c>
      <c r="U632" t="s">
        <v>801</v>
      </c>
    </row>
    <row r="633" spans="1:21" x14ac:dyDescent="0.3">
      <c r="A633" t="s">
        <v>1433</v>
      </c>
      <c r="B633" t="s">
        <v>59</v>
      </c>
      <c r="C633">
        <f>YEAR(IPL_Matches_2008_2020___New[[#This Row],[Date ]])</f>
        <v>2018</v>
      </c>
      <c r="D633" s="1">
        <v>43201</v>
      </c>
      <c r="E633" t="s">
        <v>436</v>
      </c>
      <c r="F633" t="s">
        <v>62</v>
      </c>
      <c r="G633" t="s">
        <v>42</v>
      </c>
      <c r="H633" t="s">
        <v>692</v>
      </c>
      <c r="I633" t="s">
        <v>692</v>
      </c>
      <c r="J633" t="s">
        <v>23</v>
      </c>
      <c r="K633" t="s">
        <v>42</v>
      </c>
      <c r="L633" t="s">
        <v>24</v>
      </c>
      <c r="M633">
        <v>10</v>
      </c>
      <c r="N633" t="s">
        <v>25</v>
      </c>
      <c r="O633" t="s">
        <v>115</v>
      </c>
      <c r="P633" t="s">
        <v>583</v>
      </c>
      <c r="Q633" t="s">
        <v>554</v>
      </c>
      <c r="R633">
        <v>2018</v>
      </c>
      <c r="S633" t="s">
        <v>797</v>
      </c>
      <c r="T633">
        <f>IF(IPL_Matches_2008_2020___New[[#This Row],[Toss Winner]]=IPL_Matches_2008_2020___New[[#This Row],[Winner]],1,0)</f>
        <v>0</v>
      </c>
      <c r="U633" t="s">
        <v>798</v>
      </c>
    </row>
    <row r="634" spans="1:21" x14ac:dyDescent="0.3">
      <c r="A634" t="s">
        <v>1434</v>
      </c>
      <c r="B634" t="s">
        <v>64</v>
      </c>
      <c r="C634">
        <f>YEAR(IPL_Matches_2008_2020___New[[#This Row],[Date ]])</f>
        <v>2018</v>
      </c>
      <c r="D634" s="1">
        <v>43202</v>
      </c>
      <c r="E634" t="s">
        <v>609</v>
      </c>
      <c r="F634" t="s">
        <v>67</v>
      </c>
      <c r="G634" t="s">
        <v>406</v>
      </c>
      <c r="H634" t="s">
        <v>50</v>
      </c>
      <c r="I634" t="s">
        <v>406</v>
      </c>
      <c r="J634" t="s">
        <v>23</v>
      </c>
      <c r="K634" t="s">
        <v>406</v>
      </c>
      <c r="L634" t="s">
        <v>43</v>
      </c>
      <c r="M634">
        <v>1</v>
      </c>
      <c r="N634" t="s">
        <v>25</v>
      </c>
      <c r="O634" t="s">
        <v>796</v>
      </c>
      <c r="P634" t="s">
        <v>441</v>
      </c>
      <c r="Q634" t="s">
        <v>418</v>
      </c>
      <c r="R634">
        <v>2018</v>
      </c>
      <c r="S634" t="s">
        <v>803</v>
      </c>
      <c r="T634">
        <f>IF(IPL_Matches_2008_2020___New[[#This Row],[Toss Winner]]=IPL_Matches_2008_2020___New[[#This Row],[Winner]],1,0)</f>
        <v>1</v>
      </c>
      <c r="U634" t="s">
        <v>801</v>
      </c>
    </row>
    <row r="635" spans="1:21" x14ac:dyDescent="0.3">
      <c r="A635" t="s">
        <v>1435</v>
      </c>
      <c r="B635" t="s">
        <v>607</v>
      </c>
      <c r="C635">
        <f>YEAR(IPL_Matches_2008_2020___New[[#This Row],[Date ]])</f>
        <v>2018</v>
      </c>
      <c r="D635" s="1">
        <v>43203</v>
      </c>
      <c r="E635" t="s">
        <v>395</v>
      </c>
      <c r="F635" t="s">
        <v>795</v>
      </c>
      <c r="G635" t="s">
        <v>21</v>
      </c>
      <c r="H635" t="s">
        <v>800</v>
      </c>
      <c r="I635" t="s">
        <v>21</v>
      </c>
      <c r="J635" t="s">
        <v>23</v>
      </c>
      <c r="K635" t="s">
        <v>21</v>
      </c>
      <c r="L635" t="s">
        <v>43</v>
      </c>
      <c r="M635">
        <v>4</v>
      </c>
      <c r="N635" t="s">
        <v>25</v>
      </c>
      <c r="O635" t="s">
        <v>796</v>
      </c>
      <c r="P635" t="s">
        <v>610</v>
      </c>
      <c r="Q635" t="s">
        <v>183</v>
      </c>
      <c r="R635">
        <v>2018</v>
      </c>
      <c r="S635" t="s">
        <v>803</v>
      </c>
      <c r="T635">
        <f>IF(IPL_Matches_2008_2020___New[[#This Row],[Toss Winner]]=IPL_Matches_2008_2020___New[[#This Row],[Winner]],1,0)</f>
        <v>1</v>
      </c>
      <c r="U635" t="s">
        <v>801</v>
      </c>
    </row>
    <row r="636" spans="1:21" x14ac:dyDescent="0.3">
      <c r="A636" t="s">
        <v>1436</v>
      </c>
      <c r="B636" t="s">
        <v>46</v>
      </c>
      <c r="C636">
        <f>YEAR(IPL_Matches_2008_2020___New[[#This Row],[Date ]])</f>
        <v>2018</v>
      </c>
      <c r="D636" s="1">
        <v>43204</v>
      </c>
      <c r="E636" t="s">
        <v>652</v>
      </c>
      <c r="F636" t="s">
        <v>49</v>
      </c>
      <c r="G636" t="s">
        <v>50</v>
      </c>
      <c r="H636" t="s">
        <v>692</v>
      </c>
      <c r="I636" t="s">
        <v>692</v>
      </c>
      <c r="J636" t="s">
        <v>23</v>
      </c>
      <c r="K636" t="s">
        <v>692</v>
      </c>
      <c r="L636" t="s">
        <v>43</v>
      </c>
      <c r="M636">
        <v>7</v>
      </c>
      <c r="N636" t="s">
        <v>25</v>
      </c>
      <c r="O636" t="s">
        <v>796</v>
      </c>
      <c r="P636" t="s">
        <v>583</v>
      </c>
      <c r="Q636" t="s">
        <v>554</v>
      </c>
      <c r="R636">
        <v>2018</v>
      </c>
      <c r="S636" t="s">
        <v>803</v>
      </c>
      <c r="T636">
        <f>IF(IPL_Matches_2008_2020___New[[#This Row],[Toss Winner]]=IPL_Matches_2008_2020___New[[#This Row],[Winner]],1,0)</f>
        <v>1</v>
      </c>
      <c r="U636" t="s">
        <v>801</v>
      </c>
    </row>
    <row r="637" spans="1:21" x14ac:dyDescent="0.3">
      <c r="A637" t="s">
        <v>1437</v>
      </c>
      <c r="B637" t="s">
        <v>53</v>
      </c>
      <c r="C637">
        <f>YEAR(IPL_Matches_2008_2020___New[[#This Row],[Date ]])</f>
        <v>2018</v>
      </c>
      <c r="D637" s="1">
        <v>43204</v>
      </c>
      <c r="E637" t="s">
        <v>653</v>
      </c>
      <c r="F637" t="s">
        <v>55</v>
      </c>
      <c r="G637" t="s">
        <v>22</v>
      </c>
      <c r="H637" t="s">
        <v>406</v>
      </c>
      <c r="I637" t="s">
        <v>406</v>
      </c>
      <c r="J637" t="s">
        <v>23</v>
      </c>
      <c r="K637" t="s">
        <v>406</v>
      </c>
      <c r="L637" t="s">
        <v>43</v>
      </c>
      <c r="M637">
        <v>5</v>
      </c>
      <c r="N637" t="s">
        <v>25</v>
      </c>
      <c r="O637" t="s">
        <v>796</v>
      </c>
      <c r="P637" t="s">
        <v>349</v>
      </c>
      <c r="Q637" t="s">
        <v>562</v>
      </c>
      <c r="R637">
        <v>2018</v>
      </c>
      <c r="S637" t="s">
        <v>803</v>
      </c>
      <c r="T637">
        <f>IF(IPL_Matches_2008_2020___New[[#This Row],[Toss Winner]]=IPL_Matches_2008_2020___New[[#This Row],[Winner]],1,0)</f>
        <v>1</v>
      </c>
      <c r="U637" t="s">
        <v>801</v>
      </c>
    </row>
    <row r="638" spans="1:21" x14ac:dyDescent="0.3">
      <c r="A638" t="s">
        <v>1438</v>
      </c>
      <c r="B638" t="s">
        <v>607</v>
      </c>
      <c r="C638">
        <f>YEAR(IPL_Matches_2008_2020___New[[#This Row],[Date ]])</f>
        <v>2018</v>
      </c>
      <c r="D638" s="1">
        <v>43205</v>
      </c>
      <c r="E638" t="s">
        <v>436</v>
      </c>
      <c r="F638" t="s">
        <v>795</v>
      </c>
      <c r="G638" t="s">
        <v>21</v>
      </c>
      <c r="H638" t="s">
        <v>42</v>
      </c>
      <c r="I638" t="s">
        <v>21</v>
      </c>
      <c r="J638" t="s">
        <v>23</v>
      </c>
      <c r="K638" t="s">
        <v>42</v>
      </c>
      <c r="L638" t="s">
        <v>24</v>
      </c>
      <c r="M638">
        <v>19</v>
      </c>
      <c r="N638" t="s">
        <v>25</v>
      </c>
      <c r="O638" t="s">
        <v>796</v>
      </c>
      <c r="P638" t="s">
        <v>387</v>
      </c>
      <c r="Q638" t="s">
        <v>183</v>
      </c>
      <c r="R638">
        <v>2018</v>
      </c>
      <c r="S638" t="s">
        <v>797</v>
      </c>
      <c r="T638">
        <f>IF(IPL_Matches_2008_2020___New[[#This Row],[Toss Winner]]=IPL_Matches_2008_2020___New[[#This Row],[Winner]],1,0)</f>
        <v>0</v>
      </c>
      <c r="U638" t="s">
        <v>798</v>
      </c>
    </row>
    <row r="639" spans="1:21" x14ac:dyDescent="0.3">
      <c r="A639" t="s">
        <v>1439</v>
      </c>
      <c r="B639" t="s">
        <v>29</v>
      </c>
      <c r="C639">
        <f>YEAR(IPL_Matches_2008_2020___New[[#This Row],[Date ]])</f>
        <v>2018</v>
      </c>
      <c r="D639" s="1">
        <v>43205</v>
      </c>
      <c r="E639" t="s">
        <v>152</v>
      </c>
      <c r="F639" t="s">
        <v>32</v>
      </c>
      <c r="G639" t="s">
        <v>800</v>
      </c>
      <c r="H639" t="s">
        <v>34</v>
      </c>
      <c r="I639" t="s">
        <v>34</v>
      </c>
      <c r="J639" t="s">
        <v>23</v>
      </c>
      <c r="K639" t="s">
        <v>800</v>
      </c>
      <c r="L639" t="s">
        <v>24</v>
      </c>
      <c r="M639">
        <v>4</v>
      </c>
      <c r="N639" t="s">
        <v>25</v>
      </c>
      <c r="O639" t="s">
        <v>796</v>
      </c>
      <c r="P639" t="s">
        <v>354</v>
      </c>
      <c r="Q639" t="s">
        <v>418</v>
      </c>
      <c r="R639">
        <v>2018</v>
      </c>
      <c r="S639" t="s">
        <v>797</v>
      </c>
      <c r="T639">
        <f>IF(IPL_Matches_2008_2020___New[[#This Row],[Toss Winner]]=IPL_Matches_2008_2020___New[[#This Row],[Winner]],1,0)</f>
        <v>0</v>
      </c>
      <c r="U639" t="s">
        <v>798</v>
      </c>
    </row>
    <row r="640" spans="1:21" x14ac:dyDescent="0.3">
      <c r="A640" t="s">
        <v>1440</v>
      </c>
      <c r="B640" t="s">
        <v>53</v>
      </c>
      <c r="C640">
        <f>YEAR(IPL_Matches_2008_2020___New[[#This Row],[Date ]])</f>
        <v>2018</v>
      </c>
      <c r="D640" s="1">
        <v>43206</v>
      </c>
      <c r="E640" t="s">
        <v>611</v>
      </c>
      <c r="F640" t="s">
        <v>55</v>
      </c>
      <c r="G640" t="s">
        <v>22</v>
      </c>
      <c r="H640" t="s">
        <v>692</v>
      </c>
      <c r="I640" t="s">
        <v>692</v>
      </c>
      <c r="J640" t="s">
        <v>23</v>
      </c>
      <c r="K640" t="s">
        <v>22</v>
      </c>
      <c r="L640" t="s">
        <v>24</v>
      </c>
      <c r="M640">
        <v>71</v>
      </c>
      <c r="N640" t="s">
        <v>25</v>
      </c>
      <c r="O640" t="s">
        <v>796</v>
      </c>
      <c r="P640" t="s">
        <v>349</v>
      </c>
      <c r="Q640" t="s">
        <v>562</v>
      </c>
      <c r="R640">
        <v>2018</v>
      </c>
      <c r="S640" t="s">
        <v>797</v>
      </c>
      <c r="T640">
        <f>IF(IPL_Matches_2008_2020___New[[#This Row],[Toss Winner]]=IPL_Matches_2008_2020___New[[#This Row],[Winner]],1,0)</f>
        <v>0</v>
      </c>
      <c r="U640" t="s">
        <v>798</v>
      </c>
    </row>
    <row r="641" spans="1:21" x14ac:dyDescent="0.3">
      <c r="A641" t="s">
        <v>1441</v>
      </c>
      <c r="B641" t="s">
        <v>46</v>
      </c>
      <c r="C641">
        <f>YEAR(IPL_Matches_2008_2020___New[[#This Row],[Date ]])</f>
        <v>2018</v>
      </c>
      <c r="D641" s="1">
        <v>43207</v>
      </c>
      <c r="E641" t="s">
        <v>190</v>
      </c>
      <c r="F641" t="s">
        <v>49</v>
      </c>
      <c r="G641" t="s">
        <v>50</v>
      </c>
      <c r="H641" t="s">
        <v>21</v>
      </c>
      <c r="I641" t="s">
        <v>21</v>
      </c>
      <c r="J641" t="s">
        <v>23</v>
      </c>
      <c r="K641" t="s">
        <v>50</v>
      </c>
      <c r="L641" t="s">
        <v>24</v>
      </c>
      <c r="M641">
        <v>46</v>
      </c>
      <c r="N641" t="s">
        <v>25</v>
      </c>
      <c r="O641" t="s">
        <v>796</v>
      </c>
      <c r="P641" t="s">
        <v>305</v>
      </c>
      <c r="Q641" t="s">
        <v>554</v>
      </c>
      <c r="R641">
        <v>2018</v>
      </c>
      <c r="S641" t="s">
        <v>797</v>
      </c>
      <c r="T641">
        <f>IF(IPL_Matches_2008_2020___New[[#This Row],[Toss Winner]]=IPL_Matches_2008_2020___New[[#This Row],[Winner]],1,0)</f>
        <v>0</v>
      </c>
      <c r="U641" t="s">
        <v>798</v>
      </c>
    </row>
    <row r="642" spans="1:21" x14ac:dyDescent="0.3">
      <c r="A642" t="s">
        <v>1442</v>
      </c>
      <c r="B642" t="s">
        <v>59</v>
      </c>
      <c r="C642">
        <f>YEAR(IPL_Matches_2008_2020___New[[#This Row],[Date ]])</f>
        <v>2018</v>
      </c>
      <c r="D642" s="1">
        <v>43208</v>
      </c>
      <c r="E642" t="s">
        <v>611</v>
      </c>
      <c r="F642" t="s">
        <v>62</v>
      </c>
      <c r="G642" t="s">
        <v>42</v>
      </c>
      <c r="H642" t="s">
        <v>22</v>
      </c>
      <c r="I642" t="s">
        <v>22</v>
      </c>
      <c r="J642" t="s">
        <v>23</v>
      </c>
      <c r="K642" t="s">
        <v>22</v>
      </c>
      <c r="L642" t="s">
        <v>43</v>
      </c>
      <c r="M642">
        <v>7</v>
      </c>
      <c r="N642" t="s">
        <v>25</v>
      </c>
      <c r="O642" t="s">
        <v>796</v>
      </c>
      <c r="P642" t="s">
        <v>610</v>
      </c>
      <c r="Q642" t="s">
        <v>183</v>
      </c>
      <c r="R642">
        <v>2018</v>
      </c>
      <c r="S642" t="s">
        <v>803</v>
      </c>
      <c r="T642">
        <f>IF(IPL_Matches_2008_2020___New[[#This Row],[Toss Winner]]=IPL_Matches_2008_2020___New[[#This Row],[Winner]],1,0)</f>
        <v>1</v>
      </c>
      <c r="U642" t="s">
        <v>801</v>
      </c>
    </row>
    <row r="643" spans="1:21" x14ac:dyDescent="0.3">
      <c r="A643" t="s">
        <v>1443</v>
      </c>
      <c r="B643" t="s">
        <v>29</v>
      </c>
      <c r="C643">
        <f>YEAR(IPL_Matches_2008_2020___New[[#This Row],[Date ]])</f>
        <v>2018</v>
      </c>
      <c r="D643" s="1">
        <v>43209</v>
      </c>
      <c r="E643" t="s">
        <v>152</v>
      </c>
      <c r="F643" t="s">
        <v>32</v>
      </c>
      <c r="G643" t="s">
        <v>800</v>
      </c>
      <c r="H643" t="s">
        <v>406</v>
      </c>
      <c r="I643" t="s">
        <v>800</v>
      </c>
      <c r="J643" t="s">
        <v>35</v>
      </c>
      <c r="K643" t="s">
        <v>800</v>
      </c>
      <c r="L643" t="s">
        <v>24</v>
      </c>
      <c r="M643">
        <v>15</v>
      </c>
      <c r="N643" t="s">
        <v>25</v>
      </c>
      <c r="O643" t="s">
        <v>796</v>
      </c>
      <c r="P643" t="s">
        <v>441</v>
      </c>
      <c r="Q643" t="s">
        <v>349</v>
      </c>
      <c r="R643">
        <v>2018</v>
      </c>
      <c r="S643" t="s">
        <v>797</v>
      </c>
      <c r="T643">
        <f>IF(IPL_Matches_2008_2020___New[[#This Row],[Toss Winner]]=IPL_Matches_2008_2020___New[[#This Row],[Winner]],1,0)</f>
        <v>1</v>
      </c>
      <c r="U643" t="s">
        <v>801</v>
      </c>
    </row>
    <row r="644" spans="1:21" x14ac:dyDescent="0.3">
      <c r="A644" t="s">
        <v>1444</v>
      </c>
      <c r="B644" t="s">
        <v>355</v>
      </c>
      <c r="C644">
        <f>YEAR(IPL_Matches_2008_2020___New[[#This Row],[Date ]])</f>
        <v>2018</v>
      </c>
      <c r="D644" s="1">
        <v>43210</v>
      </c>
      <c r="E644" t="s">
        <v>61</v>
      </c>
      <c r="F644" t="s">
        <v>504</v>
      </c>
      <c r="G644" t="s">
        <v>34</v>
      </c>
      <c r="H644" t="s">
        <v>42</v>
      </c>
      <c r="I644" t="s">
        <v>42</v>
      </c>
      <c r="J644" t="s">
        <v>23</v>
      </c>
      <c r="K644" t="s">
        <v>34</v>
      </c>
      <c r="L644" t="s">
        <v>24</v>
      </c>
      <c r="M644">
        <v>64</v>
      </c>
      <c r="N644" t="s">
        <v>25</v>
      </c>
      <c r="O644" t="s">
        <v>796</v>
      </c>
      <c r="P644" t="s">
        <v>583</v>
      </c>
      <c r="Q644" t="s">
        <v>554</v>
      </c>
      <c r="R644">
        <v>2018</v>
      </c>
      <c r="S644" t="s">
        <v>797</v>
      </c>
      <c r="T644">
        <f>IF(IPL_Matches_2008_2020___New[[#This Row],[Toss Winner]]=IPL_Matches_2008_2020___New[[#This Row],[Winner]],1,0)</f>
        <v>0</v>
      </c>
      <c r="U644" t="s">
        <v>798</v>
      </c>
    </row>
    <row r="645" spans="1:21" x14ac:dyDescent="0.3">
      <c r="A645" t="s">
        <v>1445</v>
      </c>
      <c r="B645" t="s">
        <v>53</v>
      </c>
      <c r="C645">
        <f>YEAR(IPL_Matches_2008_2020___New[[#This Row],[Date ]])</f>
        <v>2018</v>
      </c>
      <c r="D645" s="1">
        <v>43211</v>
      </c>
      <c r="E645" t="s">
        <v>648</v>
      </c>
      <c r="F645" t="s">
        <v>55</v>
      </c>
      <c r="G645" t="s">
        <v>22</v>
      </c>
      <c r="H645" t="s">
        <v>800</v>
      </c>
      <c r="I645" t="s">
        <v>800</v>
      </c>
      <c r="J645" t="s">
        <v>23</v>
      </c>
      <c r="K645" t="s">
        <v>800</v>
      </c>
      <c r="L645" t="s">
        <v>43</v>
      </c>
      <c r="M645">
        <v>9</v>
      </c>
      <c r="N645" t="s">
        <v>25</v>
      </c>
      <c r="O645" t="s">
        <v>115</v>
      </c>
      <c r="P645" t="s">
        <v>387</v>
      </c>
      <c r="Q645" t="s">
        <v>610</v>
      </c>
      <c r="R645">
        <v>2018</v>
      </c>
      <c r="S645" t="s">
        <v>803</v>
      </c>
      <c r="T645">
        <f>IF(IPL_Matches_2008_2020___New[[#This Row],[Toss Winner]]=IPL_Matches_2008_2020___New[[#This Row],[Winner]],1,0)</f>
        <v>1</v>
      </c>
      <c r="U645" t="s">
        <v>801</v>
      </c>
    </row>
    <row r="646" spans="1:21" x14ac:dyDescent="0.3">
      <c r="A646" t="s">
        <v>1446</v>
      </c>
      <c r="B646" t="s">
        <v>607</v>
      </c>
      <c r="C646">
        <f>YEAR(IPL_Matches_2008_2020___New[[#This Row],[Date ]])</f>
        <v>2018</v>
      </c>
      <c r="D646" s="1">
        <v>43211</v>
      </c>
      <c r="E646" t="s">
        <v>157</v>
      </c>
      <c r="F646" t="s">
        <v>795</v>
      </c>
      <c r="G646" t="s">
        <v>21</v>
      </c>
      <c r="H646" t="s">
        <v>692</v>
      </c>
      <c r="I646" t="s">
        <v>21</v>
      </c>
      <c r="J646" t="s">
        <v>23</v>
      </c>
      <c r="K646" t="s">
        <v>21</v>
      </c>
      <c r="L646" t="s">
        <v>43</v>
      </c>
      <c r="M646">
        <v>6</v>
      </c>
      <c r="N646" t="s">
        <v>25</v>
      </c>
      <c r="O646" t="s">
        <v>796</v>
      </c>
      <c r="P646" t="s">
        <v>506</v>
      </c>
      <c r="Q646" t="s">
        <v>418</v>
      </c>
      <c r="R646">
        <v>2018</v>
      </c>
      <c r="S646" t="s">
        <v>803</v>
      </c>
      <c r="T646">
        <f>IF(IPL_Matches_2008_2020___New[[#This Row],[Toss Winner]]=IPL_Matches_2008_2020___New[[#This Row],[Winner]],1,0)</f>
        <v>1</v>
      </c>
      <c r="U646" t="s">
        <v>801</v>
      </c>
    </row>
    <row r="647" spans="1:21" x14ac:dyDescent="0.3">
      <c r="A647" t="s">
        <v>1447</v>
      </c>
      <c r="B647" t="s">
        <v>64</v>
      </c>
      <c r="C647">
        <f>YEAR(IPL_Matches_2008_2020___New[[#This Row],[Date ]])</f>
        <v>2018</v>
      </c>
      <c r="D647" s="1">
        <v>43212</v>
      </c>
      <c r="E647" t="s">
        <v>257</v>
      </c>
      <c r="F647" t="s">
        <v>67</v>
      </c>
      <c r="G647" t="s">
        <v>406</v>
      </c>
      <c r="H647" t="s">
        <v>34</v>
      </c>
      <c r="I647" t="s">
        <v>406</v>
      </c>
      <c r="J647" t="s">
        <v>23</v>
      </c>
      <c r="K647" t="s">
        <v>34</v>
      </c>
      <c r="L647" t="s">
        <v>24</v>
      </c>
      <c r="M647">
        <v>4</v>
      </c>
      <c r="N647" t="s">
        <v>25</v>
      </c>
      <c r="O647" t="s">
        <v>796</v>
      </c>
      <c r="P647" t="s">
        <v>354</v>
      </c>
      <c r="Q647" t="s">
        <v>349</v>
      </c>
      <c r="R647">
        <v>2018</v>
      </c>
      <c r="S647" t="s">
        <v>797</v>
      </c>
      <c r="T647">
        <f>IF(IPL_Matches_2008_2020___New[[#This Row],[Toss Winner]]=IPL_Matches_2008_2020___New[[#This Row],[Winner]],1,0)</f>
        <v>0</v>
      </c>
      <c r="U647" t="s">
        <v>798</v>
      </c>
    </row>
    <row r="648" spans="1:21" x14ac:dyDescent="0.3">
      <c r="A648" t="s">
        <v>1448</v>
      </c>
      <c r="B648" t="s">
        <v>59</v>
      </c>
      <c r="C648">
        <f>YEAR(IPL_Matches_2008_2020___New[[#This Row],[Date ]])</f>
        <v>2018</v>
      </c>
      <c r="D648" s="1">
        <v>43212</v>
      </c>
      <c r="E648" t="s">
        <v>662</v>
      </c>
      <c r="F648" t="s">
        <v>62</v>
      </c>
      <c r="G648" t="s">
        <v>42</v>
      </c>
      <c r="H648" t="s">
        <v>50</v>
      </c>
      <c r="I648" t="s">
        <v>50</v>
      </c>
      <c r="J648" t="s">
        <v>35</v>
      </c>
      <c r="K648" t="s">
        <v>42</v>
      </c>
      <c r="L648" t="s">
        <v>43</v>
      </c>
      <c r="M648">
        <v>3</v>
      </c>
      <c r="N648" t="s">
        <v>25</v>
      </c>
      <c r="O648" t="s">
        <v>796</v>
      </c>
      <c r="P648" t="s">
        <v>583</v>
      </c>
      <c r="Q648" t="s">
        <v>305</v>
      </c>
      <c r="R648">
        <v>2018</v>
      </c>
      <c r="S648" t="s">
        <v>803</v>
      </c>
      <c r="T648">
        <f>IF(IPL_Matches_2008_2020___New[[#This Row],[Toss Winner]]=IPL_Matches_2008_2020___New[[#This Row],[Winner]],1,0)</f>
        <v>0</v>
      </c>
      <c r="U648" t="s">
        <v>798</v>
      </c>
    </row>
    <row r="649" spans="1:21" x14ac:dyDescent="0.3">
      <c r="A649" t="s">
        <v>1449</v>
      </c>
      <c r="B649" t="s">
        <v>38</v>
      </c>
      <c r="C649">
        <f>YEAR(IPL_Matches_2008_2020___New[[#This Row],[Date ]])</f>
        <v>2018</v>
      </c>
      <c r="D649" s="1">
        <v>43213</v>
      </c>
      <c r="E649" t="s">
        <v>664</v>
      </c>
      <c r="F649" t="s">
        <v>40</v>
      </c>
      <c r="G649" t="s">
        <v>692</v>
      </c>
      <c r="H649" t="s">
        <v>800</v>
      </c>
      <c r="I649" t="s">
        <v>692</v>
      </c>
      <c r="J649" t="s">
        <v>23</v>
      </c>
      <c r="K649" t="s">
        <v>800</v>
      </c>
      <c r="L649" t="s">
        <v>24</v>
      </c>
      <c r="M649">
        <v>4</v>
      </c>
      <c r="N649" t="s">
        <v>25</v>
      </c>
      <c r="O649" t="s">
        <v>796</v>
      </c>
      <c r="P649" t="s">
        <v>562</v>
      </c>
      <c r="Q649" t="s">
        <v>418</v>
      </c>
      <c r="R649">
        <v>2018</v>
      </c>
      <c r="S649" t="s">
        <v>797</v>
      </c>
      <c r="T649">
        <f>IF(IPL_Matches_2008_2020___New[[#This Row],[Toss Winner]]=IPL_Matches_2008_2020___New[[#This Row],[Winner]],1,0)</f>
        <v>0</v>
      </c>
      <c r="U649" t="s">
        <v>798</v>
      </c>
    </row>
    <row r="650" spans="1:21" x14ac:dyDescent="0.3">
      <c r="A650" t="s">
        <v>1450</v>
      </c>
      <c r="B650" t="s">
        <v>46</v>
      </c>
      <c r="C650">
        <f>YEAR(IPL_Matches_2008_2020___New[[#This Row],[Date ]])</f>
        <v>2018</v>
      </c>
      <c r="D650" s="1">
        <v>43214</v>
      </c>
      <c r="E650" t="s">
        <v>609</v>
      </c>
      <c r="F650" t="s">
        <v>49</v>
      </c>
      <c r="G650" t="s">
        <v>50</v>
      </c>
      <c r="H650" t="s">
        <v>406</v>
      </c>
      <c r="I650" t="s">
        <v>50</v>
      </c>
      <c r="J650" t="s">
        <v>23</v>
      </c>
      <c r="K650" t="s">
        <v>406</v>
      </c>
      <c r="L650" t="s">
        <v>24</v>
      </c>
      <c r="M650">
        <v>31</v>
      </c>
      <c r="N650" t="s">
        <v>25</v>
      </c>
      <c r="O650" t="s">
        <v>796</v>
      </c>
      <c r="P650" t="s">
        <v>387</v>
      </c>
      <c r="Q650" t="s">
        <v>183</v>
      </c>
      <c r="R650">
        <v>2018</v>
      </c>
      <c r="S650" t="s">
        <v>797</v>
      </c>
      <c r="T650">
        <f>IF(IPL_Matches_2008_2020___New[[#This Row],[Toss Winner]]=IPL_Matches_2008_2020___New[[#This Row],[Winner]],1,0)</f>
        <v>0</v>
      </c>
      <c r="U650" t="s">
        <v>798</v>
      </c>
    </row>
    <row r="651" spans="1:21" x14ac:dyDescent="0.3">
      <c r="A651" t="s">
        <v>1451</v>
      </c>
      <c r="B651" t="s">
        <v>607</v>
      </c>
      <c r="C651">
        <f>YEAR(IPL_Matches_2008_2020___New[[#This Row],[Date ]])</f>
        <v>2018</v>
      </c>
      <c r="D651" s="1">
        <v>43215</v>
      </c>
      <c r="E651" t="s">
        <v>87</v>
      </c>
      <c r="F651" t="s">
        <v>795</v>
      </c>
      <c r="G651" t="s">
        <v>21</v>
      </c>
      <c r="H651" t="s">
        <v>34</v>
      </c>
      <c r="I651" t="s">
        <v>34</v>
      </c>
      <c r="J651" t="s">
        <v>23</v>
      </c>
      <c r="K651" t="s">
        <v>34</v>
      </c>
      <c r="L651" t="s">
        <v>43</v>
      </c>
      <c r="M651">
        <v>5</v>
      </c>
      <c r="N651" t="s">
        <v>25</v>
      </c>
      <c r="O651" t="s">
        <v>796</v>
      </c>
      <c r="P651" t="s">
        <v>441</v>
      </c>
      <c r="Q651" t="s">
        <v>552</v>
      </c>
      <c r="R651">
        <v>2018</v>
      </c>
      <c r="S651" t="s">
        <v>803</v>
      </c>
      <c r="T651">
        <f>IF(IPL_Matches_2008_2020___New[[#This Row],[Toss Winner]]=IPL_Matches_2008_2020___New[[#This Row],[Winner]],1,0)</f>
        <v>1</v>
      </c>
      <c r="U651" t="s">
        <v>801</v>
      </c>
    </row>
    <row r="652" spans="1:21" x14ac:dyDescent="0.3">
      <c r="A652" t="s">
        <v>1452</v>
      </c>
      <c r="B652" t="s">
        <v>64</v>
      </c>
      <c r="C652">
        <f>YEAR(IPL_Matches_2008_2020___New[[#This Row],[Date ]])</f>
        <v>2018</v>
      </c>
      <c r="D652" s="1">
        <v>43216</v>
      </c>
      <c r="E652" t="s">
        <v>664</v>
      </c>
      <c r="F652" t="s">
        <v>67</v>
      </c>
      <c r="G652" t="s">
        <v>406</v>
      </c>
      <c r="H652" t="s">
        <v>800</v>
      </c>
      <c r="I652" t="s">
        <v>800</v>
      </c>
      <c r="J652" t="s">
        <v>23</v>
      </c>
      <c r="K652" t="s">
        <v>406</v>
      </c>
      <c r="L652" t="s">
        <v>24</v>
      </c>
      <c r="M652">
        <v>13</v>
      </c>
      <c r="N652" t="s">
        <v>25</v>
      </c>
      <c r="O652" t="s">
        <v>796</v>
      </c>
      <c r="P652" t="s">
        <v>617</v>
      </c>
      <c r="Q652" t="s">
        <v>418</v>
      </c>
      <c r="R652">
        <v>2018</v>
      </c>
      <c r="S652" t="s">
        <v>797</v>
      </c>
      <c r="T652">
        <f>IF(IPL_Matches_2008_2020___New[[#This Row],[Toss Winner]]=IPL_Matches_2008_2020___New[[#This Row],[Winner]],1,0)</f>
        <v>0</v>
      </c>
      <c r="U652" t="s">
        <v>798</v>
      </c>
    </row>
    <row r="653" spans="1:21" x14ac:dyDescent="0.3">
      <c r="A653" t="s">
        <v>1453</v>
      </c>
      <c r="B653" t="s">
        <v>38</v>
      </c>
      <c r="C653">
        <f>YEAR(IPL_Matches_2008_2020___New[[#This Row],[Date ]])</f>
        <v>2018</v>
      </c>
      <c r="D653" s="1">
        <v>43217</v>
      </c>
      <c r="E653" t="s">
        <v>524</v>
      </c>
      <c r="F653" t="s">
        <v>40</v>
      </c>
      <c r="G653" t="s">
        <v>692</v>
      </c>
      <c r="H653" t="s">
        <v>22</v>
      </c>
      <c r="I653" t="s">
        <v>22</v>
      </c>
      <c r="J653" t="s">
        <v>23</v>
      </c>
      <c r="K653" t="s">
        <v>692</v>
      </c>
      <c r="L653" t="s">
        <v>24</v>
      </c>
      <c r="M653">
        <v>55</v>
      </c>
      <c r="N653" t="s">
        <v>25</v>
      </c>
      <c r="O653" t="s">
        <v>796</v>
      </c>
      <c r="P653" t="s">
        <v>387</v>
      </c>
      <c r="Q653" t="s">
        <v>183</v>
      </c>
      <c r="R653">
        <v>2018</v>
      </c>
      <c r="S653" t="s">
        <v>797</v>
      </c>
      <c r="T653">
        <f>IF(IPL_Matches_2008_2020___New[[#This Row],[Toss Winner]]=IPL_Matches_2008_2020___New[[#This Row],[Winner]],1,0)</f>
        <v>0</v>
      </c>
      <c r="U653" t="s">
        <v>798</v>
      </c>
    </row>
    <row r="654" spans="1:21" x14ac:dyDescent="0.3">
      <c r="A654" t="s">
        <v>1454</v>
      </c>
      <c r="B654" t="s">
        <v>355</v>
      </c>
      <c r="C654">
        <f>YEAR(IPL_Matches_2008_2020___New[[#This Row],[Date ]])</f>
        <v>2018</v>
      </c>
      <c r="D654" s="1">
        <v>43218</v>
      </c>
      <c r="E654" t="s">
        <v>190</v>
      </c>
      <c r="F654" t="s">
        <v>504</v>
      </c>
      <c r="G654" t="s">
        <v>34</v>
      </c>
      <c r="H654" t="s">
        <v>50</v>
      </c>
      <c r="I654" t="s">
        <v>50</v>
      </c>
      <c r="J654" t="s">
        <v>23</v>
      </c>
      <c r="K654" t="s">
        <v>50</v>
      </c>
      <c r="L654" t="s">
        <v>43</v>
      </c>
      <c r="M654">
        <v>8</v>
      </c>
      <c r="N654" t="s">
        <v>25</v>
      </c>
      <c r="O654" t="s">
        <v>796</v>
      </c>
      <c r="P654" t="s">
        <v>506</v>
      </c>
      <c r="Q654" t="s">
        <v>554</v>
      </c>
      <c r="R654">
        <v>2018</v>
      </c>
      <c r="S654" t="s">
        <v>803</v>
      </c>
      <c r="T654">
        <f>IF(IPL_Matches_2008_2020___New[[#This Row],[Toss Winner]]=IPL_Matches_2008_2020___New[[#This Row],[Winner]],1,0)</f>
        <v>1</v>
      </c>
      <c r="U654" t="s">
        <v>801</v>
      </c>
    </row>
    <row r="655" spans="1:21" x14ac:dyDescent="0.3">
      <c r="A655" t="s">
        <v>1455</v>
      </c>
      <c r="B655" t="s">
        <v>59</v>
      </c>
      <c r="C655">
        <f>YEAR(IPL_Matches_2008_2020___New[[#This Row],[Date ]])</f>
        <v>2018</v>
      </c>
      <c r="D655" s="1">
        <v>43219</v>
      </c>
      <c r="E655" t="s">
        <v>623</v>
      </c>
      <c r="F655" t="s">
        <v>62</v>
      </c>
      <c r="G655" t="s">
        <v>42</v>
      </c>
      <c r="H655" t="s">
        <v>406</v>
      </c>
      <c r="I655" t="s">
        <v>406</v>
      </c>
      <c r="J655" t="s">
        <v>35</v>
      </c>
      <c r="K655" t="s">
        <v>406</v>
      </c>
      <c r="L655" t="s">
        <v>24</v>
      </c>
      <c r="M655">
        <v>11</v>
      </c>
      <c r="N655" t="s">
        <v>25</v>
      </c>
      <c r="O655" t="s">
        <v>796</v>
      </c>
      <c r="P655" t="s">
        <v>359</v>
      </c>
      <c r="Q655" t="s">
        <v>562</v>
      </c>
      <c r="R655">
        <v>2018</v>
      </c>
      <c r="S655" t="s">
        <v>797</v>
      </c>
      <c r="T655">
        <f>IF(IPL_Matches_2008_2020___New[[#This Row],[Toss Winner]]=IPL_Matches_2008_2020___New[[#This Row],[Winner]],1,0)</f>
        <v>1</v>
      </c>
      <c r="U655" t="s">
        <v>801</v>
      </c>
    </row>
    <row r="656" spans="1:21" x14ac:dyDescent="0.3">
      <c r="A656" t="s">
        <v>1456</v>
      </c>
      <c r="B656" t="s">
        <v>607</v>
      </c>
      <c r="C656">
        <f>YEAR(IPL_Matches_2008_2020___New[[#This Row],[Date ]])</f>
        <v>2018</v>
      </c>
      <c r="D656" s="1">
        <v>43219</v>
      </c>
      <c r="E656" t="s">
        <v>473</v>
      </c>
      <c r="F656" t="s">
        <v>795</v>
      </c>
      <c r="G656" t="s">
        <v>21</v>
      </c>
      <c r="H656" t="s">
        <v>22</v>
      </c>
      <c r="I656" t="s">
        <v>22</v>
      </c>
      <c r="J656" t="s">
        <v>23</v>
      </c>
      <c r="K656" t="s">
        <v>22</v>
      </c>
      <c r="L656" t="s">
        <v>43</v>
      </c>
      <c r="M656">
        <v>6</v>
      </c>
      <c r="N656" t="s">
        <v>25</v>
      </c>
      <c r="O656" t="s">
        <v>796</v>
      </c>
      <c r="P656" t="s">
        <v>441</v>
      </c>
      <c r="Q656" t="s">
        <v>349</v>
      </c>
      <c r="R656">
        <v>2018</v>
      </c>
      <c r="S656" t="s">
        <v>803</v>
      </c>
      <c r="T656">
        <f>IF(IPL_Matches_2008_2020___New[[#This Row],[Toss Winner]]=IPL_Matches_2008_2020___New[[#This Row],[Winner]],1,0)</f>
        <v>1</v>
      </c>
      <c r="U656" t="s">
        <v>801</v>
      </c>
    </row>
    <row r="657" spans="1:21" x14ac:dyDescent="0.3">
      <c r="A657" t="s">
        <v>1457</v>
      </c>
      <c r="B657" t="s">
        <v>355</v>
      </c>
      <c r="C657">
        <f>YEAR(IPL_Matches_2008_2020___New[[#This Row],[Date ]])</f>
        <v>2018</v>
      </c>
      <c r="D657" s="1">
        <v>43220</v>
      </c>
      <c r="E657" t="s">
        <v>61</v>
      </c>
      <c r="F657" t="s">
        <v>504</v>
      </c>
      <c r="G657" t="s">
        <v>34</v>
      </c>
      <c r="H657" t="s">
        <v>692</v>
      </c>
      <c r="I657" t="s">
        <v>692</v>
      </c>
      <c r="J657" t="s">
        <v>23</v>
      </c>
      <c r="K657" t="s">
        <v>34</v>
      </c>
      <c r="L657" t="s">
        <v>24</v>
      </c>
      <c r="M657">
        <v>13</v>
      </c>
      <c r="N657" t="s">
        <v>25</v>
      </c>
      <c r="O657" t="s">
        <v>796</v>
      </c>
      <c r="P657" t="s">
        <v>576</v>
      </c>
      <c r="Q657" t="s">
        <v>387</v>
      </c>
      <c r="R657">
        <v>2018</v>
      </c>
      <c r="S657" t="s">
        <v>797</v>
      </c>
      <c r="T657">
        <f>IF(IPL_Matches_2008_2020___New[[#This Row],[Toss Winner]]=IPL_Matches_2008_2020___New[[#This Row],[Winner]],1,0)</f>
        <v>0</v>
      </c>
      <c r="U657" t="s">
        <v>798</v>
      </c>
    </row>
    <row r="658" spans="1:21" x14ac:dyDescent="0.3">
      <c r="A658" t="s">
        <v>1458</v>
      </c>
      <c r="B658" t="s">
        <v>607</v>
      </c>
      <c r="C658">
        <f>YEAR(IPL_Matches_2008_2020___New[[#This Row],[Date ]])</f>
        <v>2018</v>
      </c>
      <c r="D658" s="1">
        <v>43221</v>
      </c>
      <c r="E658" t="s">
        <v>672</v>
      </c>
      <c r="F658" t="s">
        <v>795</v>
      </c>
      <c r="G658" t="s">
        <v>21</v>
      </c>
      <c r="H658" t="s">
        <v>50</v>
      </c>
      <c r="I658" t="s">
        <v>50</v>
      </c>
      <c r="J658" t="s">
        <v>23</v>
      </c>
      <c r="K658" t="s">
        <v>21</v>
      </c>
      <c r="L658" t="s">
        <v>24</v>
      </c>
      <c r="M658">
        <v>14</v>
      </c>
      <c r="N658" t="s">
        <v>25</v>
      </c>
      <c r="O658" t="s">
        <v>796</v>
      </c>
      <c r="P658" t="s">
        <v>155</v>
      </c>
      <c r="Q658" t="s">
        <v>554</v>
      </c>
      <c r="R658">
        <v>2018</v>
      </c>
      <c r="S658" t="s">
        <v>797</v>
      </c>
      <c r="T658">
        <f>IF(IPL_Matches_2008_2020___New[[#This Row],[Toss Winner]]=IPL_Matches_2008_2020___New[[#This Row],[Winner]],1,0)</f>
        <v>0</v>
      </c>
      <c r="U658" t="s">
        <v>798</v>
      </c>
    </row>
    <row r="659" spans="1:21" x14ac:dyDescent="0.3">
      <c r="A659" t="s">
        <v>1459</v>
      </c>
      <c r="B659" t="s">
        <v>38</v>
      </c>
      <c r="C659">
        <f>YEAR(IPL_Matches_2008_2020___New[[#This Row],[Date ]])</f>
        <v>2018</v>
      </c>
      <c r="D659" s="1">
        <v>43222</v>
      </c>
      <c r="E659" t="s">
        <v>584</v>
      </c>
      <c r="F659" t="s">
        <v>40</v>
      </c>
      <c r="G659" t="s">
        <v>692</v>
      </c>
      <c r="H659" t="s">
        <v>42</v>
      </c>
      <c r="I659" t="s">
        <v>42</v>
      </c>
      <c r="J659" t="s">
        <v>23</v>
      </c>
      <c r="K659" t="s">
        <v>692</v>
      </c>
      <c r="L659" t="s">
        <v>24</v>
      </c>
      <c r="M659">
        <v>4</v>
      </c>
      <c r="N659" t="s">
        <v>25</v>
      </c>
      <c r="O659" t="s">
        <v>115</v>
      </c>
      <c r="P659" t="s">
        <v>552</v>
      </c>
      <c r="Q659" t="s">
        <v>418</v>
      </c>
      <c r="R659">
        <v>2018</v>
      </c>
      <c r="S659" t="s">
        <v>797</v>
      </c>
      <c r="T659">
        <f>IF(IPL_Matches_2008_2020___New[[#This Row],[Toss Winner]]=IPL_Matches_2008_2020___New[[#This Row],[Winner]],1,0)</f>
        <v>0</v>
      </c>
      <c r="U659" t="s">
        <v>798</v>
      </c>
    </row>
    <row r="660" spans="1:21" x14ac:dyDescent="0.3">
      <c r="A660" t="s">
        <v>1460</v>
      </c>
      <c r="B660" t="s">
        <v>53</v>
      </c>
      <c r="C660">
        <f>YEAR(IPL_Matches_2008_2020___New[[#This Row],[Date ]])</f>
        <v>2018</v>
      </c>
      <c r="D660" s="1">
        <v>43223</v>
      </c>
      <c r="E660" t="s">
        <v>368</v>
      </c>
      <c r="F660" t="s">
        <v>55</v>
      </c>
      <c r="G660" t="s">
        <v>22</v>
      </c>
      <c r="H660" t="s">
        <v>34</v>
      </c>
      <c r="I660" t="s">
        <v>22</v>
      </c>
      <c r="J660" t="s">
        <v>23</v>
      </c>
      <c r="K660" t="s">
        <v>22</v>
      </c>
      <c r="L660" t="s">
        <v>43</v>
      </c>
      <c r="M660">
        <v>6</v>
      </c>
      <c r="N660" t="s">
        <v>25</v>
      </c>
      <c r="O660" t="s">
        <v>796</v>
      </c>
      <c r="P660" t="s">
        <v>165</v>
      </c>
      <c r="Q660" t="s">
        <v>610</v>
      </c>
      <c r="R660">
        <v>2018</v>
      </c>
      <c r="S660" t="s">
        <v>803</v>
      </c>
      <c r="T660">
        <f>IF(IPL_Matches_2008_2020___New[[#This Row],[Toss Winner]]=IPL_Matches_2008_2020___New[[#This Row],[Winner]],1,0)</f>
        <v>1</v>
      </c>
      <c r="U660" t="s">
        <v>801</v>
      </c>
    </row>
    <row r="661" spans="1:21" x14ac:dyDescent="0.3">
      <c r="A661" t="s">
        <v>1461</v>
      </c>
      <c r="B661" t="s">
        <v>327</v>
      </c>
      <c r="C661">
        <f>YEAR(IPL_Matches_2008_2020___New[[#This Row],[Date ]])</f>
        <v>2018</v>
      </c>
      <c r="D661" s="1">
        <v>43224</v>
      </c>
      <c r="E661" t="s">
        <v>572</v>
      </c>
      <c r="F661" t="s">
        <v>329</v>
      </c>
      <c r="G661" t="s">
        <v>800</v>
      </c>
      <c r="H661" t="s">
        <v>50</v>
      </c>
      <c r="I661" t="s">
        <v>50</v>
      </c>
      <c r="J661" t="s">
        <v>23</v>
      </c>
      <c r="K661" t="s">
        <v>50</v>
      </c>
      <c r="L661" t="s">
        <v>43</v>
      </c>
      <c r="M661">
        <v>6</v>
      </c>
      <c r="N661" t="s">
        <v>25</v>
      </c>
      <c r="O661" t="s">
        <v>796</v>
      </c>
      <c r="P661" t="s">
        <v>576</v>
      </c>
      <c r="Q661" t="s">
        <v>183</v>
      </c>
      <c r="R661">
        <v>2018</v>
      </c>
      <c r="S661" t="s">
        <v>803</v>
      </c>
      <c r="T661">
        <f>IF(IPL_Matches_2008_2020___New[[#This Row],[Toss Winner]]=IPL_Matches_2008_2020___New[[#This Row],[Winner]],1,0)</f>
        <v>1</v>
      </c>
      <c r="U661" t="s">
        <v>801</v>
      </c>
    </row>
    <row r="662" spans="1:21" x14ac:dyDescent="0.3">
      <c r="A662" t="s">
        <v>1462</v>
      </c>
      <c r="B662" t="s">
        <v>355</v>
      </c>
      <c r="C662">
        <f>YEAR(IPL_Matches_2008_2020___New[[#This Row],[Date ]])</f>
        <v>2018</v>
      </c>
      <c r="D662" s="1">
        <v>43225</v>
      </c>
      <c r="E662" t="s">
        <v>352</v>
      </c>
      <c r="F662" t="s">
        <v>504</v>
      </c>
      <c r="G662" t="s">
        <v>34</v>
      </c>
      <c r="H662" t="s">
        <v>21</v>
      </c>
      <c r="I662" t="s">
        <v>34</v>
      </c>
      <c r="J662" t="s">
        <v>23</v>
      </c>
      <c r="K662" t="s">
        <v>34</v>
      </c>
      <c r="L662" t="s">
        <v>43</v>
      </c>
      <c r="M662">
        <v>6</v>
      </c>
      <c r="N662" t="s">
        <v>25</v>
      </c>
      <c r="O662" t="s">
        <v>796</v>
      </c>
      <c r="P662" t="s">
        <v>554</v>
      </c>
      <c r="Q662" t="s">
        <v>617</v>
      </c>
      <c r="R662">
        <v>2018</v>
      </c>
      <c r="S662" t="s">
        <v>803</v>
      </c>
      <c r="T662">
        <f>IF(IPL_Matches_2008_2020___New[[#This Row],[Toss Winner]]=IPL_Matches_2008_2020___New[[#This Row],[Winner]],1,0)</f>
        <v>1</v>
      </c>
      <c r="U662" t="s">
        <v>801</v>
      </c>
    </row>
    <row r="663" spans="1:21" x14ac:dyDescent="0.3">
      <c r="A663" t="s">
        <v>1463</v>
      </c>
      <c r="B663" t="s">
        <v>64</v>
      </c>
      <c r="C663">
        <f>YEAR(IPL_Matches_2008_2020___New[[#This Row],[Date ]])</f>
        <v>2018</v>
      </c>
      <c r="D663" s="1">
        <v>43225</v>
      </c>
      <c r="E663" t="s">
        <v>609</v>
      </c>
      <c r="F663" t="s">
        <v>67</v>
      </c>
      <c r="G663" t="s">
        <v>406</v>
      </c>
      <c r="H663" t="s">
        <v>692</v>
      </c>
      <c r="I663" t="s">
        <v>692</v>
      </c>
      <c r="J663" t="s">
        <v>35</v>
      </c>
      <c r="K663" t="s">
        <v>406</v>
      </c>
      <c r="L663" t="s">
        <v>43</v>
      </c>
      <c r="M663">
        <v>7</v>
      </c>
      <c r="N663" t="s">
        <v>25</v>
      </c>
      <c r="O663" t="s">
        <v>796</v>
      </c>
      <c r="P663" t="s">
        <v>359</v>
      </c>
      <c r="Q663" t="s">
        <v>418</v>
      </c>
      <c r="R663">
        <v>2018</v>
      </c>
      <c r="S663" t="s">
        <v>803</v>
      </c>
      <c r="T663">
        <f>IF(IPL_Matches_2008_2020___New[[#This Row],[Toss Winner]]=IPL_Matches_2008_2020___New[[#This Row],[Winner]],1,0)</f>
        <v>0</v>
      </c>
      <c r="U663" t="s">
        <v>798</v>
      </c>
    </row>
    <row r="664" spans="1:21" x14ac:dyDescent="0.3">
      <c r="A664" t="s">
        <v>1464</v>
      </c>
      <c r="B664" t="s">
        <v>46</v>
      </c>
      <c r="C664">
        <f>YEAR(IPL_Matches_2008_2020___New[[#This Row],[Date ]])</f>
        <v>2018</v>
      </c>
      <c r="D664" s="1">
        <v>43226</v>
      </c>
      <c r="E664" t="s">
        <v>536</v>
      </c>
      <c r="F664" t="s">
        <v>49</v>
      </c>
      <c r="G664" t="s">
        <v>50</v>
      </c>
      <c r="H664" t="s">
        <v>22</v>
      </c>
      <c r="I664" t="s">
        <v>22</v>
      </c>
      <c r="J664" t="s">
        <v>23</v>
      </c>
      <c r="K664" t="s">
        <v>50</v>
      </c>
      <c r="L664" t="s">
        <v>24</v>
      </c>
      <c r="M664">
        <v>13</v>
      </c>
      <c r="N664" t="s">
        <v>25</v>
      </c>
      <c r="O664" t="s">
        <v>796</v>
      </c>
      <c r="P664" t="s">
        <v>165</v>
      </c>
      <c r="Q664" t="s">
        <v>610</v>
      </c>
      <c r="R664">
        <v>2018</v>
      </c>
      <c r="S664" t="s">
        <v>797</v>
      </c>
      <c r="T664">
        <f>IF(IPL_Matches_2008_2020___New[[#This Row],[Toss Winner]]=IPL_Matches_2008_2020___New[[#This Row],[Winner]],1,0)</f>
        <v>0</v>
      </c>
      <c r="U664" t="s">
        <v>798</v>
      </c>
    </row>
    <row r="665" spans="1:21" x14ac:dyDescent="0.3">
      <c r="A665" t="s">
        <v>1465</v>
      </c>
      <c r="B665" t="s">
        <v>327</v>
      </c>
      <c r="C665">
        <f>YEAR(IPL_Matches_2008_2020___New[[#This Row],[Date ]])</f>
        <v>2018</v>
      </c>
      <c r="D665" s="1">
        <v>43226</v>
      </c>
      <c r="E665" t="s">
        <v>673</v>
      </c>
      <c r="F665" t="s">
        <v>329</v>
      </c>
      <c r="G665" t="s">
        <v>800</v>
      </c>
      <c r="H665" t="s">
        <v>42</v>
      </c>
      <c r="I665" t="s">
        <v>800</v>
      </c>
      <c r="J665" t="s">
        <v>23</v>
      </c>
      <c r="K665" t="s">
        <v>800</v>
      </c>
      <c r="L665" t="s">
        <v>43</v>
      </c>
      <c r="M665">
        <v>6</v>
      </c>
      <c r="N665" t="s">
        <v>25</v>
      </c>
      <c r="O665" t="s">
        <v>796</v>
      </c>
      <c r="P665" t="s">
        <v>387</v>
      </c>
      <c r="Q665" t="s">
        <v>183</v>
      </c>
      <c r="R665">
        <v>2018</v>
      </c>
      <c r="S665" t="s">
        <v>803</v>
      </c>
      <c r="T665">
        <f>IF(IPL_Matches_2008_2020___New[[#This Row],[Toss Winner]]=IPL_Matches_2008_2020___New[[#This Row],[Winner]],1,0)</f>
        <v>1</v>
      </c>
      <c r="U665" t="s">
        <v>801</v>
      </c>
    </row>
    <row r="666" spans="1:21" x14ac:dyDescent="0.3">
      <c r="A666" t="s">
        <v>1466</v>
      </c>
      <c r="B666" t="s">
        <v>64</v>
      </c>
      <c r="C666">
        <f>YEAR(IPL_Matches_2008_2020___New[[#This Row],[Date ]])</f>
        <v>2018</v>
      </c>
      <c r="D666" s="1">
        <v>43227</v>
      </c>
      <c r="E666" t="s">
        <v>623</v>
      </c>
      <c r="F666" t="s">
        <v>67</v>
      </c>
      <c r="G666" t="s">
        <v>406</v>
      </c>
      <c r="H666" t="s">
        <v>21</v>
      </c>
      <c r="I666" t="s">
        <v>21</v>
      </c>
      <c r="J666" t="s">
        <v>23</v>
      </c>
      <c r="K666" t="s">
        <v>406</v>
      </c>
      <c r="L666" t="s">
        <v>24</v>
      </c>
      <c r="M666">
        <v>5</v>
      </c>
      <c r="N666" t="s">
        <v>25</v>
      </c>
      <c r="O666" t="s">
        <v>796</v>
      </c>
      <c r="P666" t="s">
        <v>359</v>
      </c>
      <c r="Q666" t="s">
        <v>552</v>
      </c>
      <c r="R666">
        <v>2018</v>
      </c>
      <c r="S666" t="s">
        <v>797</v>
      </c>
      <c r="T666">
        <f>IF(IPL_Matches_2008_2020___New[[#This Row],[Toss Winner]]=IPL_Matches_2008_2020___New[[#This Row],[Winner]],1,0)</f>
        <v>0</v>
      </c>
      <c r="U666" t="s">
        <v>798</v>
      </c>
    </row>
    <row r="667" spans="1:21" x14ac:dyDescent="0.3">
      <c r="A667" t="s">
        <v>1467</v>
      </c>
      <c r="B667" t="s">
        <v>59</v>
      </c>
      <c r="C667">
        <f>YEAR(IPL_Matches_2008_2020___New[[#This Row],[Date ]])</f>
        <v>2018</v>
      </c>
      <c r="D667" s="1">
        <v>43228</v>
      </c>
      <c r="E667" t="s">
        <v>625</v>
      </c>
      <c r="F667" t="s">
        <v>62</v>
      </c>
      <c r="G667" t="s">
        <v>42</v>
      </c>
      <c r="H667" t="s">
        <v>800</v>
      </c>
      <c r="I667" t="s">
        <v>42</v>
      </c>
      <c r="J667" t="s">
        <v>35</v>
      </c>
      <c r="K667" t="s">
        <v>42</v>
      </c>
      <c r="L667" t="s">
        <v>24</v>
      </c>
      <c r="M667">
        <v>15</v>
      </c>
      <c r="N667" t="s">
        <v>25</v>
      </c>
      <c r="O667" t="s">
        <v>796</v>
      </c>
      <c r="P667" t="s">
        <v>155</v>
      </c>
      <c r="Q667" t="s">
        <v>554</v>
      </c>
      <c r="R667">
        <v>2018</v>
      </c>
      <c r="S667" t="s">
        <v>797</v>
      </c>
      <c r="T667">
        <f>IF(IPL_Matches_2008_2020___New[[#This Row],[Toss Winner]]=IPL_Matches_2008_2020___New[[#This Row],[Winner]],1,0)</f>
        <v>1</v>
      </c>
      <c r="U667" t="s">
        <v>801</v>
      </c>
    </row>
    <row r="668" spans="1:21" x14ac:dyDescent="0.3">
      <c r="A668" t="s">
        <v>1468</v>
      </c>
      <c r="B668" t="s">
        <v>53</v>
      </c>
      <c r="C668">
        <f>YEAR(IPL_Matches_2008_2020___New[[#This Row],[Date ]])</f>
        <v>2018</v>
      </c>
      <c r="D668" s="1">
        <v>43229</v>
      </c>
      <c r="E668" t="s">
        <v>674</v>
      </c>
      <c r="F668" t="s">
        <v>55</v>
      </c>
      <c r="G668" t="s">
        <v>22</v>
      </c>
      <c r="H668" t="s">
        <v>50</v>
      </c>
      <c r="I668" t="s">
        <v>22</v>
      </c>
      <c r="J668" t="s">
        <v>23</v>
      </c>
      <c r="K668" t="s">
        <v>50</v>
      </c>
      <c r="L668" t="s">
        <v>24</v>
      </c>
      <c r="M668">
        <v>102</v>
      </c>
      <c r="N668" t="s">
        <v>25</v>
      </c>
      <c r="O668" t="s">
        <v>796</v>
      </c>
      <c r="P668" t="s">
        <v>583</v>
      </c>
      <c r="Q668" t="s">
        <v>349</v>
      </c>
      <c r="R668">
        <v>2018</v>
      </c>
      <c r="S668" t="s">
        <v>797</v>
      </c>
      <c r="T668">
        <f>IF(IPL_Matches_2008_2020___New[[#This Row],[Toss Winner]]=IPL_Matches_2008_2020___New[[#This Row],[Winner]],1,0)</f>
        <v>0</v>
      </c>
      <c r="U668" t="s">
        <v>798</v>
      </c>
    </row>
    <row r="669" spans="1:21" x14ac:dyDescent="0.3">
      <c r="A669" t="s">
        <v>1469</v>
      </c>
      <c r="B669" t="s">
        <v>38</v>
      </c>
      <c r="C669">
        <f>YEAR(IPL_Matches_2008_2020___New[[#This Row],[Date ]])</f>
        <v>2018</v>
      </c>
      <c r="D669" s="1">
        <v>43230</v>
      </c>
      <c r="E669" t="s">
        <v>339</v>
      </c>
      <c r="F669" t="s">
        <v>40</v>
      </c>
      <c r="G669" t="s">
        <v>692</v>
      </c>
      <c r="H669" t="s">
        <v>406</v>
      </c>
      <c r="I669" t="s">
        <v>692</v>
      </c>
      <c r="J669" t="s">
        <v>35</v>
      </c>
      <c r="K669" t="s">
        <v>406</v>
      </c>
      <c r="L669" t="s">
        <v>43</v>
      </c>
      <c r="M669">
        <v>9</v>
      </c>
      <c r="N669" t="s">
        <v>25</v>
      </c>
      <c r="O669" t="s">
        <v>796</v>
      </c>
      <c r="P669" t="s">
        <v>576</v>
      </c>
      <c r="Q669" t="s">
        <v>387</v>
      </c>
      <c r="R669">
        <v>2018</v>
      </c>
      <c r="S669" t="s">
        <v>803</v>
      </c>
      <c r="T669">
        <f>IF(IPL_Matches_2008_2020___New[[#This Row],[Toss Winner]]=IPL_Matches_2008_2020___New[[#This Row],[Winner]],1,0)</f>
        <v>0</v>
      </c>
      <c r="U669" t="s">
        <v>798</v>
      </c>
    </row>
    <row r="670" spans="1:21" x14ac:dyDescent="0.3">
      <c r="A670" t="s">
        <v>1470</v>
      </c>
      <c r="B670" t="s">
        <v>59</v>
      </c>
      <c r="C670">
        <f>YEAR(IPL_Matches_2008_2020___New[[#This Row],[Date ]])</f>
        <v>2018</v>
      </c>
      <c r="D670" s="1">
        <v>43231</v>
      </c>
      <c r="E670" t="s">
        <v>625</v>
      </c>
      <c r="F670" t="s">
        <v>62</v>
      </c>
      <c r="G670" t="s">
        <v>42</v>
      </c>
      <c r="H670" t="s">
        <v>34</v>
      </c>
      <c r="I670" t="s">
        <v>34</v>
      </c>
      <c r="J670" t="s">
        <v>35</v>
      </c>
      <c r="K670" t="s">
        <v>42</v>
      </c>
      <c r="L670" t="s">
        <v>43</v>
      </c>
      <c r="M670">
        <v>4</v>
      </c>
      <c r="N670" t="s">
        <v>25</v>
      </c>
      <c r="O670" t="s">
        <v>796</v>
      </c>
      <c r="P670" t="s">
        <v>155</v>
      </c>
      <c r="Q670" t="s">
        <v>617</v>
      </c>
      <c r="R670">
        <v>2018</v>
      </c>
      <c r="S670" t="s">
        <v>803</v>
      </c>
      <c r="T670">
        <f>IF(IPL_Matches_2008_2020___New[[#This Row],[Toss Winner]]=IPL_Matches_2008_2020___New[[#This Row],[Winner]],1,0)</f>
        <v>0</v>
      </c>
      <c r="U670" t="s">
        <v>798</v>
      </c>
    </row>
    <row r="671" spans="1:21" x14ac:dyDescent="0.3">
      <c r="A671" t="s">
        <v>1471</v>
      </c>
      <c r="B671" t="s">
        <v>327</v>
      </c>
      <c r="C671">
        <f>YEAR(IPL_Matches_2008_2020___New[[#This Row],[Date ]])</f>
        <v>2018</v>
      </c>
      <c r="D671" s="1">
        <v>43232</v>
      </c>
      <c r="E671" t="s">
        <v>368</v>
      </c>
      <c r="F671" t="s">
        <v>329</v>
      </c>
      <c r="G671" t="s">
        <v>800</v>
      </c>
      <c r="H671" t="s">
        <v>22</v>
      </c>
      <c r="I671" t="s">
        <v>800</v>
      </c>
      <c r="J671" t="s">
        <v>23</v>
      </c>
      <c r="K671" t="s">
        <v>22</v>
      </c>
      <c r="L671" t="s">
        <v>24</v>
      </c>
      <c r="M671">
        <v>31</v>
      </c>
      <c r="N671" t="s">
        <v>25</v>
      </c>
      <c r="O671" t="s">
        <v>796</v>
      </c>
      <c r="P671" t="s">
        <v>552</v>
      </c>
      <c r="Q671" t="s">
        <v>418</v>
      </c>
      <c r="R671">
        <v>2018</v>
      </c>
      <c r="S671" t="s">
        <v>797</v>
      </c>
      <c r="T671">
        <f>IF(IPL_Matches_2008_2020___New[[#This Row],[Toss Winner]]=IPL_Matches_2008_2020___New[[#This Row],[Winner]],1,0)</f>
        <v>0</v>
      </c>
      <c r="U671" t="s">
        <v>798</v>
      </c>
    </row>
    <row r="672" spans="1:21" x14ac:dyDescent="0.3">
      <c r="A672" t="s">
        <v>1472</v>
      </c>
      <c r="B672" t="s">
        <v>38</v>
      </c>
      <c r="C672">
        <f>YEAR(IPL_Matches_2008_2020___New[[#This Row],[Date ]])</f>
        <v>2018</v>
      </c>
      <c r="D672" s="1">
        <v>43232</v>
      </c>
      <c r="E672" t="s">
        <v>157</v>
      </c>
      <c r="F672" t="s">
        <v>40</v>
      </c>
      <c r="G672" t="s">
        <v>692</v>
      </c>
      <c r="H672" t="s">
        <v>21</v>
      </c>
      <c r="I672" t="s">
        <v>21</v>
      </c>
      <c r="J672" t="s">
        <v>23</v>
      </c>
      <c r="K672" t="s">
        <v>21</v>
      </c>
      <c r="L672" t="s">
        <v>43</v>
      </c>
      <c r="M672">
        <v>5</v>
      </c>
      <c r="N672" t="s">
        <v>25</v>
      </c>
      <c r="O672" t="s">
        <v>796</v>
      </c>
      <c r="P672" t="s">
        <v>583</v>
      </c>
      <c r="Q672" t="s">
        <v>165</v>
      </c>
      <c r="R672">
        <v>2018</v>
      </c>
      <c r="S672" t="s">
        <v>803</v>
      </c>
      <c r="T672">
        <f>IF(IPL_Matches_2008_2020___New[[#This Row],[Toss Winner]]=IPL_Matches_2008_2020___New[[#This Row],[Winner]],1,0)</f>
        <v>1</v>
      </c>
      <c r="U672" t="s">
        <v>801</v>
      </c>
    </row>
    <row r="673" spans="1:21" x14ac:dyDescent="0.3">
      <c r="A673" t="s">
        <v>1473</v>
      </c>
      <c r="B673" t="s">
        <v>355</v>
      </c>
      <c r="C673">
        <f>YEAR(IPL_Matches_2008_2020___New[[#This Row],[Date ]])</f>
        <v>2018</v>
      </c>
      <c r="D673" s="1">
        <v>43233</v>
      </c>
      <c r="E673" t="s">
        <v>257</v>
      </c>
      <c r="F673" t="s">
        <v>504</v>
      </c>
      <c r="G673" t="s">
        <v>34</v>
      </c>
      <c r="H673" t="s">
        <v>406</v>
      </c>
      <c r="I673" t="s">
        <v>34</v>
      </c>
      <c r="J673" t="s">
        <v>23</v>
      </c>
      <c r="K673" t="s">
        <v>34</v>
      </c>
      <c r="L673" t="s">
        <v>43</v>
      </c>
      <c r="M673">
        <v>8</v>
      </c>
      <c r="N673" t="s">
        <v>25</v>
      </c>
      <c r="O673" t="s">
        <v>796</v>
      </c>
      <c r="P673" t="s">
        <v>155</v>
      </c>
      <c r="Q673" t="s">
        <v>617</v>
      </c>
      <c r="R673">
        <v>2018</v>
      </c>
      <c r="S673" t="s">
        <v>803</v>
      </c>
      <c r="T673">
        <f>IF(IPL_Matches_2008_2020___New[[#This Row],[Toss Winner]]=IPL_Matches_2008_2020___New[[#This Row],[Winner]],1,0)</f>
        <v>1</v>
      </c>
      <c r="U673" t="s">
        <v>801</v>
      </c>
    </row>
    <row r="674" spans="1:21" x14ac:dyDescent="0.3">
      <c r="A674" t="s">
        <v>1474</v>
      </c>
      <c r="B674" t="s">
        <v>46</v>
      </c>
      <c r="C674">
        <f>YEAR(IPL_Matches_2008_2020___New[[#This Row],[Date ]])</f>
        <v>2018</v>
      </c>
      <c r="D674" s="1">
        <v>43233</v>
      </c>
      <c r="E674" t="s">
        <v>625</v>
      </c>
      <c r="F674" t="s">
        <v>49</v>
      </c>
      <c r="G674" t="s">
        <v>50</v>
      </c>
      <c r="H674" t="s">
        <v>42</v>
      </c>
      <c r="I674" t="s">
        <v>42</v>
      </c>
      <c r="J674" t="s">
        <v>23</v>
      </c>
      <c r="K674" t="s">
        <v>42</v>
      </c>
      <c r="L674" t="s">
        <v>43</v>
      </c>
      <c r="M674">
        <v>7</v>
      </c>
      <c r="N674" t="s">
        <v>25</v>
      </c>
      <c r="O674" t="s">
        <v>796</v>
      </c>
      <c r="P674" t="s">
        <v>554</v>
      </c>
      <c r="Q674" t="s">
        <v>183</v>
      </c>
      <c r="R674">
        <v>2018</v>
      </c>
      <c r="S674" t="s">
        <v>803</v>
      </c>
      <c r="T674">
        <f>IF(IPL_Matches_2008_2020___New[[#This Row],[Toss Winner]]=IPL_Matches_2008_2020___New[[#This Row],[Winner]],1,0)</f>
        <v>1</v>
      </c>
      <c r="U674" t="s">
        <v>801</v>
      </c>
    </row>
    <row r="675" spans="1:21" x14ac:dyDescent="0.3">
      <c r="A675" t="s">
        <v>1475</v>
      </c>
      <c r="B675" t="s">
        <v>327</v>
      </c>
      <c r="C675">
        <f>YEAR(IPL_Matches_2008_2020___New[[#This Row],[Date ]])</f>
        <v>2018</v>
      </c>
      <c r="D675" s="1">
        <v>43234</v>
      </c>
      <c r="E675" t="s">
        <v>395</v>
      </c>
      <c r="F675" t="s">
        <v>329</v>
      </c>
      <c r="G675" t="s">
        <v>800</v>
      </c>
      <c r="H675" t="s">
        <v>21</v>
      </c>
      <c r="I675" t="s">
        <v>21</v>
      </c>
      <c r="J675" t="s">
        <v>23</v>
      </c>
      <c r="K675" t="s">
        <v>21</v>
      </c>
      <c r="L675" t="s">
        <v>43</v>
      </c>
      <c r="M675">
        <v>10</v>
      </c>
      <c r="N675" t="s">
        <v>25</v>
      </c>
      <c r="O675" t="s">
        <v>796</v>
      </c>
      <c r="P675" t="s">
        <v>359</v>
      </c>
      <c r="Q675" t="s">
        <v>552</v>
      </c>
      <c r="R675">
        <v>2018</v>
      </c>
      <c r="S675" t="s">
        <v>803</v>
      </c>
      <c r="T675">
        <f>IF(IPL_Matches_2008_2020___New[[#This Row],[Toss Winner]]=IPL_Matches_2008_2020___New[[#This Row],[Winner]],1,0)</f>
        <v>1</v>
      </c>
      <c r="U675" t="s">
        <v>801</v>
      </c>
    </row>
    <row r="676" spans="1:21" x14ac:dyDescent="0.3">
      <c r="A676" t="s">
        <v>1476</v>
      </c>
      <c r="B676" t="s">
        <v>53</v>
      </c>
      <c r="C676">
        <f>YEAR(IPL_Matches_2008_2020___New[[#This Row],[Date ]])</f>
        <v>2018</v>
      </c>
      <c r="D676" s="1">
        <v>43235</v>
      </c>
      <c r="E676" t="s">
        <v>678</v>
      </c>
      <c r="F676" t="s">
        <v>55</v>
      </c>
      <c r="G676" t="s">
        <v>22</v>
      </c>
      <c r="H676" t="s">
        <v>42</v>
      </c>
      <c r="I676" t="s">
        <v>22</v>
      </c>
      <c r="J676" t="s">
        <v>23</v>
      </c>
      <c r="K676" t="s">
        <v>22</v>
      </c>
      <c r="L676" t="s">
        <v>43</v>
      </c>
      <c r="M676">
        <v>6</v>
      </c>
      <c r="N676" t="s">
        <v>25</v>
      </c>
      <c r="O676" t="s">
        <v>796</v>
      </c>
      <c r="P676" t="s">
        <v>165</v>
      </c>
      <c r="Q676" t="s">
        <v>349</v>
      </c>
      <c r="R676">
        <v>2018</v>
      </c>
      <c r="S676" t="s">
        <v>803</v>
      </c>
      <c r="T676">
        <f>IF(IPL_Matches_2008_2020___New[[#This Row],[Toss Winner]]=IPL_Matches_2008_2020___New[[#This Row],[Winner]],1,0)</f>
        <v>1</v>
      </c>
      <c r="U676" t="s">
        <v>801</v>
      </c>
    </row>
    <row r="677" spans="1:21" x14ac:dyDescent="0.3">
      <c r="A677" t="s">
        <v>1477</v>
      </c>
      <c r="B677" t="s">
        <v>46</v>
      </c>
      <c r="C677">
        <f>YEAR(IPL_Matches_2008_2020___New[[#This Row],[Date ]])</f>
        <v>2018</v>
      </c>
      <c r="D677" s="1">
        <v>43236</v>
      </c>
      <c r="E677" t="s">
        <v>612</v>
      </c>
      <c r="F677" t="s">
        <v>49</v>
      </c>
      <c r="G677" t="s">
        <v>50</v>
      </c>
      <c r="H677" t="s">
        <v>800</v>
      </c>
      <c r="I677" t="s">
        <v>800</v>
      </c>
      <c r="J677" t="s">
        <v>23</v>
      </c>
      <c r="K677" t="s">
        <v>50</v>
      </c>
      <c r="L677" t="s">
        <v>24</v>
      </c>
      <c r="M677">
        <v>3</v>
      </c>
      <c r="N677" t="s">
        <v>25</v>
      </c>
      <c r="O677" t="s">
        <v>796</v>
      </c>
      <c r="P677" t="s">
        <v>155</v>
      </c>
      <c r="Q677" t="s">
        <v>554</v>
      </c>
      <c r="R677">
        <v>2018</v>
      </c>
      <c r="S677" t="s">
        <v>797</v>
      </c>
      <c r="T677">
        <f>IF(IPL_Matches_2008_2020___New[[#This Row],[Toss Winner]]=IPL_Matches_2008_2020___New[[#This Row],[Winner]],1,0)</f>
        <v>0</v>
      </c>
      <c r="U677" t="s">
        <v>798</v>
      </c>
    </row>
    <row r="678" spans="1:21" x14ac:dyDescent="0.3">
      <c r="A678" t="s">
        <v>1478</v>
      </c>
      <c r="B678" t="s">
        <v>607</v>
      </c>
      <c r="C678">
        <f>YEAR(IPL_Matches_2008_2020___New[[#This Row],[Date ]])</f>
        <v>2018</v>
      </c>
      <c r="D678" s="1">
        <v>43237</v>
      </c>
      <c r="E678" t="s">
        <v>157</v>
      </c>
      <c r="F678" t="s">
        <v>795</v>
      </c>
      <c r="G678" t="s">
        <v>21</v>
      </c>
      <c r="H678" t="s">
        <v>406</v>
      </c>
      <c r="I678" t="s">
        <v>406</v>
      </c>
      <c r="J678" t="s">
        <v>23</v>
      </c>
      <c r="K678" t="s">
        <v>21</v>
      </c>
      <c r="L678" t="s">
        <v>24</v>
      </c>
      <c r="M678">
        <v>14</v>
      </c>
      <c r="N678" t="s">
        <v>25</v>
      </c>
      <c r="O678" t="s">
        <v>796</v>
      </c>
      <c r="P678" t="s">
        <v>576</v>
      </c>
      <c r="Q678" t="s">
        <v>183</v>
      </c>
      <c r="R678">
        <v>2018</v>
      </c>
      <c r="S678" t="s">
        <v>797</v>
      </c>
      <c r="T678">
        <f>IF(IPL_Matches_2008_2020___New[[#This Row],[Toss Winner]]=IPL_Matches_2008_2020___New[[#This Row],[Winner]],1,0)</f>
        <v>0</v>
      </c>
      <c r="U678" t="s">
        <v>798</v>
      </c>
    </row>
    <row r="679" spans="1:21" x14ac:dyDescent="0.3">
      <c r="A679" t="s">
        <v>1479</v>
      </c>
      <c r="B679" t="s">
        <v>38</v>
      </c>
      <c r="C679">
        <f>YEAR(IPL_Matches_2008_2020___New[[#This Row],[Date ]])</f>
        <v>2018</v>
      </c>
      <c r="D679" s="1">
        <v>43238</v>
      </c>
      <c r="E679" t="s">
        <v>641</v>
      </c>
      <c r="F679" t="s">
        <v>40</v>
      </c>
      <c r="G679" t="s">
        <v>692</v>
      </c>
      <c r="H679" t="s">
        <v>34</v>
      </c>
      <c r="I679" t="s">
        <v>34</v>
      </c>
      <c r="J679" t="s">
        <v>23</v>
      </c>
      <c r="K679" t="s">
        <v>692</v>
      </c>
      <c r="L679" t="s">
        <v>24</v>
      </c>
      <c r="M679">
        <v>34</v>
      </c>
      <c r="N679" t="s">
        <v>25</v>
      </c>
      <c r="O679" t="s">
        <v>796</v>
      </c>
      <c r="P679" t="s">
        <v>354</v>
      </c>
      <c r="Q679" t="s">
        <v>165</v>
      </c>
      <c r="R679">
        <v>2018</v>
      </c>
      <c r="S679" t="s">
        <v>797</v>
      </c>
      <c r="T679">
        <f>IF(IPL_Matches_2008_2020___New[[#This Row],[Toss Winner]]=IPL_Matches_2008_2020___New[[#This Row],[Winner]],1,0)</f>
        <v>0</v>
      </c>
      <c r="U679" t="s">
        <v>798</v>
      </c>
    </row>
    <row r="680" spans="1:21" x14ac:dyDescent="0.3">
      <c r="A680" t="s">
        <v>1480</v>
      </c>
      <c r="B680" t="s">
        <v>59</v>
      </c>
      <c r="C680">
        <f>YEAR(IPL_Matches_2008_2020___New[[#This Row],[Date ]])</f>
        <v>2018</v>
      </c>
      <c r="D680" s="1">
        <v>43239</v>
      </c>
      <c r="E680" t="s">
        <v>683</v>
      </c>
      <c r="F680" t="s">
        <v>62</v>
      </c>
      <c r="G680" t="s">
        <v>42</v>
      </c>
      <c r="H680" t="s">
        <v>21</v>
      </c>
      <c r="I680" t="s">
        <v>42</v>
      </c>
      <c r="J680" t="s">
        <v>35</v>
      </c>
      <c r="K680" t="s">
        <v>42</v>
      </c>
      <c r="L680" t="s">
        <v>24</v>
      </c>
      <c r="M680">
        <v>30</v>
      </c>
      <c r="N680" t="s">
        <v>25</v>
      </c>
      <c r="O680" t="s">
        <v>796</v>
      </c>
      <c r="P680" t="s">
        <v>359</v>
      </c>
      <c r="Q680" t="s">
        <v>552</v>
      </c>
      <c r="R680">
        <v>2018</v>
      </c>
      <c r="S680" t="s">
        <v>797</v>
      </c>
      <c r="T680">
        <f>IF(IPL_Matches_2008_2020___New[[#This Row],[Toss Winner]]=IPL_Matches_2008_2020___New[[#This Row],[Winner]],1,0)</f>
        <v>1</v>
      </c>
      <c r="U680" t="s">
        <v>801</v>
      </c>
    </row>
    <row r="681" spans="1:21" x14ac:dyDescent="0.3">
      <c r="A681" t="s">
        <v>1481</v>
      </c>
      <c r="B681" t="s">
        <v>64</v>
      </c>
      <c r="C681">
        <f>YEAR(IPL_Matches_2008_2020___New[[#This Row],[Date ]])</f>
        <v>2018</v>
      </c>
      <c r="D681" s="1">
        <v>43239</v>
      </c>
      <c r="E681" t="s">
        <v>473</v>
      </c>
      <c r="F681" t="s">
        <v>67</v>
      </c>
      <c r="G681" t="s">
        <v>406</v>
      </c>
      <c r="H681" t="s">
        <v>22</v>
      </c>
      <c r="I681" t="s">
        <v>406</v>
      </c>
      <c r="J681" t="s">
        <v>35</v>
      </c>
      <c r="K681" t="s">
        <v>22</v>
      </c>
      <c r="L681" t="s">
        <v>43</v>
      </c>
      <c r="M681">
        <v>5</v>
      </c>
      <c r="N681" t="s">
        <v>25</v>
      </c>
      <c r="O681" t="s">
        <v>796</v>
      </c>
      <c r="P681" t="s">
        <v>349</v>
      </c>
      <c r="Q681" t="s">
        <v>183</v>
      </c>
      <c r="R681">
        <v>2018</v>
      </c>
      <c r="S681" t="s">
        <v>803</v>
      </c>
      <c r="T681">
        <f>IF(IPL_Matches_2008_2020___New[[#This Row],[Toss Winner]]=IPL_Matches_2008_2020___New[[#This Row],[Winner]],1,0)</f>
        <v>0</v>
      </c>
      <c r="U681" t="s">
        <v>798</v>
      </c>
    </row>
    <row r="682" spans="1:21" x14ac:dyDescent="0.3">
      <c r="A682" t="s">
        <v>1482</v>
      </c>
      <c r="B682" t="s">
        <v>38</v>
      </c>
      <c r="C682">
        <f>YEAR(IPL_Matches_2008_2020___New[[#This Row],[Date ]])</f>
        <v>2018</v>
      </c>
      <c r="D682" s="1">
        <v>43240</v>
      </c>
      <c r="E682" t="s">
        <v>111</v>
      </c>
      <c r="F682" t="s">
        <v>40</v>
      </c>
      <c r="G682" t="s">
        <v>692</v>
      </c>
      <c r="H682" t="s">
        <v>50</v>
      </c>
      <c r="I682" t="s">
        <v>692</v>
      </c>
      <c r="J682" t="s">
        <v>35</v>
      </c>
      <c r="K682" t="s">
        <v>692</v>
      </c>
      <c r="L682" t="s">
        <v>24</v>
      </c>
      <c r="M682">
        <v>11</v>
      </c>
      <c r="N682" t="s">
        <v>25</v>
      </c>
      <c r="O682" t="s">
        <v>796</v>
      </c>
      <c r="P682" t="s">
        <v>165</v>
      </c>
      <c r="Q682" t="s">
        <v>418</v>
      </c>
      <c r="R682">
        <v>2018</v>
      </c>
      <c r="S682" t="s">
        <v>797</v>
      </c>
      <c r="T682">
        <f>IF(IPL_Matches_2008_2020___New[[#This Row],[Toss Winner]]=IPL_Matches_2008_2020___New[[#This Row],[Winner]],1,0)</f>
        <v>1</v>
      </c>
      <c r="U682" t="s">
        <v>801</v>
      </c>
    </row>
    <row r="683" spans="1:21" x14ac:dyDescent="0.3">
      <c r="A683" t="s">
        <v>1483</v>
      </c>
      <c r="B683" t="s">
        <v>355</v>
      </c>
      <c r="C683">
        <f>YEAR(IPL_Matches_2008_2020___New[[#This Row],[Date ]])</f>
        <v>2018</v>
      </c>
      <c r="D683" s="1">
        <v>43240</v>
      </c>
      <c r="E683" t="s">
        <v>685</v>
      </c>
      <c r="F683" t="s">
        <v>504</v>
      </c>
      <c r="G683" t="s">
        <v>34</v>
      </c>
      <c r="H683" t="s">
        <v>800</v>
      </c>
      <c r="I683" t="s">
        <v>34</v>
      </c>
      <c r="J683" t="s">
        <v>23</v>
      </c>
      <c r="K683" t="s">
        <v>34</v>
      </c>
      <c r="L683" t="s">
        <v>43</v>
      </c>
      <c r="M683">
        <v>5</v>
      </c>
      <c r="N683" t="s">
        <v>25</v>
      </c>
      <c r="O683" t="s">
        <v>796</v>
      </c>
      <c r="P683" t="s">
        <v>554</v>
      </c>
      <c r="Q683" t="s">
        <v>617</v>
      </c>
      <c r="R683">
        <v>2018</v>
      </c>
      <c r="S683" t="s">
        <v>803</v>
      </c>
      <c r="T683">
        <f>IF(IPL_Matches_2008_2020___New[[#This Row],[Toss Winner]]=IPL_Matches_2008_2020___New[[#This Row],[Winner]],1,0)</f>
        <v>1</v>
      </c>
      <c r="U683" t="s">
        <v>801</v>
      </c>
    </row>
    <row r="684" spans="1:21" x14ac:dyDescent="0.3">
      <c r="A684" t="s">
        <v>1484</v>
      </c>
      <c r="B684" t="s">
        <v>46</v>
      </c>
      <c r="C684">
        <f>YEAR(IPL_Matches_2008_2020___New[[#This Row],[Date ]])</f>
        <v>2018</v>
      </c>
      <c r="D684" s="1">
        <v>43242</v>
      </c>
      <c r="E684" t="s">
        <v>360</v>
      </c>
      <c r="F684" t="s">
        <v>49</v>
      </c>
      <c r="G684" t="s">
        <v>406</v>
      </c>
      <c r="H684" t="s">
        <v>34</v>
      </c>
      <c r="I684" t="s">
        <v>34</v>
      </c>
      <c r="J684" t="s">
        <v>23</v>
      </c>
      <c r="K684" t="s">
        <v>34</v>
      </c>
      <c r="L684" t="s">
        <v>43</v>
      </c>
      <c r="M684">
        <v>2</v>
      </c>
      <c r="N684" t="s">
        <v>25</v>
      </c>
      <c r="O684" t="s">
        <v>796</v>
      </c>
      <c r="P684" t="s">
        <v>387</v>
      </c>
      <c r="Q684" t="s">
        <v>155</v>
      </c>
      <c r="R684">
        <v>2018</v>
      </c>
      <c r="S684" t="s">
        <v>803</v>
      </c>
      <c r="T684">
        <f>IF(IPL_Matches_2008_2020___New[[#This Row],[Toss Winner]]=IPL_Matches_2008_2020___New[[#This Row],[Winner]],1,0)</f>
        <v>1</v>
      </c>
      <c r="U684" t="s">
        <v>801</v>
      </c>
    </row>
    <row r="685" spans="1:21" x14ac:dyDescent="0.3">
      <c r="A685" t="s">
        <v>1485</v>
      </c>
      <c r="B685" t="s">
        <v>53</v>
      </c>
      <c r="C685">
        <f>YEAR(IPL_Matches_2008_2020___New[[#This Row],[Date ]])</f>
        <v>2018</v>
      </c>
      <c r="D685" s="1">
        <v>43243</v>
      </c>
      <c r="E685" t="s">
        <v>513</v>
      </c>
      <c r="F685" t="s">
        <v>55</v>
      </c>
      <c r="G685" t="s">
        <v>22</v>
      </c>
      <c r="H685" t="s">
        <v>42</v>
      </c>
      <c r="I685" t="s">
        <v>42</v>
      </c>
      <c r="J685" t="s">
        <v>23</v>
      </c>
      <c r="K685" t="s">
        <v>22</v>
      </c>
      <c r="L685" t="s">
        <v>24</v>
      </c>
      <c r="M685">
        <v>25</v>
      </c>
      <c r="N685" t="s">
        <v>25</v>
      </c>
      <c r="O685" t="s">
        <v>796</v>
      </c>
      <c r="P685" t="s">
        <v>349</v>
      </c>
      <c r="Q685" t="s">
        <v>554</v>
      </c>
      <c r="R685">
        <v>2018</v>
      </c>
      <c r="S685" t="s">
        <v>797</v>
      </c>
      <c r="T685">
        <f>IF(IPL_Matches_2008_2020___New[[#This Row],[Toss Winner]]=IPL_Matches_2008_2020___New[[#This Row],[Winner]],1,0)</f>
        <v>0</v>
      </c>
      <c r="U685" t="s">
        <v>798</v>
      </c>
    </row>
    <row r="686" spans="1:21" x14ac:dyDescent="0.3">
      <c r="A686" t="s">
        <v>1486</v>
      </c>
      <c r="B686" t="s">
        <v>53</v>
      </c>
      <c r="C686">
        <f>YEAR(IPL_Matches_2008_2020___New[[#This Row],[Date ]])</f>
        <v>2018</v>
      </c>
      <c r="D686" s="1">
        <v>43245</v>
      </c>
      <c r="E686" t="s">
        <v>609</v>
      </c>
      <c r="F686" t="s">
        <v>55</v>
      </c>
      <c r="G686" t="s">
        <v>22</v>
      </c>
      <c r="H686" t="s">
        <v>406</v>
      </c>
      <c r="I686" t="s">
        <v>22</v>
      </c>
      <c r="J686" t="s">
        <v>23</v>
      </c>
      <c r="K686" t="s">
        <v>406</v>
      </c>
      <c r="L686" t="s">
        <v>24</v>
      </c>
      <c r="M686">
        <v>14</v>
      </c>
      <c r="N686" t="s">
        <v>25</v>
      </c>
      <c r="O686" t="s">
        <v>796</v>
      </c>
      <c r="P686" t="s">
        <v>165</v>
      </c>
      <c r="Q686" t="s">
        <v>554</v>
      </c>
      <c r="R686">
        <v>2018</v>
      </c>
      <c r="S686" t="s">
        <v>797</v>
      </c>
      <c r="T686">
        <f>IF(IPL_Matches_2008_2020___New[[#This Row],[Toss Winner]]=IPL_Matches_2008_2020___New[[#This Row],[Winner]],1,0)</f>
        <v>0</v>
      </c>
      <c r="U686" t="s">
        <v>798</v>
      </c>
    </row>
    <row r="687" spans="1:21" x14ac:dyDescent="0.3">
      <c r="A687" t="s">
        <v>1487</v>
      </c>
      <c r="B687" t="s">
        <v>46</v>
      </c>
      <c r="C687">
        <f>YEAR(IPL_Matches_2008_2020___New[[#This Row],[Date ]])</f>
        <v>2018</v>
      </c>
      <c r="D687" s="1">
        <v>43247</v>
      </c>
      <c r="E687" t="s">
        <v>61</v>
      </c>
      <c r="F687" t="s">
        <v>49</v>
      </c>
      <c r="G687" t="s">
        <v>34</v>
      </c>
      <c r="H687" t="s">
        <v>406</v>
      </c>
      <c r="I687" t="s">
        <v>34</v>
      </c>
      <c r="J687" t="s">
        <v>23</v>
      </c>
      <c r="K687" t="s">
        <v>34</v>
      </c>
      <c r="L687" t="s">
        <v>43</v>
      </c>
      <c r="M687">
        <v>8</v>
      </c>
      <c r="N687" t="s">
        <v>25</v>
      </c>
      <c r="O687" t="s">
        <v>796</v>
      </c>
      <c r="P687" t="s">
        <v>155</v>
      </c>
      <c r="Q687" t="s">
        <v>183</v>
      </c>
      <c r="R687">
        <v>2018</v>
      </c>
      <c r="S687" t="s">
        <v>803</v>
      </c>
      <c r="T687">
        <f>IF(IPL_Matches_2008_2020___New[[#This Row],[Toss Winner]]=IPL_Matches_2008_2020___New[[#This Row],[Winner]],1,0)</f>
        <v>1</v>
      </c>
      <c r="U687" t="s">
        <v>801</v>
      </c>
    </row>
    <row r="688" spans="1:21" x14ac:dyDescent="0.3">
      <c r="A688" t="s">
        <v>1488</v>
      </c>
      <c r="B688" t="s">
        <v>70</v>
      </c>
      <c r="C688">
        <f>YEAR(IPL_Matches_2008_2020___New[[#This Row],[Date ]])</f>
        <v>2019</v>
      </c>
      <c r="D688" s="1">
        <v>43547</v>
      </c>
      <c r="E688" t="s">
        <v>197</v>
      </c>
      <c r="F688" t="s">
        <v>73</v>
      </c>
      <c r="G688" t="s">
        <v>34</v>
      </c>
      <c r="H688" t="s">
        <v>21</v>
      </c>
      <c r="I688" t="s">
        <v>34</v>
      </c>
      <c r="J688" t="s">
        <v>23</v>
      </c>
      <c r="K688" t="s">
        <v>34</v>
      </c>
      <c r="L688" t="s">
        <v>43</v>
      </c>
      <c r="M688">
        <v>7</v>
      </c>
      <c r="N688" t="s">
        <v>25</v>
      </c>
      <c r="O688" t="s">
        <v>796</v>
      </c>
      <c r="P688" t="s">
        <v>576</v>
      </c>
      <c r="Q688" t="s">
        <v>359</v>
      </c>
      <c r="R688">
        <v>2019</v>
      </c>
      <c r="S688" t="s">
        <v>803</v>
      </c>
      <c r="T688">
        <f>IF(IPL_Matches_2008_2020___New[[#This Row],[Toss Winner]]=IPL_Matches_2008_2020___New[[#This Row],[Winner]],1,0)</f>
        <v>1</v>
      </c>
      <c r="U688" t="s">
        <v>801</v>
      </c>
    </row>
    <row r="689" spans="1:21" x14ac:dyDescent="0.3">
      <c r="A689" t="s">
        <v>1489</v>
      </c>
      <c r="B689" t="s">
        <v>53</v>
      </c>
      <c r="C689">
        <f>YEAR(IPL_Matches_2008_2020___New[[#This Row],[Date ]])</f>
        <v>2019</v>
      </c>
      <c r="D689" s="1">
        <v>43548</v>
      </c>
      <c r="E689" t="s">
        <v>513</v>
      </c>
      <c r="F689" t="s">
        <v>55</v>
      </c>
      <c r="G689" t="s">
        <v>22</v>
      </c>
      <c r="H689" t="s">
        <v>406</v>
      </c>
      <c r="I689" t="s">
        <v>22</v>
      </c>
      <c r="J689" t="s">
        <v>23</v>
      </c>
      <c r="K689" t="s">
        <v>22</v>
      </c>
      <c r="L689" t="s">
        <v>43</v>
      </c>
      <c r="M689">
        <v>6</v>
      </c>
      <c r="N689" t="s">
        <v>25</v>
      </c>
      <c r="O689" t="s">
        <v>796</v>
      </c>
      <c r="P689" t="s">
        <v>506</v>
      </c>
      <c r="Q689" t="s">
        <v>349</v>
      </c>
      <c r="R689">
        <v>2019</v>
      </c>
      <c r="S689" t="s">
        <v>803</v>
      </c>
      <c r="T689">
        <f>IF(IPL_Matches_2008_2020___New[[#This Row],[Toss Winner]]=IPL_Matches_2008_2020___New[[#This Row],[Winner]],1,0)</f>
        <v>1</v>
      </c>
      <c r="U689" t="s">
        <v>801</v>
      </c>
    </row>
    <row r="690" spans="1:21" x14ac:dyDescent="0.3">
      <c r="A690" t="s">
        <v>1490</v>
      </c>
      <c r="B690" t="s">
        <v>46</v>
      </c>
      <c r="C690">
        <f>YEAR(IPL_Matches_2008_2020___New[[#This Row],[Date ]])</f>
        <v>2019</v>
      </c>
      <c r="D690" s="1">
        <v>43548</v>
      </c>
      <c r="E690" t="s">
        <v>584</v>
      </c>
      <c r="F690" t="s">
        <v>49</v>
      </c>
      <c r="G690" t="s">
        <v>50</v>
      </c>
      <c r="H690" t="s">
        <v>692</v>
      </c>
      <c r="I690" t="s">
        <v>50</v>
      </c>
      <c r="J690" t="s">
        <v>23</v>
      </c>
      <c r="K690" t="s">
        <v>692</v>
      </c>
      <c r="L690" t="s">
        <v>24</v>
      </c>
      <c r="M690">
        <v>37</v>
      </c>
      <c r="N690" t="s">
        <v>25</v>
      </c>
      <c r="O690" t="s">
        <v>796</v>
      </c>
      <c r="P690" t="s">
        <v>617</v>
      </c>
      <c r="Q690" t="s">
        <v>183</v>
      </c>
      <c r="R690">
        <v>2019</v>
      </c>
      <c r="S690" t="s">
        <v>797</v>
      </c>
      <c r="T690">
        <f>IF(IPL_Matches_2008_2020___New[[#This Row],[Toss Winner]]=IPL_Matches_2008_2020___New[[#This Row],[Winner]],1,0)</f>
        <v>0</v>
      </c>
      <c r="U690" t="s">
        <v>798</v>
      </c>
    </row>
    <row r="691" spans="1:21" x14ac:dyDescent="0.3">
      <c r="A691" t="s">
        <v>1491</v>
      </c>
      <c r="B691" t="s">
        <v>59</v>
      </c>
      <c r="C691">
        <f>YEAR(IPL_Matches_2008_2020___New[[#This Row],[Date ]])</f>
        <v>2019</v>
      </c>
      <c r="D691" s="1">
        <v>43549</v>
      </c>
      <c r="E691" t="s">
        <v>152</v>
      </c>
      <c r="F691" t="s">
        <v>62</v>
      </c>
      <c r="G691" t="s">
        <v>42</v>
      </c>
      <c r="H691" t="s">
        <v>800</v>
      </c>
      <c r="I691" t="s">
        <v>42</v>
      </c>
      <c r="J691" t="s">
        <v>23</v>
      </c>
      <c r="K691" t="s">
        <v>800</v>
      </c>
      <c r="L691" t="s">
        <v>24</v>
      </c>
      <c r="M691">
        <v>14</v>
      </c>
      <c r="N691" t="s">
        <v>25</v>
      </c>
      <c r="O691" t="s">
        <v>796</v>
      </c>
      <c r="P691" t="s">
        <v>583</v>
      </c>
      <c r="Q691" t="s">
        <v>387</v>
      </c>
      <c r="R691">
        <v>2019</v>
      </c>
      <c r="S691" t="s">
        <v>797</v>
      </c>
      <c r="T691">
        <f>IF(IPL_Matches_2008_2020___New[[#This Row],[Toss Winner]]=IPL_Matches_2008_2020___New[[#This Row],[Winner]],1,0)</f>
        <v>0</v>
      </c>
      <c r="U691" t="s">
        <v>798</v>
      </c>
    </row>
    <row r="692" spans="1:21" x14ac:dyDescent="0.3">
      <c r="A692" t="s">
        <v>1492</v>
      </c>
      <c r="B692" t="s">
        <v>38</v>
      </c>
      <c r="C692">
        <f>YEAR(IPL_Matches_2008_2020___New[[#This Row],[Date ]])</f>
        <v>2019</v>
      </c>
      <c r="D692" s="1">
        <v>43550</v>
      </c>
      <c r="E692" t="s">
        <v>61</v>
      </c>
      <c r="F692" t="s">
        <v>40</v>
      </c>
      <c r="G692" t="s">
        <v>692</v>
      </c>
      <c r="H692" t="s">
        <v>34</v>
      </c>
      <c r="I692" t="s">
        <v>692</v>
      </c>
      <c r="J692" t="s">
        <v>35</v>
      </c>
      <c r="K692" t="s">
        <v>34</v>
      </c>
      <c r="L692" t="s">
        <v>43</v>
      </c>
      <c r="M692">
        <v>6</v>
      </c>
      <c r="N692" t="s">
        <v>25</v>
      </c>
      <c r="O692" t="s">
        <v>796</v>
      </c>
      <c r="P692" t="s">
        <v>155</v>
      </c>
      <c r="Q692" t="s">
        <v>554</v>
      </c>
      <c r="R692">
        <v>2019</v>
      </c>
      <c r="S692" t="s">
        <v>803</v>
      </c>
      <c r="T692">
        <f>IF(IPL_Matches_2008_2020___New[[#This Row],[Toss Winner]]=IPL_Matches_2008_2020___New[[#This Row],[Winner]],1,0)</f>
        <v>0</v>
      </c>
      <c r="U692" t="s">
        <v>798</v>
      </c>
    </row>
    <row r="693" spans="1:21" x14ac:dyDescent="0.3">
      <c r="A693" t="s">
        <v>1493</v>
      </c>
      <c r="B693" t="s">
        <v>53</v>
      </c>
      <c r="C693">
        <f>YEAR(IPL_Matches_2008_2020___New[[#This Row],[Date ]])</f>
        <v>2019</v>
      </c>
      <c r="D693" s="1">
        <v>43551</v>
      </c>
      <c r="E693" t="s">
        <v>513</v>
      </c>
      <c r="F693" t="s">
        <v>55</v>
      </c>
      <c r="G693" t="s">
        <v>22</v>
      </c>
      <c r="H693" t="s">
        <v>800</v>
      </c>
      <c r="I693" t="s">
        <v>800</v>
      </c>
      <c r="J693" t="s">
        <v>23</v>
      </c>
      <c r="K693" t="s">
        <v>22</v>
      </c>
      <c r="L693" t="s">
        <v>24</v>
      </c>
      <c r="M693">
        <v>28</v>
      </c>
      <c r="N693" t="s">
        <v>25</v>
      </c>
      <c r="O693" t="s">
        <v>796</v>
      </c>
      <c r="P693" t="s">
        <v>354</v>
      </c>
      <c r="Q693" t="s">
        <v>349</v>
      </c>
      <c r="R693">
        <v>2019</v>
      </c>
      <c r="S693" t="s">
        <v>797</v>
      </c>
      <c r="T693">
        <f>IF(IPL_Matches_2008_2020___New[[#This Row],[Toss Winner]]=IPL_Matches_2008_2020___New[[#This Row],[Winner]],1,0)</f>
        <v>0</v>
      </c>
      <c r="U693" t="s">
        <v>798</v>
      </c>
    </row>
    <row r="694" spans="1:21" x14ac:dyDescent="0.3">
      <c r="A694" t="s">
        <v>1494</v>
      </c>
      <c r="B694" t="s">
        <v>607</v>
      </c>
      <c r="C694">
        <f>YEAR(IPL_Matches_2008_2020___New[[#This Row],[Date ]])</f>
        <v>2019</v>
      </c>
      <c r="D694" s="1">
        <v>43552</v>
      </c>
      <c r="E694" t="s">
        <v>612</v>
      </c>
      <c r="F694" t="s">
        <v>795</v>
      </c>
      <c r="G694" t="s">
        <v>21</v>
      </c>
      <c r="H694" t="s">
        <v>50</v>
      </c>
      <c r="I694" t="s">
        <v>21</v>
      </c>
      <c r="J694" t="s">
        <v>23</v>
      </c>
      <c r="K694" t="s">
        <v>50</v>
      </c>
      <c r="L694" t="s">
        <v>24</v>
      </c>
      <c r="M694">
        <v>6</v>
      </c>
      <c r="N694" t="s">
        <v>25</v>
      </c>
      <c r="O694" t="s">
        <v>796</v>
      </c>
      <c r="P694" t="s">
        <v>418</v>
      </c>
      <c r="Q694" t="s">
        <v>183</v>
      </c>
      <c r="R694">
        <v>2019</v>
      </c>
      <c r="S694" t="s">
        <v>797</v>
      </c>
      <c r="T694">
        <f>IF(IPL_Matches_2008_2020___New[[#This Row],[Toss Winner]]=IPL_Matches_2008_2020___New[[#This Row],[Winner]],1,0)</f>
        <v>0</v>
      </c>
      <c r="U694" t="s">
        <v>798</v>
      </c>
    </row>
    <row r="695" spans="1:21" x14ac:dyDescent="0.3">
      <c r="A695" t="s">
        <v>1495</v>
      </c>
      <c r="B695" t="s">
        <v>64</v>
      </c>
      <c r="C695">
        <f>YEAR(IPL_Matches_2008_2020___New[[#This Row],[Date ]])</f>
        <v>2019</v>
      </c>
      <c r="D695" s="1">
        <v>43553</v>
      </c>
      <c r="E695" t="s">
        <v>609</v>
      </c>
      <c r="F695" t="s">
        <v>67</v>
      </c>
      <c r="G695" t="s">
        <v>406</v>
      </c>
      <c r="H695" t="s">
        <v>42</v>
      </c>
      <c r="I695" t="s">
        <v>42</v>
      </c>
      <c r="J695" t="s">
        <v>35</v>
      </c>
      <c r="K695" t="s">
        <v>406</v>
      </c>
      <c r="L695" t="s">
        <v>43</v>
      </c>
      <c r="M695">
        <v>5</v>
      </c>
      <c r="N695" t="s">
        <v>25</v>
      </c>
      <c r="O695" t="s">
        <v>796</v>
      </c>
      <c r="P695" t="s">
        <v>387</v>
      </c>
      <c r="Q695" t="s">
        <v>359</v>
      </c>
      <c r="R695">
        <v>2019</v>
      </c>
      <c r="S695" t="s">
        <v>803</v>
      </c>
      <c r="T695">
        <f>IF(IPL_Matches_2008_2020___New[[#This Row],[Toss Winner]]=IPL_Matches_2008_2020___New[[#This Row],[Winner]],1,0)</f>
        <v>0</v>
      </c>
      <c r="U695" t="s">
        <v>798</v>
      </c>
    </row>
    <row r="696" spans="1:21" x14ac:dyDescent="0.3">
      <c r="A696" t="s">
        <v>1496</v>
      </c>
      <c r="B696" t="s">
        <v>29</v>
      </c>
      <c r="C696">
        <f>YEAR(IPL_Matches_2008_2020___New[[#This Row],[Date ]])</f>
        <v>2019</v>
      </c>
      <c r="D696" s="1">
        <v>43554</v>
      </c>
      <c r="E696" t="s">
        <v>515</v>
      </c>
      <c r="F696" t="s">
        <v>32</v>
      </c>
      <c r="G696" t="s">
        <v>800</v>
      </c>
      <c r="H696" t="s">
        <v>50</v>
      </c>
      <c r="I696" t="s">
        <v>800</v>
      </c>
      <c r="J696" t="s">
        <v>23</v>
      </c>
      <c r="K696" t="s">
        <v>800</v>
      </c>
      <c r="L696" t="s">
        <v>43</v>
      </c>
      <c r="M696">
        <v>8</v>
      </c>
      <c r="N696" t="s">
        <v>25</v>
      </c>
      <c r="O696" t="s">
        <v>796</v>
      </c>
      <c r="P696" t="s">
        <v>354</v>
      </c>
      <c r="Q696" t="s">
        <v>506</v>
      </c>
      <c r="R696">
        <v>2019</v>
      </c>
      <c r="S696" t="s">
        <v>803</v>
      </c>
      <c r="T696">
        <f>IF(IPL_Matches_2008_2020___New[[#This Row],[Toss Winner]]=IPL_Matches_2008_2020___New[[#This Row],[Winner]],1,0)</f>
        <v>1</v>
      </c>
      <c r="U696" t="s">
        <v>801</v>
      </c>
    </row>
    <row r="697" spans="1:21" x14ac:dyDescent="0.3">
      <c r="A697" t="s">
        <v>1497</v>
      </c>
      <c r="B697" t="s">
        <v>64</v>
      </c>
      <c r="C697">
        <f>YEAR(IPL_Matches_2008_2020___New[[#This Row],[Date ]])</f>
        <v>2019</v>
      </c>
      <c r="D697" s="1">
        <v>43555</v>
      </c>
      <c r="E697" t="s">
        <v>701</v>
      </c>
      <c r="F697" t="s">
        <v>67</v>
      </c>
      <c r="G697" t="s">
        <v>406</v>
      </c>
      <c r="H697" t="s">
        <v>21</v>
      </c>
      <c r="I697" t="s">
        <v>21</v>
      </c>
      <c r="J697" t="s">
        <v>23</v>
      </c>
      <c r="K697" t="s">
        <v>406</v>
      </c>
      <c r="L697" t="s">
        <v>24</v>
      </c>
      <c r="M697">
        <v>118</v>
      </c>
      <c r="N697" t="s">
        <v>25</v>
      </c>
      <c r="O697" t="s">
        <v>796</v>
      </c>
      <c r="P697" t="s">
        <v>583</v>
      </c>
      <c r="Q697" t="s">
        <v>183</v>
      </c>
      <c r="R697">
        <v>2019</v>
      </c>
      <c r="S697" t="s">
        <v>797</v>
      </c>
      <c r="T697">
        <f>IF(IPL_Matches_2008_2020___New[[#This Row],[Toss Winner]]=IPL_Matches_2008_2020___New[[#This Row],[Winner]],1,0)</f>
        <v>0</v>
      </c>
      <c r="U697" t="s">
        <v>798</v>
      </c>
    </row>
    <row r="698" spans="1:21" x14ac:dyDescent="0.3">
      <c r="A698" t="s">
        <v>1498</v>
      </c>
      <c r="B698" t="s">
        <v>70</v>
      </c>
      <c r="C698">
        <f>YEAR(IPL_Matches_2008_2020___New[[#This Row],[Date ]])</f>
        <v>2019</v>
      </c>
      <c r="D698" s="1">
        <v>43555</v>
      </c>
      <c r="E698" t="s">
        <v>87</v>
      </c>
      <c r="F698" t="s">
        <v>73</v>
      </c>
      <c r="G698" t="s">
        <v>34</v>
      </c>
      <c r="H698" t="s">
        <v>42</v>
      </c>
      <c r="I698" t="s">
        <v>42</v>
      </c>
      <c r="J698" t="s">
        <v>23</v>
      </c>
      <c r="K698" t="s">
        <v>34</v>
      </c>
      <c r="L698" t="s">
        <v>24</v>
      </c>
      <c r="M698">
        <v>8</v>
      </c>
      <c r="N698" t="s">
        <v>25</v>
      </c>
      <c r="O698" t="s">
        <v>796</v>
      </c>
      <c r="P698" t="s">
        <v>617</v>
      </c>
      <c r="Q698" t="s">
        <v>418</v>
      </c>
      <c r="R698">
        <v>2019</v>
      </c>
      <c r="S698" t="s">
        <v>797</v>
      </c>
      <c r="T698">
        <f>IF(IPL_Matches_2008_2020___New[[#This Row],[Toss Winner]]=IPL_Matches_2008_2020___New[[#This Row],[Winner]],1,0)</f>
        <v>0</v>
      </c>
      <c r="U698" t="s">
        <v>798</v>
      </c>
    </row>
    <row r="699" spans="1:21" x14ac:dyDescent="0.3">
      <c r="A699" t="s">
        <v>1499</v>
      </c>
      <c r="B699" t="s">
        <v>29</v>
      </c>
      <c r="C699">
        <f>YEAR(IPL_Matches_2008_2020___New[[#This Row],[Date ]])</f>
        <v>2019</v>
      </c>
      <c r="D699" s="1">
        <v>43556</v>
      </c>
      <c r="E699" t="s">
        <v>702</v>
      </c>
      <c r="F699" t="s">
        <v>32</v>
      </c>
      <c r="G699" t="s">
        <v>800</v>
      </c>
      <c r="H699" t="s">
        <v>692</v>
      </c>
      <c r="I699" t="s">
        <v>692</v>
      </c>
      <c r="J699" t="s">
        <v>23</v>
      </c>
      <c r="K699" t="s">
        <v>800</v>
      </c>
      <c r="L699" t="s">
        <v>24</v>
      </c>
      <c r="M699">
        <v>14</v>
      </c>
      <c r="N699" t="s">
        <v>25</v>
      </c>
      <c r="O699" t="s">
        <v>796</v>
      </c>
      <c r="P699" t="s">
        <v>506</v>
      </c>
      <c r="Q699" t="s">
        <v>349</v>
      </c>
      <c r="R699">
        <v>2019</v>
      </c>
      <c r="S699" t="s">
        <v>797</v>
      </c>
      <c r="T699">
        <f>IF(IPL_Matches_2008_2020___New[[#This Row],[Toss Winner]]=IPL_Matches_2008_2020___New[[#This Row],[Winner]],1,0)</f>
        <v>0</v>
      </c>
      <c r="U699" t="s">
        <v>798</v>
      </c>
    </row>
    <row r="700" spans="1:21" x14ac:dyDescent="0.3">
      <c r="A700" t="s">
        <v>1500</v>
      </c>
      <c r="B700" t="s">
        <v>59</v>
      </c>
      <c r="C700">
        <f>YEAR(IPL_Matches_2008_2020___New[[#This Row],[Date ]])</f>
        <v>2019</v>
      </c>
      <c r="D700" s="1">
        <v>43557</v>
      </c>
      <c r="E700" t="s">
        <v>683</v>
      </c>
      <c r="F700" t="s">
        <v>62</v>
      </c>
      <c r="G700" t="s">
        <v>42</v>
      </c>
      <c r="H700" t="s">
        <v>21</v>
      </c>
      <c r="I700" t="s">
        <v>42</v>
      </c>
      <c r="J700" t="s">
        <v>23</v>
      </c>
      <c r="K700" t="s">
        <v>42</v>
      </c>
      <c r="L700" t="s">
        <v>43</v>
      </c>
      <c r="M700">
        <v>7</v>
      </c>
      <c r="N700" t="s">
        <v>25</v>
      </c>
      <c r="O700" t="s">
        <v>796</v>
      </c>
      <c r="P700" t="s">
        <v>576</v>
      </c>
      <c r="Q700" t="s">
        <v>155</v>
      </c>
      <c r="R700">
        <v>2019</v>
      </c>
      <c r="S700" t="s">
        <v>803</v>
      </c>
      <c r="T700">
        <f>IF(IPL_Matches_2008_2020___New[[#This Row],[Toss Winner]]=IPL_Matches_2008_2020___New[[#This Row],[Winner]],1,0)</f>
        <v>1</v>
      </c>
      <c r="U700" t="s">
        <v>801</v>
      </c>
    </row>
    <row r="701" spans="1:21" x14ac:dyDescent="0.3">
      <c r="A701" t="s">
        <v>1501</v>
      </c>
      <c r="B701" t="s">
        <v>46</v>
      </c>
      <c r="C701">
        <f>YEAR(IPL_Matches_2008_2020___New[[#This Row],[Date ]])</f>
        <v>2019</v>
      </c>
      <c r="D701" s="1">
        <v>43558</v>
      </c>
      <c r="E701" t="s">
        <v>536</v>
      </c>
      <c r="F701" t="s">
        <v>49</v>
      </c>
      <c r="G701" t="s">
        <v>50</v>
      </c>
      <c r="H701" t="s">
        <v>34</v>
      </c>
      <c r="I701" t="s">
        <v>34</v>
      </c>
      <c r="J701" t="s">
        <v>23</v>
      </c>
      <c r="K701" t="s">
        <v>50</v>
      </c>
      <c r="L701" t="s">
        <v>24</v>
      </c>
      <c r="M701">
        <v>37</v>
      </c>
      <c r="N701" t="s">
        <v>25</v>
      </c>
      <c r="O701" t="s">
        <v>796</v>
      </c>
      <c r="P701" t="s">
        <v>305</v>
      </c>
      <c r="Q701" t="s">
        <v>359</v>
      </c>
      <c r="R701">
        <v>2019</v>
      </c>
      <c r="S701" t="s">
        <v>797</v>
      </c>
      <c r="T701">
        <f>IF(IPL_Matches_2008_2020___New[[#This Row],[Toss Winner]]=IPL_Matches_2008_2020___New[[#This Row],[Winner]],1,0)</f>
        <v>0</v>
      </c>
      <c r="U701" t="s">
        <v>798</v>
      </c>
    </row>
    <row r="702" spans="1:21" x14ac:dyDescent="0.3">
      <c r="A702" t="s">
        <v>1502</v>
      </c>
      <c r="B702" t="s">
        <v>38</v>
      </c>
      <c r="C702">
        <f>YEAR(IPL_Matches_2008_2020___New[[#This Row],[Date ]])</f>
        <v>2019</v>
      </c>
      <c r="D702" s="1">
        <v>43559</v>
      </c>
      <c r="E702" t="s">
        <v>701</v>
      </c>
      <c r="F702" t="s">
        <v>40</v>
      </c>
      <c r="G702" t="s">
        <v>692</v>
      </c>
      <c r="H702" t="s">
        <v>406</v>
      </c>
      <c r="I702" t="s">
        <v>406</v>
      </c>
      <c r="J702" t="s">
        <v>23</v>
      </c>
      <c r="K702" t="s">
        <v>406</v>
      </c>
      <c r="L702" t="s">
        <v>43</v>
      </c>
      <c r="M702">
        <v>5</v>
      </c>
      <c r="N702" t="s">
        <v>25</v>
      </c>
      <c r="O702" t="s">
        <v>796</v>
      </c>
      <c r="P702" t="s">
        <v>583</v>
      </c>
      <c r="Q702" t="s">
        <v>387</v>
      </c>
      <c r="R702">
        <v>2019</v>
      </c>
      <c r="S702" t="s">
        <v>803</v>
      </c>
      <c r="T702">
        <f>IF(IPL_Matches_2008_2020___New[[#This Row],[Toss Winner]]=IPL_Matches_2008_2020___New[[#This Row],[Winner]],1,0)</f>
        <v>1</v>
      </c>
      <c r="U702" t="s">
        <v>801</v>
      </c>
    </row>
    <row r="703" spans="1:21" x14ac:dyDescent="0.3">
      <c r="A703" t="s">
        <v>1503</v>
      </c>
      <c r="B703" t="s">
        <v>607</v>
      </c>
      <c r="C703">
        <f>YEAR(IPL_Matches_2008_2020___New[[#This Row],[Date ]])</f>
        <v>2019</v>
      </c>
      <c r="D703" s="1">
        <v>43560</v>
      </c>
      <c r="E703" t="s">
        <v>513</v>
      </c>
      <c r="F703" t="s">
        <v>795</v>
      </c>
      <c r="G703" t="s">
        <v>21</v>
      </c>
      <c r="H703" t="s">
        <v>22</v>
      </c>
      <c r="I703" t="s">
        <v>22</v>
      </c>
      <c r="J703" t="s">
        <v>23</v>
      </c>
      <c r="K703" t="s">
        <v>22</v>
      </c>
      <c r="L703" t="s">
        <v>43</v>
      </c>
      <c r="M703">
        <v>5</v>
      </c>
      <c r="N703" t="s">
        <v>25</v>
      </c>
      <c r="O703" t="s">
        <v>796</v>
      </c>
      <c r="P703" t="s">
        <v>506</v>
      </c>
      <c r="Q703" t="s">
        <v>349</v>
      </c>
      <c r="R703">
        <v>2019</v>
      </c>
      <c r="S703" t="s">
        <v>803</v>
      </c>
      <c r="T703">
        <f>IF(IPL_Matches_2008_2020___New[[#This Row],[Toss Winner]]=IPL_Matches_2008_2020___New[[#This Row],[Winner]],1,0)</f>
        <v>1</v>
      </c>
      <c r="U703" t="s">
        <v>801</v>
      </c>
    </row>
    <row r="704" spans="1:21" x14ac:dyDescent="0.3">
      <c r="A704" t="s">
        <v>1504</v>
      </c>
      <c r="B704" t="s">
        <v>70</v>
      </c>
      <c r="C704">
        <f>YEAR(IPL_Matches_2008_2020___New[[#This Row],[Date ]])</f>
        <v>2019</v>
      </c>
      <c r="D704" s="1">
        <v>43561</v>
      </c>
      <c r="E704" t="s">
        <v>197</v>
      </c>
      <c r="F704" t="s">
        <v>73</v>
      </c>
      <c r="G704" t="s">
        <v>34</v>
      </c>
      <c r="H704" t="s">
        <v>800</v>
      </c>
      <c r="I704" t="s">
        <v>34</v>
      </c>
      <c r="J704" t="s">
        <v>35</v>
      </c>
      <c r="K704" t="s">
        <v>34</v>
      </c>
      <c r="L704" t="s">
        <v>24</v>
      </c>
      <c r="M704">
        <v>22</v>
      </c>
      <c r="N704" t="s">
        <v>25</v>
      </c>
      <c r="O704" t="s">
        <v>796</v>
      </c>
      <c r="P704" t="s">
        <v>583</v>
      </c>
      <c r="Q704" t="s">
        <v>305</v>
      </c>
      <c r="R704">
        <v>2019</v>
      </c>
      <c r="S704" t="s">
        <v>797</v>
      </c>
      <c r="T704">
        <f>IF(IPL_Matches_2008_2020___New[[#This Row],[Toss Winner]]=IPL_Matches_2008_2020___New[[#This Row],[Winner]],1,0)</f>
        <v>1</v>
      </c>
      <c r="U704" t="s">
        <v>801</v>
      </c>
    </row>
    <row r="705" spans="1:21" x14ac:dyDescent="0.3">
      <c r="A705" t="s">
        <v>1505</v>
      </c>
      <c r="B705" t="s">
        <v>64</v>
      </c>
      <c r="C705">
        <f>YEAR(IPL_Matches_2008_2020___New[[#This Row],[Date ]])</f>
        <v>2019</v>
      </c>
      <c r="D705" s="1">
        <v>43561</v>
      </c>
      <c r="E705" t="s">
        <v>703</v>
      </c>
      <c r="F705" t="s">
        <v>67</v>
      </c>
      <c r="G705" t="s">
        <v>406</v>
      </c>
      <c r="H705" t="s">
        <v>50</v>
      </c>
      <c r="I705" t="s">
        <v>406</v>
      </c>
      <c r="J705" t="s">
        <v>23</v>
      </c>
      <c r="K705" t="s">
        <v>50</v>
      </c>
      <c r="L705" t="s">
        <v>24</v>
      </c>
      <c r="M705">
        <v>40</v>
      </c>
      <c r="N705" t="s">
        <v>25</v>
      </c>
      <c r="O705" t="s">
        <v>796</v>
      </c>
      <c r="P705" t="s">
        <v>576</v>
      </c>
      <c r="Q705" t="s">
        <v>554</v>
      </c>
      <c r="R705">
        <v>2019</v>
      </c>
      <c r="S705" t="s">
        <v>797</v>
      </c>
      <c r="T705">
        <f>IF(IPL_Matches_2008_2020___New[[#This Row],[Toss Winner]]=IPL_Matches_2008_2020___New[[#This Row],[Winner]],1,0)</f>
        <v>0</v>
      </c>
      <c r="U705" t="s">
        <v>798</v>
      </c>
    </row>
    <row r="706" spans="1:21" x14ac:dyDescent="0.3">
      <c r="A706" t="s">
        <v>1506</v>
      </c>
      <c r="B706" t="s">
        <v>607</v>
      </c>
      <c r="C706">
        <f>YEAR(IPL_Matches_2008_2020___New[[#This Row],[Date ]])</f>
        <v>2019</v>
      </c>
      <c r="D706" s="1">
        <v>43562</v>
      </c>
      <c r="E706" t="s">
        <v>704</v>
      </c>
      <c r="F706" t="s">
        <v>795</v>
      </c>
      <c r="G706" t="s">
        <v>21</v>
      </c>
      <c r="H706" t="s">
        <v>692</v>
      </c>
      <c r="I706" t="s">
        <v>692</v>
      </c>
      <c r="J706" t="s">
        <v>23</v>
      </c>
      <c r="K706" t="s">
        <v>692</v>
      </c>
      <c r="L706" t="s">
        <v>43</v>
      </c>
      <c r="M706">
        <v>4</v>
      </c>
      <c r="N706" t="s">
        <v>25</v>
      </c>
      <c r="O706" t="s">
        <v>796</v>
      </c>
      <c r="P706" t="s">
        <v>617</v>
      </c>
      <c r="Q706" t="s">
        <v>183</v>
      </c>
      <c r="R706">
        <v>2019</v>
      </c>
      <c r="S706" t="s">
        <v>803</v>
      </c>
      <c r="T706">
        <f>IF(IPL_Matches_2008_2020___New[[#This Row],[Toss Winner]]=IPL_Matches_2008_2020___New[[#This Row],[Winner]],1,0)</f>
        <v>1</v>
      </c>
      <c r="U706" t="s">
        <v>801</v>
      </c>
    </row>
    <row r="707" spans="1:21" x14ac:dyDescent="0.3">
      <c r="A707" t="s">
        <v>1507</v>
      </c>
      <c r="B707" t="s">
        <v>59</v>
      </c>
      <c r="C707">
        <f>YEAR(IPL_Matches_2008_2020___New[[#This Row],[Date ]])</f>
        <v>2019</v>
      </c>
      <c r="D707" s="1">
        <v>43562</v>
      </c>
      <c r="E707" t="s">
        <v>705</v>
      </c>
      <c r="F707" t="s">
        <v>62</v>
      </c>
      <c r="G707" t="s">
        <v>42</v>
      </c>
      <c r="H707" t="s">
        <v>22</v>
      </c>
      <c r="I707" t="s">
        <v>22</v>
      </c>
      <c r="J707" t="s">
        <v>23</v>
      </c>
      <c r="K707" t="s">
        <v>22</v>
      </c>
      <c r="L707" t="s">
        <v>43</v>
      </c>
      <c r="M707">
        <v>8</v>
      </c>
      <c r="N707" t="s">
        <v>25</v>
      </c>
      <c r="O707" t="s">
        <v>796</v>
      </c>
      <c r="P707" t="s">
        <v>506</v>
      </c>
      <c r="Q707" t="s">
        <v>349</v>
      </c>
      <c r="R707">
        <v>2019</v>
      </c>
      <c r="S707" t="s">
        <v>803</v>
      </c>
      <c r="T707">
        <f>IF(IPL_Matches_2008_2020___New[[#This Row],[Toss Winner]]=IPL_Matches_2008_2020___New[[#This Row],[Winner]],1,0)</f>
        <v>1</v>
      </c>
      <c r="U707" t="s">
        <v>801</v>
      </c>
    </row>
    <row r="708" spans="1:21" x14ac:dyDescent="0.3">
      <c r="A708" t="s">
        <v>1508</v>
      </c>
      <c r="B708" t="s">
        <v>29</v>
      </c>
      <c r="C708">
        <f>YEAR(IPL_Matches_2008_2020___New[[#This Row],[Date ]])</f>
        <v>2019</v>
      </c>
      <c r="D708" s="1">
        <v>43563</v>
      </c>
      <c r="E708" t="s">
        <v>648</v>
      </c>
      <c r="F708" t="s">
        <v>32</v>
      </c>
      <c r="G708" t="s">
        <v>800</v>
      </c>
      <c r="H708" t="s">
        <v>406</v>
      </c>
      <c r="I708" t="s">
        <v>800</v>
      </c>
      <c r="J708" t="s">
        <v>23</v>
      </c>
      <c r="K708" t="s">
        <v>800</v>
      </c>
      <c r="L708" t="s">
        <v>43</v>
      </c>
      <c r="M708">
        <v>6</v>
      </c>
      <c r="N708" t="s">
        <v>25</v>
      </c>
      <c r="O708" t="s">
        <v>796</v>
      </c>
      <c r="P708" t="s">
        <v>576</v>
      </c>
      <c r="Q708" t="s">
        <v>155</v>
      </c>
      <c r="R708">
        <v>2019</v>
      </c>
      <c r="S708" t="s">
        <v>803</v>
      </c>
      <c r="T708">
        <f>IF(IPL_Matches_2008_2020___New[[#This Row],[Toss Winner]]=IPL_Matches_2008_2020___New[[#This Row],[Winner]],1,0)</f>
        <v>1</v>
      </c>
      <c r="U708" t="s">
        <v>801</v>
      </c>
    </row>
    <row r="709" spans="1:21" x14ac:dyDescent="0.3">
      <c r="A709" t="s">
        <v>1509</v>
      </c>
      <c r="B709" t="s">
        <v>70</v>
      </c>
      <c r="C709">
        <f>YEAR(IPL_Matches_2008_2020___New[[#This Row],[Date ]])</f>
        <v>2019</v>
      </c>
      <c r="D709" s="1">
        <v>43564</v>
      </c>
      <c r="E709" t="s">
        <v>706</v>
      </c>
      <c r="F709" t="s">
        <v>73</v>
      </c>
      <c r="G709" t="s">
        <v>34</v>
      </c>
      <c r="H709" t="s">
        <v>22</v>
      </c>
      <c r="I709" t="s">
        <v>34</v>
      </c>
      <c r="J709" t="s">
        <v>23</v>
      </c>
      <c r="K709" t="s">
        <v>34</v>
      </c>
      <c r="L709" t="s">
        <v>43</v>
      </c>
      <c r="M709">
        <v>7</v>
      </c>
      <c r="N709" t="s">
        <v>25</v>
      </c>
      <c r="O709" t="s">
        <v>796</v>
      </c>
      <c r="P709" t="s">
        <v>305</v>
      </c>
      <c r="Q709" t="s">
        <v>387</v>
      </c>
      <c r="R709">
        <v>2019</v>
      </c>
      <c r="S709" t="s">
        <v>803</v>
      </c>
      <c r="T709">
        <f>IF(IPL_Matches_2008_2020___New[[#This Row],[Toss Winner]]=IPL_Matches_2008_2020___New[[#This Row],[Winner]],1,0)</f>
        <v>1</v>
      </c>
      <c r="U709" t="s">
        <v>801</v>
      </c>
    </row>
    <row r="710" spans="1:21" x14ac:dyDescent="0.3">
      <c r="A710" t="s">
        <v>1510</v>
      </c>
      <c r="B710" t="s">
        <v>46</v>
      </c>
      <c r="C710">
        <f>YEAR(IPL_Matches_2008_2020___New[[#This Row],[Date ]])</f>
        <v>2019</v>
      </c>
      <c r="D710" s="1">
        <v>43565</v>
      </c>
      <c r="E710" t="s">
        <v>267</v>
      </c>
      <c r="F710" t="s">
        <v>49</v>
      </c>
      <c r="G710" t="s">
        <v>50</v>
      </c>
      <c r="H710" t="s">
        <v>800</v>
      </c>
      <c r="I710" t="s">
        <v>50</v>
      </c>
      <c r="J710" t="s">
        <v>23</v>
      </c>
      <c r="K710" t="s">
        <v>50</v>
      </c>
      <c r="L710" t="s">
        <v>43</v>
      </c>
      <c r="M710">
        <v>3</v>
      </c>
      <c r="N710" t="s">
        <v>25</v>
      </c>
      <c r="O710" t="s">
        <v>796</v>
      </c>
      <c r="P710" t="s">
        <v>617</v>
      </c>
      <c r="Q710" t="s">
        <v>183</v>
      </c>
      <c r="R710">
        <v>2019</v>
      </c>
      <c r="S710" t="s">
        <v>803</v>
      </c>
      <c r="T710">
        <f>IF(IPL_Matches_2008_2020___New[[#This Row],[Toss Winner]]=IPL_Matches_2008_2020___New[[#This Row],[Winner]],1,0)</f>
        <v>1</v>
      </c>
      <c r="U710" t="s">
        <v>801</v>
      </c>
    </row>
    <row r="711" spans="1:21" x14ac:dyDescent="0.3">
      <c r="A711" t="s">
        <v>1511</v>
      </c>
      <c r="B711" t="s">
        <v>59</v>
      </c>
      <c r="C711">
        <f>YEAR(IPL_Matches_2008_2020___New[[#This Row],[Date ]])</f>
        <v>2019</v>
      </c>
      <c r="D711" s="1">
        <v>43566</v>
      </c>
      <c r="E711" t="s">
        <v>87</v>
      </c>
      <c r="F711" t="s">
        <v>62</v>
      </c>
      <c r="G711" t="s">
        <v>42</v>
      </c>
      <c r="H711" t="s">
        <v>34</v>
      </c>
      <c r="I711" t="s">
        <v>34</v>
      </c>
      <c r="J711" t="s">
        <v>23</v>
      </c>
      <c r="K711" t="s">
        <v>34</v>
      </c>
      <c r="L711" t="s">
        <v>43</v>
      </c>
      <c r="M711">
        <v>4</v>
      </c>
      <c r="N711" t="s">
        <v>25</v>
      </c>
      <c r="O711" t="s">
        <v>796</v>
      </c>
      <c r="P711" t="s">
        <v>707</v>
      </c>
      <c r="Q711" t="s">
        <v>359</v>
      </c>
      <c r="R711">
        <v>2019</v>
      </c>
      <c r="S711" t="s">
        <v>803</v>
      </c>
      <c r="T711">
        <f>IF(IPL_Matches_2008_2020___New[[#This Row],[Toss Winner]]=IPL_Matches_2008_2020___New[[#This Row],[Winner]],1,0)</f>
        <v>1</v>
      </c>
      <c r="U711" t="s">
        <v>801</v>
      </c>
    </row>
    <row r="712" spans="1:21" x14ac:dyDescent="0.3">
      <c r="A712" t="s">
        <v>1512</v>
      </c>
      <c r="B712" t="s">
        <v>53</v>
      </c>
      <c r="C712">
        <f>YEAR(IPL_Matches_2008_2020___New[[#This Row],[Date ]])</f>
        <v>2019</v>
      </c>
      <c r="D712" s="1">
        <v>43567</v>
      </c>
      <c r="E712" t="s">
        <v>339</v>
      </c>
      <c r="F712" t="s">
        <v>55</v>
      </c>
      <c r="G712" t="s">
        <v>22</v>
      </c>
      <c r="H712" t="s">
        <v>692</v>
      </c>
      <c r="I712" t="s">
        <v>692</v>
      </c>
      <c r="J712" t="s">
        <v>23</v>
      </c>
      <c r="K712" t="s">
        <v>692</v>
      </c>
      <c r="L712" t="s">
        <v>43</v>
      </c>
      <c r="M712">
        <v>7</v>
      </c>
      <c r="N712" t="s">
        <v>25</v>
      </c>
      <c r="O712" t="s">
        <v>796</v>
      </c>
      <c r="P712" t="s">
        <v>617</v>
      </c>
      <c r="Q712" t="s">
        <v>418</v>
      </c>
      <c r="R712">
        <v>2019</v>
      </c>
      <c r="S712" t="s">
        <v>803</v>
      </c>
      <c r="T712">
        <f>IF(IPL_Matches_2008_2020___New[[#This Row],[Toss Winner]]=IPL_Matches_2008_2020___New[[#This Row],[Winner]],1,0)</f>
        <v>1</v>
      </c>
      <c r="U712" t="s">
        <v>801</v>
      </c>
    </row>
    <row r="713" spans="1:21" x14ac:dyDescent="0.3">
      <c r="A713" t="s">
        <v>1513</v>
      </c>
      <c r="B713" t="s">
        <v>46</v>
      </c>
      <c r="C713">
        <f>YEAR(IPL_Matches_2008_2020___New[[#This Row],[Date ]])</f>
        <v>2019</v>
      </c>
      <c r="D713" s="1">
        <v>43568</v>
      </c>
      <c r="E713" t="s">
        <v>625</v>
      </c>
      <c r="F713" t="s">
        <v>49</v>
      </c>
      <c r="G713" t="s">
        <v>50</v>
      </c>
      <c r="H713" t="s">
        <v>42</v>
      </c>
      <c r="I713" t="s">
        <v>42</v>
      </c>
      <c r="J713" t="s">
        <v>23</v>
      </c>
      <c r="K713" t="s">
        <v>42</v>
      </c>
      <c r="L713" t="s">
        <v>43</v>
      </c>
      <c r="M713">
        <v>4</v>
      </c>
      <c r="N713" t="s">
        <v>25</v>
      </c>
      <c r="O713" t="s">
        <v>796</v>
      </c>
      <c r="P713" t="s">
        <v>554</v>
      </c>
      <c r="Q713" t="s">
        <v>562</v>
      </c>
      <c r="R713">
        <v>2019</v>
      </c>
      <c r="S713" t="s">
        <v>803</v>
      </c>
      <c r="T713">
        <f>IF(IPL_Matches_2008_2020___New[[#This Row],[Toss Winner]]=IPL_Matches_2008_2020___New[[#This Row],[Winner]],1,0)</f>
        <v>1</v>
      </c>
      <c r="U713" t="s">
        <v>801</v>
      </c>
    </row>
    <row r="714" spans="1:21" x14ac:dyDescent="0.3">
      <c r="A714" t="s">
        <v>1514</v>
      </c>
      <c r="B714" t="s">
        <v>29</v>
      </c>
      <c r="C714">
        <f>YEAR(IPL_Matches_2008_2020___New[[#This Row],[Date ]])</f>
        <v>2019</v>
      </c>
      <c r="D714" s="1">
        <v>43568</v>
      </c>
      <c r="E714" t="s">
        <v>157</v>
      </c>
      <c r="F714" t="s">
        <v>32</v>
      </c>
      <c r="G714" t="s">
        <v>800</v>
      </c>
      <c r="H714" t="s">
        <v>21</v>
      </c>
      <c r="I714" t="s">
        <v>21</v>
      </c>
      <c r="J714" t="s">
        <v>23</v>
      </c>
      <c r="K714" t="s">
        <v>21</v>
      </c>
      <c r="L714" t="s">
        <v>43</v>
      </c>
      <c r="M714">
        <v>8</v>
      </c>
      <c r="N714" t="s">
        <v>25</v>
      </c>
      <c r="O714" t="s">
        <v>796</v>
      </c>
      <c r="P714" t="s">
        <v>707</v>
      </c>
      <c r="Q714" t="s">
        <v>183</v>
      </c>
      <c r="R714">
        <v>2019</v>
      </c>
      <c r="S714" t="s">
        <v>803</v>
      </c>
      <c r="T714">
        <f>IF(IPL_Matches_2008_2020___New[[#This Row],[Toss Winner]]=IPL_Matches_2008_2020___New[[#This Row],[Winner]],1,0)</f>
        <v>1</v>
      </c>
      <c r="U714" t="s">
        <v>801</v>
      </c>
    </row>
    <row r="715" spans="1:21" x14ac:dyDescent="0.3">
      <c r="A715" t="s">
        <v>1515</v>
      </c>
      <c r="B715" t="s">
        <v>53</v>
      </c>
      <c r="C715">
        <f>YEAR(IPL_Matches_2008_2020___New[[#This Row],[Date ]])</f>
        <v>2019</v>
      </c>
      <c r="D715" s="1">
        <v>43569</v>
      </c>
      <c r="E715" t="s">
        <v>710</v>
      </c>
      <c r="F715" t="s">
        <v>55</v>
      </c>
      <c r="G715" t="s">
        <v>22</v>
      </c>
      <c r="H715" t="s">
        <v>34</v>
      </c>
      <c r="I715" t="s">
        <v>34</v>
      </c>
      <c r="J715" t="s">
        <v>23</v>
      </c>
      <c r="K715" t="s">
        <v>34</v>
      </c>
      <c r="L715" t="s">
        <v>43</v>
      </c>
      <c r="M715">
        <v>5</v>
      </c>
      <c r="N715" t="s">
        <v>25</v>
      </c>
      <c r="O715" t="s">
        <v>796</v>
      </c>
      <c r="P715" t="s">
        <v>305</v>
      </c>
      <c r="Q715" t="s">
        <v>418</v>
      </c>
      <c r="R715">
        <v>2019</v>
      </c>
      <c r="S715" t="s">
        <v>803</v>
      </c>
      <c r="T715">
        <f>IF(IPL_Matches_2008_2020___New[[#This Row],[Toss Winner]]=IPL_Matches_2008_2020___New[[#This Row],[Winner]],1,0)</f>
        <v>1</v>
      </c>
      <c r="U715" t="s">
        <v>801</v>
      </c>
    </row>
    <row r="716" spans="1:21" x14ac:dyDescent="0.3">
      <c r="A716" t="s">
        <v>1516</v>
      </c>
      <c r="B716" t="s">
        <v>64</v>
      </c>
      <c r="C716">
        <f>YEAR(IPL_Matches_2008_2020___New[[#This Row],[Date ]])</f>
        <v>2019</v>
      </c>
      <c r="D716" s="1">
        <v>43569</v>
      </c>
      <c r="E716" t="s">
        <v>711</v>
      </c>
      <c r="F716" t="s">
        <v>67</v>
      </c>
      <c r="G716" t="s">
        <v>406</v>
      </c>
      <c r="H716" t="s">
        <v>692</v>
      </c>
      <c r="I716" t="s">
        <v>406</v>
      </c>
      <c r="J716" t="s">
        <v>23</v>
      </c>
      <c r="K716" t="s">
        <v>692</v>
      </c>
      <c r="L716" t="s">
        <v>24</v>
      </c>
      <c r="M716">
        <v>39</v>
      </c>
      <c r="N716" t="s">
        <v>25</v>
      </c>
      <c r="O716" t="s">
        <v>796</v>
      </c>
      <c r="P716" t="s">
        <v>359</v>
      </c>
      <c r="Q716" t="s">
        <v>349</v>
      </c>
      <c r="R716">
        <v>2019</v>
      </c>
      <c r="S716" t="s">
        <v>797</v>
      </c>
      <c r="T716">
        <f>IF(IPL_Matches_2008_2020___New[[#This Row],[Toss Winner]]=IPL_Matches_2008_2020___New[[#This Row],[Winner]],1,0)</f>
        <v>0</v>
      </c>
      <c r="U716" t="s">
        <v>798</v>
      </c>
    </row>
    <row r="717" spans="1:21" x14ac:dyDescent="0.3">
      <c r="A717" t="s">
        <v>1517</v>
      </c>
      <c r="B717" t="s">
        <v>46</v>
      </c>
      <c r="C717">
        <f>YEAR(IPL_Matches_2008_2020___New[[#This Row],[Date ]])</f>
        <v>2019</v>
      </c>
      <c r="D717" s="1">
        <v>43570</v>
      </c>
      <c r="E717" t="s">
        <v>253</v>
      </c>
      <c r="F717" t="s">
        <v>49</v>
      </c>
      <c r="G717" t="s">
        <v>50</v>
      </c>
      <c r="H717" t="s">
        <v>21</v>
      </c>
      <c r="I717" t="s">
        <v>50</v>
      </c>
      <c r="J717" t="s">
        <v>23</v>
      </c>
      <c r="K717" t="s">
        <v>50</v>
      </c>
      <c r="L717" t="s">
        <v>43</v>
      </c>
      <c r="M717">
        <v>5</v>
      </c>
      <c r="N717" t="s">
        <v>25</v>
      </c>
      <c r="O717" t="s">
        <v>796</v>
      </c>
      <c r="P717" t="s">
        <v>155</v>
      </c>
      <c r="Q717" t="s">
        <v>554</v>
      </c>
      <c r="R717">
        <v>2019</v>
      </c>
      <c r="S717" t="s">
        <v>803</v>
      </c>
      <c r="T717">
        <f>IF(IPL_Matches_2008_2020___New[[#This Row],[Toss Winner]]=IPL_Matches_2008_2020___New[[#This Row],[Winner]],1,0)</f>
        <v>1</v>
      </c>
      <c r="U717" t="s">
        <v>801</v>
      </c>
    </row>
    <row r="718" spans="1:21" x14ac:dyDescent="0.3">
      <c r="A718" t="s">
        <v>1518</v>
      </c>
      <c r="B718" t="s">
        <v>29</v>
      </c>
      <c r="C718">
        <f>YEAR(IPL_Matches_2008_2020___New[[#This Row],[Date ]])</f>
        <v>2019</v>
      </c>
      <c r="D718" s="1">
        <v>43571</v>
      </c>
      <c r="E718" t="s">
        <v>268</v>
      </c>
      <c r="F718" t="s">
        <v>32</v>
      </c>
      <c r="G718" t="s">
        <v>800</v>
      </c>
      <c r="H718" t="s">
        <v>42</v>
      </c>
      <c r="I718" t="s">
        <v>42</v>
      </c>
      <c r="J718" t="s">
        <v>23</v>
      </c>
      <c r="K718" t="s">
        <v>800</v>
      </c>
      <c r="L718" t="s">
        <v>24</v>
      </c>
      <c r="M718">
        <v>12</v>
      </c>
      <c r="N718" t="s">
        <v>25</v>
      </c>
      <c r="O718" t="s">
        <v>796</v>
      </c>
      <c r="P718" t="s">
        <v>354</v>
      </c>
      <c r="Q718" t="s">
        <v>349</v>
      </c>
      <c r="R718">
        <v>2019</v>
      </c>
      <c r="S718" t="s">
        <v>797</v>
      </c>
      <c r="T718">
        <f>IF(IPL_Matches_2008_2020___New[[#This Row],[Toss Winner]]=IPL_Matches_2008_2020___New[[#This Row],[Winner]],1,0)</f>
        <v>0</v>
      </c>
      <c r="U718" t="s">
        <v>798</v>
      </c>
    </row>
    <row r="719" spans="1:21" x14ac:dyDescent="0.3">
      <c r="A719" t="s">
        <v>1519</v>
      </c>
      <c r="B719" t="s">
        <v>64</v>
      </c>
      <c r="C719">
        <f>YEAR(IPL_Matches_2008_2020___New[[#This Row],[Date ]])</f>
        <v>2019</v>
      </c>
      <c r="D719" s="1">
        <v>43572</v>
      </c>
      <c r="E719" t="s">
        <v>251</v>
      </c>
      <c r="F719" t="s">
        <v>67</v>
      </c>
      <c r="G719" t="s">
        <v>406</v>
      </c>
      <c r="H719" t="s">
        <v>34</v>
      </c>
      <c r="I719" t="s">
        <v>34</v>
      </c>
      <c r="J719" t="s">
        <v>35</v>
      </c>
      <c r="K719" t="s">
        <v>406</v>
      </c>
      <c r="L719" t="s">
        <v>43</v>
      </c>
      <c r="M719">
        <v>6</v>
      </c>
      <c r="N719" t="s">
        <v>25</v>
      </c>
      <c r="O719" t="s">
        <v>796</v>
      </c>
      <c r="P719" t="s">
        <v>707</v>
      </c>
      <c r="Q719" t="s">
        <v>715</v>
      </c>
      <c r="R719">
        <v>2019</v>
      </c>
      <c r="S719" t="s">
        <v>803</v>
      </c>
      <c r="T719">
        <f>IF(IPL_Matches_2008_2020___New[[#This Row],[Toss Winner]]=IPL_Matches_2008_2020___New[[#This Row],[Winner]],1,0)</f>
        <v>0</v>
      </c>
      <c r="U719" t="s">
        <v>798</v>
      </c>
    </row>
    <row r="720" spans="1:21" x14ac:dyDescent="0.3">
      <c r="A720" t="s">
        <v>1520</v>
      </c>
      <c r="B720" t="s">
        <v>38</v>
      </c>
      <c r="C720">
        <f>YEAR(IPL_Matches_2008_2020___New[[#This Row],[Date ]])</f>
        <v>2019</v>
      </c>
      <c r="D720" s="1">
        <v>43573</v>
      </c>
      <c r="E720" t="s">
        <v>536</v>
      </c>
      <c r="F720" t="s">
        <v>40</v>
      </c>
      <c r="G720" t="s">
        <v>692</v>
      </c>
      <c r="H720" t="s">
        <v>50</v>
      </c>
      <c r="I720" t="s">
        <v>50</v>
      </c>
      <c r="J720" t="s">
        <v>35</v>
      </c>
      <c r="K720" t="s">
        <v>50</v>
      </c>
      <c r="L720" t="s">
        <v>24</v>
      </c>
      <c r="M720">
        <v>40</v>
      </c>
      <c r="N720" t="s">
        <v>25</v>
      </c>
      <c r="O720" t="s">
        <v>796</v>
      </c>
      <c r="P720" t="s">
        <v>359</v>
      </c>
      <c r="Q720" t="s">
        <v>441</v>
      </c>
      <c r="R720">
        <v>2019</v>
      </c>
      <c r="S720" t="s">
        <v>797</v>
      </c>
      <c r="T720">
        <f>IF(IPL_Matches_2008_2020___New[[#This Row],[Toss Winner]]=IPL_Matches_2008_2020___New[[#This Row],[Winner]],1,0)</f>
        <v>1</v>
      </c>
      <c r="U720" t="s">
        <v>801</v>
      </c>
    </row>
    <row r="721" spans="1:21" x14ac:dyDescent="0.3">
      <c r="A721" t="s">
        <v>1521</v>
      </c>
      <c r="B721" t="s">
        <v>53</v>
      </c>
      <c r="C721">
        <f>YEAR(IPL_Matches_2008_2020___New[[#This Row],[Date ]])</f>
        <v>2019</v>
      </c>
      <c r="D721" s="1">
        <v>43574</v>
      </c>
      <c r="E721" t="s">
        <v>314</v>
      </c>
      <c r="F721" t="s">
        <v>55</v>
      </c>
      <c r="G721" t="s">
        <v>22</v>
      </c>
      <c r="H721" t="s">
        <v>21</v>
      </c>
      <c r="I721" t="s">
        <v>22</v>
      </c>
      <c r="J721" t="s">
        <v>23</v>
      </c>
      <c r="K721" t="s">
        <v>21</v>
      </c>
      <c r="L721" t="s">
        <v>24</v>
      </c>
      <c r="M721">
        <v>10</v>
      </c>
      <c r="N721" t="s">
        <v>25</v>
      </c>
      <c r="O721" t="s">
        <v>796</v>
      </c>
      <c r="P721" t="s">
        <v>715</v>
      </c>
      <c r="Q721" t="s">
        <v>554</v>
      </c>
      <c r="R721">
        <v>2019</v>
      </c>
      <c r="S721" t="s">
        <v>797</v>
      </c>
      <c r="T721">
        <f>IF(IPL_Matches_2008_2020___New[[#This Row],[Toss Winner]]=IPL_Matches_2008_2020___New[[#This Row],[Winner]],1,0)</f>
        <v>0</v>
      </c>
      <c r="U721" t="s">
        <v>798</v>
      </c>
    </row>
    <row r="722" spans="1:21" x14ac:dyDescent="0.3">
      <c r="A722" t="s">
        <v>1522</v>
      </c>
      <c r="B722" t="s">
        <v>59</v>
      </c>
      <c r="C722">
        <f>YEAR(IPL_Matches_2008_2020___New[[#This Row],[Date ]])</f>
        <v>2019</v>
      </c>
      <c r="D722" s="1">
        <v>43575</v>
      </c>
      <c r="E722" t="s">
        <v>348</v>
      </c>
      <c r="F722" t="s">
        <v>62</v>
      </c>
      <c r="G722" t="s">
        <v>42</v>
      </c>
      <c r="H722" t="s">
        <v>50</v>
      </c>
      <c r="I722" t="s">
        <v>42</v>
      </c>
      <c r="J722" t="s">
        <v>23</v>
      </c>
      <c r="K722" t="s">
        <v>42</v>
      </c>
      <c r="L722" t="s">
        <v>43</v>
      </c>
      <c r="M722">
        <v>5</v>
      </c>
      <c r="N722" t="s">
        <v>25</v>
      </c>
      <c r="O722" t="s">
        <v>796</v>
      </c>
      <c r="P722" t="s">
        <v>617</v>
      </c>
      <c r="Q722" t="s">
        <v>183</v>
      </c>
      <c r="R722">
        <v>2019</v>
      </c>
      <c r="S722" t="s">
        <v>803</v>
      </c>
      <c r="T722">
        <f>IF(IPL_Matches_2008_2020___New[[#This Row],[Toss Winner]]=IPL_Matches_2008_2020___New[[#This Row],[Winner]],1,0)</f>
        <v>1</v>
      </c>
      <c r="U722" t="s">
        <v>801</v>
      </c>
    </row>
    <row r="723" spans="1:21" x14ac:dyDescent="0.3">
      <c r="A723" t="s">
        <v>1523</v>
      </c>
      <c r="B723" t="s">
        <v>38</v>
      </c>
      <c r="C723">
        <f>YEAR(IPL_Matches_2008_2020___New[[#This Row],[Date ]])</f>
        <v>2019</v>
      </c>
      <c r="D723" s="1">
        <v>43575</v>
      </c>
      <c r="E723" t="s">
        <v>524</v>
      </c>
      <c r="F723" t="s">
        <v>40</v>
      </c>
      <c r="G723" t="s">
        <v>692</v>
      </c>
      <c r="H723" t="s">
        <v>800</v>
      </c>
      <c r="I723" t="s">
        <v>692</v>
      </c>
      <c r="J723" t="s">
        <v>23</v>
      </c>
      <c r="K723" t="s">
        <v>692</v>
      </c>
      <c r="L723" t="s">
        <v>43</v>
      </c>
      <c r="M723">
        <v>5</v>
      </c>
      <c r="N723" t="s">
        <v>25</v>
      </c>
      <c r="O723" t="s">
        <v>796</v>
      </c>
      <c r="P723" t="s">
        <v>707</v>
      </c>
      <c r="Q723" t="s">
        <v>387</v>
      </c>
      <c r="R723">
        <v>2019</v>
      </c>
      <c r="S723" t="s">
        <v>803</v>
      </c>
      <c r="T723">
        <f>IF(IPL_Matches_2008_2020___New[[#This Row],[Toss Winner]]=IPL_Matches_2008_2020___New[[#This Row],[Winner]],1,0)</f>
        <v>1</v>
      </c>
      <c r="U723" t="s">
        <v>801</v>
      </c>
    </row>
    <row r="724" spans="1:21" x14ac:dyDescent="0.3">
      <c r="A724" t="s">
        <v>1524</v>
      </c>
      <c r="B724" t="s">
        <v>64</v>
      </c>
      <c r="C724">
        <f>YEAR(IPL_Matches_2008_2020___New[[#This Row],[Date ]])</f>
        <v>2019</v>
      </c>
      <c r="D724" s="1">
        <v>43576</v>
      </c>
      <c r="E724" t="s">
        <v>720</v>
      </c>
      <c r="F724" t="s">
        <v>67</v>
      </c>
      <c r="G724" t="s">
        <v>406</v>
      </c>
      <c r="H724" t="s">
        <v>22</v>
      </c>
      <c r="I724" t="s">
        <v>406</v>
      </c>
      <c r="J724" t="s">
        <v>23</v>
      </c>
      <c r="K724" t="s">
        <v>406</v>
      </c>
      <c r="L724" t="s">
        <v>43</v>
      </c>
      <c r="M724">
        <v>9</v>
      </c>
      <c r="N724" t="s">
        <v>25</v>
      </c>
      <c r="O724" t="s">
        <v>796</v>
      </c>
      <c r="P724" t="s">
        <v>441</v>
      </c>
      <c r="Q724" t="s">
        <v>554</v>
      </c>
      <c r="R724">
        <v>2019</v>
      </c>
      <c r="S724" t="s">
        <v>803</v>
      </c>
      <c r="T724">
        <f>IF(IPL_Matches_2008_2020___New[[#This Row],[Toss Winner]]=IPL_Matches_2008_2020___New[[#This Row],[Winner]],1,0)</f>
        <v>1</v>
      </c>
      <c r="U724" t="s">
        <v>801</v>
      </c>
    </row>
    <row r="725" spans="1:21" x14ac:dyDescent="0.3">
      <c r="A725" t="s">
        <v>1525</v>
      </c>
      <c r="B725" t="s">
        <v>607</v>
      </c>
      <c r="C725">
        <f>YEAR(IPL_Matches_2008_2020___New[[#This Row],[Date ]])</f>
        <v>2019</v>
      </c>
      <c r="D725" s="1">
        <v>43576</v>
      </c>
      <c r="E725" t="s">
        <v>443</v>
      </c>
      <c r="F725" t="s">
        <v>795</v>
      </c>
      <c r="G725" t="s">
        <v>21</v>
      </c>
      <c r="H725" t="s">
        <v>34</v>
      </c>
      <c r="I725" t="s">
        <v>34</v>
      </c>
      <c r="J725" t="s">
        <v>23</v>
      </c>
      <c r="K725" t="s">
        <v>21</v>
      </c>
      <c r="L725" t="s">
        <v>24</v>
      </c>
      <c r="M725">
        <v>1</v>
      </c>
      <c r="N725" t="s">
        <v>25</v>
      </c>
      <c r="O725" t="s">
        <v>796</v>
      </c>
      <c r="P725" t="s">
        <v>305</v>
      </c>
      <c r="Q725" t="s">
        <v>354</v>
      </c>
      <c r="R725">
        <v>2019</v>
      </c>
      <c r="S725" t="s">
        <v>797</v>
      </c>
      <c r="T725">
        <f>IF(IPL_Matches_2008_2020___New[[#This Row],[Toss Winner]]=IPL_Matches_2008_2020___New[[#This Row],[Winner]],1,0)</f>
        <v>0</v>
      </c>
      <c r="U725" t="s">
        <v>798</v>
      </c>
    </row>
    <row r="726" spans="1:21" x14ac:dyDescent="0.3">
      <c r="A726" t="s">
        <v>1526</v>
      </c>
      <c r="B726" t="s">
        <v>59</v>
      </c>
      <c r="C726">
        <f>YEAR(IPL_Matches_2008_2020___New[[#This Row],[Date ]])</f>
        <v>2019</v>
      </c>
      <c r="D726" s="1">
        <v>43577</v>
      </c>
      <c r="E726" t="s">
        <v>584</v>
      </c>
      <c r="F726" t="s">
        <v>62</v>
      </c>
      <c r="G726" t="s">
        <v>42</v>
      </c>
      <c r="H726" t="s">
        <v>692</v>
      </c>
      <c r="I726" t="s">
        <v>692</v>
      </c>
      <c r="J726" t="s">
        <v>23</v>
      </c>
      <c r="K726" t="s">
        <v>692</v>
      </c>
      <c r="L726" t="s">
        <v>43</v>
      </c>
      <c r="M726">
        <v>6</v>
      </c>
      <c r="N726" t="s">
        <v>25</v>
      </c>
      <c r="O726" t="s">
        <v>796</v>
      </c>
      <c r="P726" t="s">
        <v>562</v>
      </c>
      <c r="Q726" t="s">
        <v>183</v>
      </c>
      <c r="R726">
        <v>2019</v>
      </c>
      <c r="S726" t="s">
        <v>803</v>
      </c>
      <c r="T726">
        <f>IF(IPL_Matches_2008_2020___New[[#This Row],[Toss Winner]]=IPL_Matches_2008_2020___New[[#This Row],[Winner]],1,0)</f>
        <v>1</v>
      </c>
      <c r="U726" t="s">
        <v>801</v>
      </c>
    </row>
    <row r="727" spans="1:21" x14ac:dyDescent="0.3">
      <c r="A727" t="s">
        <v>1527</v>
      </c>
      <c r="B727" t="s">
        <v>70</v>
      </c>
      <c r="C727">
        <f>YEAR(IPL_Matches_2008_2020___New[[#This Row],[Date ]])</f>
        <v>2019</v>
      </c>
      <c r="D727" s="1">
        <v>43578</v>
      </c>
      <c r="E727" t="s">
        <v>61</v>
      </c>
      <c r="F727" t="s">
        <v>73</v>
      </c>
      <c r="G727" t="s">
        <v>34</v>
      </c>
      <c r="H727" t="s">
        <v>406</v>
      </c>
      <c r="I727" t="s">
        <v>34</v>
      </c>
      <c r="J727" t="s">
        <v>23</v>
      </c>
      <c r="K727" t="s">
        <v>34</v>
      </c>
      <c r="L727" t="s">
        <v>43</v>
      </c>
      <c r="M727">
        <v>6</v>
      </c>
      <c r="N727" t="s">
        <v>25</v>
      </c>
      <c r="O727" t="s">
        <v>796</v>
      </c>
      <c r="P727" t="s">
        <v>441</v>
      </c>
      <c r="Q727" t="s">
        <v>349</v>
      </c>
      <c r="R727">
        <v>2019</v>
      </c>
      <c r="S727" t="s">
        <v>803</v>
      </c>
      <c r="T727">
        <f>IF(IPL_Matches_2008_2020___New[[#This Row],[Toss Winner]]=IPL_Matches_2008_2020___New[[#This Row],[Winner]],1,0)</f>
        <v>1</v>
      </c>
      <c r="U727" t="s">
        <v>801</v>
      </c>
    </row>
    <row r="728" spans="1:21" x14ac:dyDescent="0.3">
      <c r="A728" t="s">
        <v>1528</v>
      </c>
      <c r="B728" t="s">
        <v>607</v>
      </c>
      <c r="C728">
        <f>YEAR(IPL_Matches_2008_2020___New[[#This Row],[Date ]])</f>
        <v>2019</v>
      </c>
      <c r="D728" s="1">
        <v>43579</v>
      </c>
      <c r="E728" t="s">
        <v>157</v>
      </c>
      <c r="F728" t="s">
        <v>795</v>
      </c>
      <c r="G728" t="s">
        <v>21</v>
      </c>
      <c r="H728" t="s">
        <v>800</v>
      </c>
      <c r="I728" t="s">
        <v>800</v>
      </c>
      <c r="J728" t="s">
        <v>23</v>
      </c>
      <c r="K728" t="s">
        <v>21</v>
      </c>
      <c r="L728" t="s">
        <v>24</v>
      </c>
      <c r="M728">
        <v>17</v>
      </c>
      <c r="N728" t="s">
        <v>25</v>
      </c>
      <c r="O728" t="s">
        <v>796</v>
      </c>
      <c r="P728" t="s">
        <v>387</v>
      </c>
      <c r="Q728" t="s">
        <v>359</v>
      </c>
      <c r="R728">
        <v>2019</v>
      </c>
      <c r="S728" t="s">
        <v>797</v>
      </c>
      <c r="T728">
        <f>IF(IPL_Matches_2008_2020___New[[#This Row],[Toss Winner]]=IPL_Matches_2008_2020___New[[#This Row],[Winner]],1,0)</f>
        <v>0</v>
      </c>
      <c r="U728" t="s">
        <v>798</v>
      </c>
    </row>
    <row r="729" spans="1:21" x14ac:dyDescent="0.3">
      <c r="A729" t="s">
        <v>1529</v>
      </c>
      <c r="B729" t="s">
        <v>53</v>
      </c>
      <c r="C729">
        <f>YEAR(IPL_Matches_2008_2020___New[[#This Row],[Date ]])</f>
        <v>2019</v>
      </c>
      <c r="D729" s="1">
        <v>43580</v>
      </c>
      <c r="E729" t="s">
        <v>529</v>
      </c>
      <c r="F729" t="s">
        <v>55</v>
      </c>
      <c r="G729" t="s">
        <v>22</v>
      </c>
      <c r="H729" t="s">
        <v>42</v>
      </c>
      <c r="I729" t="s">
        <v>42</v>
      </c>
      <c r="J729" t="s">
        <v>23</v>
      </c>
      <c r="K729" t="s">
        <v>42</v>
      </c>
      <c r="L729" t="s">
        <v>43</v>
      </c>
      <c r="M729">
        <v>3</v>
      </c>
      <c r="N729" t="s">
        <v>25</v>
      </c>
      <c r="O729" t="s">
        <v>796</v>
      </c>
      <c r="P729" t="s">
        <v>576</v>
      </c>
      <c r="Q729" t="s">
        <v>715</v>
      </c>
      <c r="R729">
        <v>2019</v>
      </c>
      <c r="S729" t="s">
        <v>803</v>
      </c>
      <c r="T729">
        <f>IF(IPL_Matches_2008_2020___New[[#This Row],[Toss Winner]]=IPL_Matches_2008_2020___New[[#This Row],[Winner]],1,0)</f>
        <v>1</v>
      </c>
      <c r="U729" t="s">
        <v>801</v>
      </c>
    </row>
    <row r="730" spans="1:21" x14ac:dyDescent="0.3">
      <c r="A730" t="s">
        <v>1530</v>
      </c>
      <c r="B730" t="s">
        <v>70</v>
      </c>
      <c r="C730">
        <f>YEAR(IPL_Matches_2008_2020___New[[#This Row],[Date ]])</f>
        <v>2019</v>
      </c>
      <c r="D730" s="1">
        <v>43581</v>
      </c>
      <c r="E730" t="s">
        <v>190</v>
      </c>
      <c r="F730" t="s">
        <v>73</v>
      </c>
      <c r="G730" t="s">
        <v>34</v>
      </c>
      <c r="H730" t="s">
        <v>50</v>
      </c>
      <c r="I730" t="s">
        <v>34</v>
      </c>
      <c r="J730" t="s">
        <v>23</v>
      </c>
      <c r="K730" t="s">
        <v>50</v>
      </c>
      <c r="L730" t="s">
        <v>24</v>
      </c>
      <c r="M730">
        <v>46</v>
      </c>
      <c r="N730" t="s">
        <v>25</v>
      </c>
      <c r="O730" t="s">
        <v>796</v>
      </c>
      <c r="P730" t="s">
        <v>441</v>
      </c>
      <c r="Q730" t="s">
        <v>349</v>
      </c>
      <c r="R730">
        <v>2019</v>
      </c>
      <c r="S730" t="s">
        <v>797</v>
      </c>
      <c r="T730">
        <f>IF(IPL_Matches_2008_2020___New[[#This Row],[Toss Winner]]=IPL_Matches_2008_2020___New[[#This Row],[Winner]],1,0)</f>
        <v>0</v>
      </c>
      <c r="U730" t="s">
        <v>798</v>
      </c>
    </row>
    <row r="731" spans="1:21" x14ac:dyDescent="0.3">
      <c r="A731" t="s">
        <v>1531</v>
      </c>
      <c r="B731" t="s">
        <v>59</v>
      </c>
      <c r="C731">
        <f>YEAR(IPL_Matches_2008_2020___New[[#This Row],[Date ]])</f>
        <v>2019</v>
      </c>
      <c r="D731" s="1">
        <v>43582</v>
      </c>
      <c r="E731" t="s">
        <v>276</v>
      </c>
      <c r="F731" t="s">
        <v>62</v>
      </c>
      <c r="G731" t="s">
        <v>42</v>
      </c>
      <c r="H731" t="s">
        <v>406</v>
      </c>
      <c r="I731" t="s">
        <v>42</v>
      </c>
      <c r="J731" t="s">
        <v>23</v>
      </c>
      <c r="K731" t="s">
        <v>42</v>
      </c>
      <c r="L731" t="s">
        <v>43</v>
      </c>
      <c r="M731">
        <v>7</v>
      </c>
      <c r="N731" t="s">
        <v>25</v>
      </c>
      <c r="O731" t="s">
        <v>796</v>
      </c>
      <c r="P731" t="s">
        <v>617</v>
      </c>
      <c r="Q731" t="s">
        <v>562</v>
      </c>
      <c r="R731">
        <v>2019</v>
      </c>
      <c r="S731" t="s">
        <v>803</v>
      </c>
      <c r="T731">
        <f>IF(IPL_Matches_2008_2020___New[[#This Row],[Toss Winner]]=IPL_Matches_2008_2020___New[[#This Row],[Winner]],1,0)</f>
        <v>1</v>
      </c>
      <c r="U731" t="s">
        <v>801</v>
      </c>
    </row>
    <row r="732" spans="1:21" x14ac:dyDescent="0.3">
      <c r="A732" t="s">
        <v>1532</v>
      </c>
      <c r="B732" t="s">
        <v>38</v>
      </c>
      <c r="C732">
        <f>YEAR(IPL_Matches_2008_2020___New[[#This Row],[Date ]])</f>
        <v>2019</v>
      </c>
      <c r="D732" s="1">
        <v>43583</v>
      </c>
      <c r="E732" t="s">
        <v>339</v>
      </c>
      <c r="F732" t="s">
        <v>40</v>
      </c>
      <c r="G732" t="s">
        <v>692</v>
      </c>
      <c r="H732" t="s">
        <v>21</v>
      </c>
      <c r="I732" t="s">
        <v>692</v>
      </c>
      <c r="J732" t="s">
        <v>35</v>
      </c>
      <c r="K732" t="s">
        <v>692</v>
      </c>
      <c r="L732" t="s">
        <v>24</v>
      </c>
      <c r="M732">
        <v>16</v>
      </c>
      <c r="N732" t="s">
        <v>25</v>
      </c>
      <c r="O732" t="s">
        <v>796</v>
      </c>
      <c r="P732" t="s">
        <v>583</v>
      </c>
      <c r="Q732" t="s">
        <v>359</v>
      </c>
      <c r="R732">
        <v>2019</v>
      </c>
      <c r="S732" t="s">
        <v>797</v>
      </c>
      <c r="T732">
        <f>IF(IPL_Matches_2008_2020___New[[#This Row],[Toss Winner]]=IPL_Matches_2008_2020___New[[#This Row],[Winner]],1,0)</f>
        <v>1</v>
      </c>
      <c r="U732" t="s">
        <v>801</v>
      </c>
    </row>
    <row r="733" spans="1:21" x14ac:dyDescent="0.3">
      <c r="A733" t="s">
        <v>1533</v>
      </c>
      <c r="B733" t="s">
        <v>53</v>
      </c>
      <c r="C733">
        <f>YEAR(IPL_Matches_2008_2020___New[[#This Row],[Date ]])</f>
        <v>2019</v>
      </c>
      <c r="D733" s="1">
        <v>43583</v>
      </c>
      <c r="E733" t="s">
        <v>513</v>
      </c>
      <c r="F733" t="s">
        <v>55</v>
      </c>
      <c r="G733" t="s">
        <v>22</v>
      </c>
      <c r="H733" t="s">
        <v>50</v>
      </c>
      <c r="I733" t="s">
        <v>50</v>
      </c>
      <c r="J733" t="s">
        <v>23</v>
      </c>
      <c r="K733" t="s">
        <v>22</v>
      </c>
      <c r="L733" t="s">
        <v>24</v>
      </c>
      <c r="M733">
        <v>34</v>
      </c>
      <c r="N733" t="s">
        <v>25</v>
      </c>
      <c r="O733" t="s">
        <v>796</v>
      </c>
      <c r="P733" t="s">
        <v>715</v>
      </c>
      <c r="Q733" t="s">
        <v>554</v>
      </c>
      <c r="R733">
        <v>2019</v>
      </c>
      <c r="S733" t="s">
        <v>797</v>
      </c>
      <c r="T733">
        <f>IF(IPL_Matches_2008_2020___New[[#This Row],[Toss Winner]]=IPL_Matches_2008_2020___New[[#This Row],[Winner]],1,0)</f>
        <v>0</v>
      </c>
      <c r="U733" t="s">
        <v>798</v>
      </c>
    </row>
    <row r="734" spans="1:21" x14ac:dyDescent="0.3">
      <c r="A734" t="s">
        <v>1534</v>
      </c>
      <c r="B734" t="s">
        <v>64</v>
      </c>
      <c r="C734">
        <f>YEAR(IPL_Matches_2008_2020___New[[#This Row],[Date ]])</f>
        <v>2019</v>
      </c>
      <c r="D734" s="1">
        <v>43584</v>
      </c>
      <c r="E734" t="s">
        <v>251</v>
      </c>
      <c r="F734" t="s">
        <v>67</v>
      </c>
      <c r="G734" t="s">
        <v>406</v>
      </c>
      <c r="H734" t="s">
        <v>800</v>
      </c>
      <c r="I734" t="s">
        <v>800</v>
      </c>
      <c r="J734" t="s">
        <v>23</v>
      </c>
      <c r="K734" t="s">
        <v>406</v>
      </c>
      <c r="L734" t="s">
        <v>24</v>
      </c>
      <c r="M734">
        <v>45</v>
      </c>
      <c r="N734" t="s">
        <v>25</v>
      </c>
      <c r="O734" t="s">
        <v>796</v>
      </c>
      <c r="P734" t="s">
        <v>418</v>
      </c>
      <c r="Q734" t="s">
        <v>183</v>
      </c>
      <c r="R734">
        <v>2019</v>
      </c>
      <c r="S734" t="s">
        <v>797</v>
      </c>
      <c r="T734">
        <f>IF(IPL_Matches_2008_2020___New[[#This Row],[Toss Winner]]=IPL_Matches_2008_2020___New[[#This Row],[Winner]],1,0)</f>
        <v>0</v>
      </c>
      <c r="U734" t="s">
        <v>798</v>
      </c>
    </row>
    <row r="735" spans="1:21" x14ac:dyDescent="0.3">
      <c r="A735" t="s">
        <v>1535</v>
      </c>
      <c r="B735" t="s">
        <v>70</v>
      </c>
      <c r="C735">
        <f>YEAR(IPL_Matches_2008_2020___New[[#This Row],[Date ]])</f>
        <v>2019</v>
      </c>
      <c r="D735" s="1">
        <v>43586</v>
      </c>
      <c r="E735" t="s">
        <v>87</v>
      </c>
      <c r="F735" t="s">
        <v>73</v>
      </c>
      <c r="G735" t="s">
        <v>34</v>
      </c>
      <c r="H735" t="s">
        <v>692</v>
      </c>
      <c r="I735" t="s">
        <v>692</v>
      </c>
      <c r="J735" t="s">
        <v>23</v>
      </c>
      <c r="K735" t="s">
        <v>34</v>
      </c>
      <c r="L735" t="s">
        <v>24</v>
      </c>
      <c r="M735">
        <v>80</v>
      </c>
      <c r="N735" t="s">
        <v>25</v>
      </c>
      <c r="O735" t="s">
        <v>796</v>
      </c>
      <c r="P735" t="s">
        <v>576</v>
      </c>
      <c r="Q735" t="s">
        <v>554</v>
      </c>
      <c r="R735">
        <v>2019</v>
      </c>
      <c r="S735" t="s">
        <v>797</v>
      </c>
      <c r="T735">
        <f>IF(IPL_Matches_2008_2020___New[[#This Row],[Toss Winner]]=IPL_Matches_2008_2020___New[[#This Row],[Winner]],1,0)</f>
        <v>0</v>
      </c>
      <c r="U735" t="s">
        <v>798</v>
      </c>
    </row>
    <row r="736" spans="1:21" x14ac:dyDescent="0.3">
      <c r="A736" t="s">
        <v>1536</v>
      </c>
      <c r="B736" t="s">
        <v>29</v>
      </c>
      <c r="C736">
        <f>YEAR(IPL_Matches_2008_2020___New[[#This Row],[Date ]])</f>
        <v>2019</v>
      </c>
      <c r="D736" s="1">
        <v>43588</v>
      </c>
      <c r="E736" t="s">
        <v>730</v>
      </c>
      <c r="F736" t="s">
        <v>32</v>
      </c>
      <c r="G736" t="s">
        <v>800</v>
      </c>
      <c r="H736" t="s">
        <v>22</v>
      </c>
      <c r="I736" t="s">
        <v>22</v>
      </c>
      <c r="J736" t="s">
        <v>23</v>
      </c>
      <c r="K736" t="s">
        <v>22</v>
      </c>
      <c r="L736" t="s">
        <v>43</v>
      </c>
      <c r="M736">
        <v>7</v>
      </c>
      <c r="N736" t="s">
        <v>25</v>
      </c>
      <c r="O736" t="s">
        <v>796</v>
      </c>
      <c r="P736" t="s">
        <v>387</v>
      </c>
      <c r="Q736" t="s">
        <v>359</v>
      </c>
      <c r="R736">
        <v>2019</v>
      </c>
      <c r="S736" t="s">
        <v>803</v>
      </c>
      <c r="T736">
        <f>IF(IPL_Matches_2008_2020___New[[#This Row],[Toss Winner]]=IPL_Matches_2008_2020___New[[#This Row],[Winner]],1,0)</f>
        <v>1</v>
      </c>
      <c r="U736" t="s">
        <v>801</v>
      </c>
    </row>
    <row r="737" spans="1:21" x14ac:dyDescent="0.3">
      <c r="A737" t="s">
        <v>1537</v>
      </c>
      <c r="B737" t="s">
        <v>38</v>
      </c>
      <c r="C737">
        <f>YEAR(IPL_Matches_2008_2020___New[[#This Row],[Date ]])</f>
        <v>2019</v>
      </c>
      <c r="D737" s="1">
        <v>43589</v>
      </c>
      <c r="E737" t="s">
        <v>111</v>
      </c>
      <c r="F737" t="s">
        <v>40</v>
      </c>
      <c r="G737" t="s">
        <v>692</v>
      </c>
      <c r="H737" t="s">
        <v>42</v>
      </c>
      <c r="I737" t="s">
        <v>42</v>
      </c>
      <c r="J737" t="s">
        <v>35</v>
      </c>
      <c r="K737" t="s">
        <v>692</v>
      </c>
      <c r="L737" t="s">
        <v>43</v>
      </c>
      <c r="M737">
        <v>5</v>
      </c>
      <c r="N737" t="s">
        <v>25</v>
      </c>
      <c r="O737" t="s">
        <v>796</v>
      </c>
      <c r="P737" t="s">
        <v>576</v>
      </c>
      <c r="Q737" t="s">
        <v>715</v>
      </c>
      <c r="R737">
        <v>2019</v>
      </c>
      <c r="S737" t="s">
        <v>803</v>
      </c>
      <c r="T737">
        <f>IF(IPL_Matches_2008_2020___New[[#This Row],[Toss Winner]]=IPL_Matches_2008_2020___New[[#This Row],[Winner]],1,0)</f>
        <v>0</v>
      </c>
      <c r="U737" t="s">
        <v>798</v>
      </c>
    </row>
    <row r="738" spans="1:21" x14ac:dyDescent="0.3">
      <c r="A738" t="s">
        <v>1538</v>
      </c>
      <c r="B738" t="s">
        <v>607</v>
      </c>
      <c r="C738">
        <f>YEAR(IPL_Matches_2008_2020___New[[#This Row],[Date ]])</f>
        <v>2019</v>
      </c>
      <c r="D738" s="1">
        <v>43589</v>
      </c>
      <c r="E738" t="s">
        <v>731</v>
      </c>
      <c r="F738" t="s">
        <v>795</v>
      </c>
      <c r="G738" t="s">
        <v>21</v>
      </c>
      <c r="H738" t="s">
        <v>406</v>
      </c>
      <c r="I738" t="s">
        <v>21</v>
      </c>
      <c r="J738" t="s">
        <v>23</v>
      </c>
      <c r="K738" t="s">
        <v>21</v>
      </c>
      <c r="L738" t="s">
        <v>43</v>
      </c>
      <c r="M738">
        <v>4</v>
      </c>
      <c r="N738" t="s">
        <v>25</v>
      </c>
      <c r="O738" t="s">
        <v>796</v>
      </c>
      <c r="P738" t="s">
        <v>441</v>
      </c>
      <c r="Q738" t="s">
        <v>349</v>
      </c>
      <c r="R738">
        <v>2019</v>
      </c>
      <c r="S738" t="s">
        <v>803</v>
      </c>
      <c r="T738">
        <f>IF(IPL_Matches_2008_2020___New[[#This Row],[Toss Winner]]=IPL_Matches_2008_2020___New[[#This Row],[Winner]],1,0)</f>
        <v>1</v>
      </c>
      <c r="U738" t="s">
        <v>801</v>
      </c>
    </row>
    <row r="739" spans="1:21" x14ac:dyDescent="0.3">
      <c r="A739" t="s">
        <v>1539</v>
      </c>
      <c r="B739" t="s">
        <v>29</v>
      </c>
      <c r="C739">
        <f>YEAR(IPL_Matches_2008_2020___New[[#This Row],[Date ]])</f>
        <v>2019</v>
      </c>
      <c r="D739" s="1">
        <v>43590</v>
      </c>
      <c r="E739" t="s">
        <v>648</v>
      </c>
      <c r="F739" t="s">
        <v>32</v>
      </c>
      <c r="G739" t="s">
        <v>800</v>
      </c>
      <c r="H739" t="s">
        <v>34</v>
      </c>
      <c r="I739" t="s">
        <v>800</v>
      </c>
      <c r="J739" t="s">
        <v>23</v>
      </c>
      <c r="K739" t="s">
        <v>800</v>
      </c>
      <c r="L739" t="s">
        <v>43</v>
      </c>
      <c r="M739">
        <v>6</v>
      </c>
      <c r="N739" t="s">
        <v>25</v>
      </c>
      <c r="O739" t="s">
        <v>796</v>
      </c>
      <c r="P739" t="s">
        <v>583</v>
      </c>
      <c r="Q739" t="s">
        <v>387</v>
      </c>
      <c r="R739">
        <v>2019</v>
      </c>
      <c r="S739" t="s">
        <v>803</v>
      </c>
      <c r="T739">
        <f>IF(IPL_Matches_2008_2020___New[[#This Row],[Toss Winner]]=IPL_Matches_2008_2020___New[[#This Row],[Winner]],1,0)</f>
        <v>1</v>
      </c>
      <c r="U739" t="s">
        <v>801</v>
      </c>
    </row>
    <row r="740" spans="1:21" x14ac:dyDescent="0.3">
      <c r="A740" t="s">
        <v>1540</v>
      </c>
      <c r="B740" t="s">
        <v>46</v>
      </c>
      <c r="C740">
        <f>YEAR(IPL_Matches_2008_2020___New[[#This Row],[Date ]])</f>
        <v>2019</v>
      </c>
      <c r="D740" s="1">
        <v>43590</v>
      </c>
      <c r="E740" t="s">
        <v>536</v>
      </c>
      <c r="F740" t="s">
        <v>49</v>
      </c>
      <c r="G740" t="s">
        <v>50</v>
      </c>
      <c r="H740" t="s">
        <v>22</v>
      </c>
      <c r="I740" t="s">
        <v>50</v>
      </c>
      <c r="J740" t="s">
        <v>23</v>
      </c>
      <c r="K740" t="s">
        <v>50</v>
      </c>
      <c r="L740" t="s">
        <v>43</v>
      </c>
      <c r="M740">
        <v>9</v>
      </c>
      <c r="N740" t="s">
        <v>25</v>
      </c>
      <c r="O740" t="s">
        <v>796</v>
      </c>
      <c r="P740" t="s">
        <v>562</v>
      </c>
      <c r="Q740" t="s">
        <v>418</v>
      </c>
      <c r="R740">
        <v>2019</v>
      </c>
      <c r="S740" t="s">
        <v>803</v>
      </c>
      <c r="T740">
        <f>IF(IPL_Matches_2008_2020___New[[#This Row],[Toss Winner]]=IPL_Matches_2008_2020___New[[#This Row],[Winner]],1,0)</f>
        <v>1</v>
      </c>
      <c r="U740" t="s">
        <v>801</v>
      </c>
    </row>
    <row r="741" spans="1:21" x14ac:dyDescent="0.3">
      <c r="A741" t="s">
        <v>1541</v>
      </c>
      <c r="B741" t="s">
        <v>70</v>
      </c>
      <c r="C741">
        <f>YEAR(IPL_Matches_2008_2020___New[[#This Row],[Date ]])</f>
        <v>2019</v>
      </c>
      <c r="D741" s="1">
        <v>43592</v>
      </c>
      <c r="E741" t="s">
        <v>572</v>
      </c>
      <c r="F741" t="s">
        <v>73</v>
      </c>
      <c r="G741" t="s">
        <v>50</v>
      </c>
      <c r="H741" t="s">
        <v>34</v>
      </c>
      <c r="I741" t="s">
        <v>34</v>
      </c>
      <c r="J741" t="s">
        <v>35</v>
      </c>
      <c r="K741" t="s">
        <v>50</v>
      </c>
      <c r="L741" t="s">
        <v>43</v>
      </c>
      <c r="M741">
        <v>6</v>
      </c>
      <c r="N741" t="s">
        <v>25</v>
      </c>
      <c r="O741" t="s">
        <v>796</v>
      </c>
      <c r="P741" t="s">
        <v>441</v>
      </c>
      <c r="Q741" t="s">
        <v>554</v>
      </c>
      <c r="R741">
        <v>2019</v>
      </c>
      <c r="S741" t="s">
        <v>803</v>
      </c>
      <c r="T741">
        <f>IF(IPL_Matches_2008_2020___New[[#This Row],[Toss Winner]]=IPL_Matches_2008_2020___New[[#This Row],[Winner]],1,0)</f>
        <v>0</v>
      </c>
      <c r="U741" t="s">
        <v>798</v>
      </c>
    </row>
    <row r="742" spans="1:21" x14ac:dyDescent="0.3">
      <c r="A742" t="s">
        <v>1542</v>
      </c>
      <c r="B742" t="s">
        <v>351</v>
      </c>
      <c r="C742">
        <f>YEAR(IPL_Matches_2008_2020___New[[#This Row],[Date ]])</f>
        <v>2019</v>
      </c>
      <c r="D742" s="1">
        <v>43593</v>
      </c>
      <c r="E742" t="s">
        <v>584</v>
      </c>
      <c r="F742" t="s">
        <v>353</v>
      </c>
      <c r="G742" t="s">
        <v>692</v>
      </c>
      <c r="H742" t="s">
        <v>406</v>
      </c>
      <c r="I742" t="s">
        <v>692</v>
      </c>
      <c r="J742" t="s">
        <v>23</v>
      </c>
      <c r="K742" t="s">
        <v>692</v>
      </c>
      <c r="L742" t="s">
        <v>43</v>
      </c>
      <c r="M742">
        <v>2</v>
      </c>
      <c r="N742" t="s">
        <v>25</v>
      </c>
      <c r="O742" t="s">
        <v>796</v>
      </c>
      <c r="P742" t="s">
        <v>359</v>
      </c>
      <c r="Q742" t="s">
        <v>183</v>
      </c>
      <c r="R742">
        <v>2019</v>
      </c>
      <c r="S742" t="s">
        <v>803</v>
      </c>
      <c r="T742">
        <f>IF(IPL_Matches_2008_2020___New[[#This Row],[Toss Winner]]=IPL_Matches_2008_2020___New[[#This Row],[Winner]],1,0)</f>
        <v>1</v>
      </c>
      <c r="U742" t="s">
        <v>801</v>
      </c>
    </row>
    <row r="743" spans="1:21" x14ac:dyDescent="0.3">
      <c r="A743" t="s">
        <v>1543</v>
      </c>
      <c r="B743" t="s">
        <v>351</v>
      </c>
      <c r="C743">
        <f>YEAR(IPL_Matches_2008_2020___New[[#This Row],[Date ]])</f>
        <v>2019</v>
      </c>
      <c r="D743" s="1">
        <v>43595</v>
      </c>
      <c r="E743" t="s">
        <v>360</v>
      </c>
      <c r="F743" t="s">
        <v>353</v>
      </c>
      <c r="G743" t="s">
        <v>34</v>
      </c>
      <c r="H743" t="s">
        <v>692</v>
      </c>
      <c r="I743" t="s">
        <v>34</v>
      </c>
      <c r="J743" t="s">
        <v>23</v>
      </c>
      <c r="K743" t="s">
        <v>34</v>
      </c>
      <c r="L743" t="s">
        <v>43</v>
      </c>
      <c r="M743">
        <v>6</v>
      </c>
      <c r="N743" t="s">
        <v>25</v>
      </c>
      <c r="O743" t="s">
        <v>796</v>
      </c>
      <c r="P743" t="s">
        <v>359</v>
      </c>
      <c r="Q743" t="s">
        <v>183</v>
      </c>
      <c r="R743">
        <v>2019</v>
      </c>
      <c r="S743" t="s">
        <v>803</v>
      </c>
      <c r="T743">
        <f>IF(IPL_Matches_2008_2020___New[[#This Row],[Toss Winner]]=IPL_Matches_2008_2020___New[[#This Row],[Winner]],1,0)</f>
        <v>1</v>
      </c>
      <c r="U743" t="s">
        <v>801</v>
      </c>
    </row>
    <row r="744" spans="1:21" x14ac:dyDescent="0.3">
      <c r="A744" t="s">
        <v>1544</v>
      </c>
      <c r="B744" t="s">
        <v>64</v>
      </c>
      <c r="C744">
        <f>YEAR(IPL_Matches_2008_2020___New[[#This Row],[Date ]])</f>
        <v>2019</v>
      </c>
      <c r="D744" s="1">
        <v>43597</v>
      </c>
      <c r="E744" t="s">
        <v>612</v>
      </c>
      <c r="F744" t="s">
        <v>67</v>
      </c>
      <c r="G744" t="s">
        <v>50</v>
      </c>
      <c r="H744" t="s">
        <v>34</v>
      </c>
      <c r="I744" t="s">
        <v>50</v>
      </c>
      <c r="J744" t="s">
        <v>35</v>
      </c>
      <c r="K744" t="s">
        <v>50</v>
      </c>
      <c r="L744" t="s">
        <v>24</v>
      </c>
      <c r="M744">
        <v>1</v>
      </c>
      <c r="N744" t="s">
        <v>25</v>
      </c>
      <c r="O744" t="s">
        <v>796</v>
      </c>
      <c r="P744" t="s">
        <v>715</v>
      </c>
      <c r="Q744" t="s">
        <v>554</v>
      </c>
      <c r="R744">
        <v>2019</v>
      </c>
      <c r="S744" t="s">
        <v>797</v>
      </c>
      <c r="T744">
        <f>IF(IPL_Matches_2008_2020___New[[#This Row],[Toss Winner]]=IPL_Matches_2008_2020___New[[#This Row],[Winner]],1,0)</f>
        <v>1</v>
      </c>
      <c r="U744" t="s">
        <v>801</v>
      </c>
    </row>
    <row r="745" spans="1:21" x14ac:dyDescent="0.3">
      <c r="A745" t="s">
        <v>1545</v>
      </c>
      <c r="B745" t="s">
        <v>457</v>
      </c>
      <c r="C745">
        <f>YEAR(IPL_Matches_2008_2020___New[[#This Row],[Date ]])</f>
        <v>2020</v>
      </c>
      <c r="D745" s="1">
        <v>44093</v>
      </c>
      <c r="E745" t="s">
        <v>257</v>
      </c>
      <c r="F745" t="s">
        <v>459</v>
      </c>
      <c r="G745" t="s">
        <v>50</v>
      </c>
      <c r="H745" t="s">
        <v>34</v>
      </c>
      <c r="I745" t="s">
        <v>34</v>
      </c>
      <c r="J745" t="s">
        <v>23</v>
      </c>
      <c r="K745" t="s">
        <v>34</v>
      </c>
      <c r="L745" t="s">
        <v>43</v>
      </c>
      <c r="M745">
        <v>5</v>
      </c>
      <c r="N745" t="s">
        <v>25</v>
      </c>
      <c r="O745" t="s">
        <v>796</v>
      </c>
      <c r="P745" t="s">
        <v>506</v>
      </c>
      <c r="Q745" t="s">
        <v>552</v>
      </c>
      <c r="R745">
        <v>2020</v>
      </c>
      <c r="S745" t="s">
        <v>803</v>
      </c>
      <c r="T745">
        <f>IF(IPL_Matches_2008_2020___New[[#This Row],[Toss Winner]]=IPL_Matches_2008_2020___New[[#This Row],[Winner]],1,0)</f>
        <v>1</v>
      </c>
      <c r="U745" t="s">
        <v>801</v>
      </c>
    </row>
    <row r="746" spans="1:21" x14ac:dyDescent="0.3">
      <c r="A746" t="s">
        <v>1546</v>
      </c>
      <c r="B746" t="s">
        <v>457</v>
      </c>
      <c r="C746">
        <f>YEAR(IPL_Matches_2008_2020___New[[#This Row],[Date ]])</f>
        <v>2020</v>
      </c>
      <c r="D746" s="1">
        <v>44125</v>
      </c>
      <c r="E746" t="s">
        <v>639</v>
      </c>
      <c r="F746" t="s">
        <v>459</v>
      </c>
      <c r="G746" t="s">
        <v>22</v>
      </c>
      <c r="H746" t="s">
        <v>21</v>
      </c>
      <c r="I746" t="s">
        <v>22</v>
      </c>
      <c r="J746" t="s">
        <v>35</v>
      </c>
      <c r="K746" t="s">
        <v>21</v>
      </c>
      <c r="L746" t="s">
        <v>43</v>
      </c>
      <c r="M746">
        <v>8</v>
      </c>
      <c r="N746" t="s">
        <v>25</v>
      </c>
      <c r="O746" t="s">
        <v>796</v>
      </c>
      <c r="P746" t="s">
        <v>552</v>
      </c>
      <c r="Q746" t="s">
        <v>183</v>
      </c>
      <c r="R746">
        <v>2020</v>
      </c>
      <c r="S746" t="s">
        <v>803</v>
      </c>
      <c r="T746">
        <f>IF(IPL_Matches_2008_2020___New[[#This Row],[Toss Winner]]=IPL_Matches_2008_2020___New[[#This Row],[Winner]],1,0)</f>
        <v>0</v>
      </c>
      <c r="U746" t="s">
        <v>798</v>
      </c>
    </row>
    <row r="747" spans="1:21" x14ac:dyDescent="0.3">
      <c r="A747" t="s">
        <v>1547</v>
      </c>
      <c r="B747" t="s">
        <v>736</v>
      </c>
      <c r="C747">
        <f>YEAR(IPL_Matches_2008_2020___New[[#This Row],[Date ]])</f>
        <v>2020</v>
      </c>
      <c r="D747" s="1">
        <v>44138</v>
      </c>
      <c r="E747" t="s">
        <v>370</v>
      </c>
      <c r="F747" t="s">
        <v>463</v>
      </c>
      <c r="G747" t="s">
        <v>50</v>
      </c>
      <c r="H747" t="s">
        <v>406</v>
      </c>
      <c r="I747" t="s">
        <v>406</v>
      </c>
      <c r="J747" t="s">
        <v>23</v>
      </c>
      <c r="K747" t="s">
        <v>406</v>
      </c>
      <c r="L747" t="s">
        <v>43</v>
      </c>
      <c r="M747">
        <v>10</v>
      </c>
      <c r="N747" t="s">
        <v>25</v>
      </c>
      <c r="O747" t="s">
        <v>796</v>
      </c>
      <c r="P747" t="s">
        <v>387</v>
      </c>
      <c r="Q747" t="s">
        <v>460</v>
      </c>
      <c r="R747">
        <v>2020</v>
      </c>
      <c r="S747" t="s">
        <v>803</v>
      </c>
      <c r="T747">
        <f>IF(IPL_Matches_2008_2020___New[[#This Row],[Toss Winner]]=IPL_Matches_2008_2020___New[[#This Row],[Winner]],1,0)</f>
        <v>1</v>
      </c>
      <c r="U747" t="s">
        <v>801</v>
      </c>
    </row>
    <row r="748" spans="1:21" x14ac:dyDescent="0.3">
      <c r="A748" t="s">
        <v>1548</v>
      </c>
      <c r="B748" t="s">
        <v>736</v>
      </c>
      <c r="C748">
        <f>YEAR(IPL_Matches_2008_2020___New[[#This Row],[Date ]])</f>
        <v>2020</v>
      </c>
      <c r="D748" s="1">
        <v>44096</v>
      </c>
      <c r="E748" t="s">
        <v>436</v>
      </c>
      <c r="F748" t="s">
        <v>463</v>
      </c>
      <c r="G748" t="s">
        <v>42</v>
      </c>
      <c r="H748" t="s">
        <v>34</v>
      </c>
      <c r="I748" t="s">
        <v>34</v>
      </c>
      <c r="J748" t="s">
        <v>23</v>
      </c>
      <c r="K748" t="s">
        <v>42</v>
      </c>
      <c r="L748" t="s">
        <v>24</v>
      </c>
      <c r="M748">
        <v>16</v>
      </c>
      <c r="N748" t="s">
        <v>25</v>
      </c>
      <c r="O748" t="s">
        <v>796</v>
      </c>
      <c r="P748" t="s">
        <v>387</v>
      </c>
      <c r="Q748" t="s">
        <v>354</v>
      </c>
      <c r="R748">
        <v>2020</v>
      </c>
      <c r="S748" t="s">
        <v>797</v>
      </c>
      <c r="T748">
        <f>IF(IPL_Matches_2008_2020___New[[#This Row],[Toss Winner]]=IPL_Matches_2008_2020___New[[#This Row],[Winner]],1,0)</f>
        <v>0</v>
      </c>
      <c r="U748" t="s">
        <v>798</v>
      </c>
    </row>
    <row r="749" spans="1:21" x14ac:dyDescent="0.3">
      <c r="A749" t="s">
        <v>1549</v>
      </c>
      <c r="B749" t="s">
        <v>457</v>
      </c>
      <c r="C749">
        <f>YEAR(IPL_Matches_2008_2020___New[[#This Row],[Date ]])</f>
        <v>2020</v>
      </c>
      <c r="D749" s="1">
        <v>44128</v>
      </c>
      <c r="E749" t="s">
        <v>739</v>
      </c>
      <c r="F749" t="s">
        <v>459</v>
      </c>
      <c r="G749" t="s">
        <v>22</v>
      </c>
      <c r="H749" t="s">
        <v>692</v>
      </c>
      <c r="I749" t="s">
        <v>692</v>
      </c>
      <c r="J749" t="s">
        <v>23</v>
      </c>
      <c r="K749" t="s">
        <v>22</v>
      </c>
      <c r="L749" t="s">
        <v>24</v>
      </c>
      <c r="M749">
        <v>59</v>
      </c>
      <c r="N749" t="s">
        <v>25</v>
      </c>
      <c r="O749" t="s">
        <v>796</v>
      </c>
      <c r="P749" t="s">
        <v>506</v>
      </c>
      <c r="Q749" t="s">
        <v>487</v>
      </c>
      <c r="R749">
        <v>2020</v>
      </c>
      <c r="S749" t="s">
        <v>797</v>
      </c>
      <c r="T749">
        <f>IF(IPL_Matches_2008_2020___New[[#This Row],[Toss Winner]]=IPL_Matches_2008_2020___New[[#This Row],[Winner]],1,0)</f>
        <v>0</v>
      </c>
      <c r="U749" t="s">
        <v>798</v>
      </c>
    </row>
    <row r="750" spans="1:21" x14ac:dyDescent="0.3">
      <c r="A750" t="s">
        <v>1550</v>
      </c>
      <c r="B750" t="s">
        <v>733</v>
      </c>
      <c r="C750">
        <f>YEAR(IPL_Matches_2008_2020___New[[#This Row],[Date ]])</f>
        <v>2020</v>
      </c>
      <c r="D750" s="1">
        <v>44128</v>
      </c>
      <c r="E750" t="s">
        <v>740</v>
      </c>
      <c r="F750" t="s">
        <v>467</v>
      </c>
      <c r="G750" t="s">
        <v>800</v>
      </c>
      <c r="H750" t="s">
        <v>406</v>
      </c>
      <c r="I750" t="s">
        <v>406</v>
      </c>
      <c r="J750" t="s">
        <v>23</v>
      </c>
      <c r="K750" t="s">
        <v>800</v>
      </c>
      <c r="L750" t="s">
        <v>24</v>
      </c>
      <c r="M750">
        <v>12</v>
      </c>
      <c r="N750" t="s">
        <v>25</v>
      </c>
      <c r="O750" t="s">
        <v>796</v>
      </c>
      <c r="P750" t="s">
        <v>576</v>
      </c>
      <c r="Q750" t="s">
        <v>286</v>
      </c>
      <c r="R750">
        <v>2020</v>
      </c>
      <c r="S750" t="s">
        <v>797</v>
      </c>
      <c r="T750">
        <f>IF(IPL_Matches_2008_2020___New[[#This Row],[Toss Winner]]=IPL_Matches_2008_2020___New[[#This Row],[Winner]],1,0)</f>
        <v>0</v>
      </c>
      <c r="U750" t="s">
        <v>798</v>
      </c>
    </row>
    <row r="751" spans="1:21" x14ac:dyDescent="0.3">
      <c r="A751" t="s">
        <v>1551</v>
      </c>
      <c r="B751" t="s">
        <v>457</v>
      </c>
      <c r="C751">
        <f>YEAR(IPL_Matches_2008_2020___New[[#This Row],[Date ]])</f>
        <v>2020</v>
      </c>
      <c r="D751" s="1">
        <v>44132</v>
      </c>
      <c r="E751" t="s">
        <v>572</v>
      </c>
      <c r="F751" t="s">
        <v>459</v>
      </c>
      <c r="G751" t="s">
        <v>21</v>
      </c>
      <c r="H751" t="s">
        <v>50</v>
      </c>
      <c r="I751" t="s">
        <v>50</v>
      </c>
      <c r="J751" t="s">
        <v>23</v>
      </c>
      <c r="K751" t="s">
        <v>50</v>
      </c>
      <c r="L751" t="s">
        <v>43</v>
      </c>
      <c r="M751">
        <v>5</v>
      </c>
      <c r="N751" t="s">
        <v>25</v>
      </c>
      <c r="O751" t="s">
        <v>796</v>
      </c>
      <c r="P751" t="s">
        <v>707</v>
      </c>
      <c r="Q751" t="s">
        <v>506</v>
      </c>
      <c r="R751">
        <v>2020</v>
      </c>
      <c r="S751" t="s">
        <v>803</v>
      </c>
      <c r="T751">
        <f>IF(IPL_Matches_2008_2020___New[[#This Row],[Toss Winner]]=IPL_Matches_2008_2020___New[[#This Row],[Winner]],1,0)</f>
        <v>1</v>
      </c>
      <c r="U751" t="s">
        <v>801</v>
      </c>
    </row>
    <row r="752" spans="1:21" x14ac:dyDescent="0.3">
      <c r="A752" t="s">
        <v>1552</v>
      </c>
      <c r="B752" t="s">
        <v>736</v>
      </c>
      <c r="C752">
        <f>YEAR(IPL_Matches_2008_2020___New[[#This Row],[Date ]])</f>
        <v>2020</v>
      </c>
      <c r="D752" s="1">
        <v>44113</v>
      </c>
      <c r="E752" t="s">
        <v>268</v>
      </c>
      <c r="F752" t="s">
        <v>463</v>
      </c>
      <c r="G752" t="s">
        <v>692</v>
      </c>
      <c r="H752" t="s">
        <v>42</v>
      </c>
      <c r="I752" t="s">
        <v>42</v>
      </c>
      <c r="J752" t="s">
        <v>23</v>
      </c>
      <c r="K752" t="s">
        <v>692</v>
      </c>
      <c r="L752" t="s">
        <v>24</v>
      </c>
      <c r="M752">
        <v>46</v>
      </c>
      <c r="N752" t="s">
        <v>25</v>
      </c>
      <c r="O752" t="s">
        <v>796</v>
      </c>
      <c r="P752" t="s">
        <v>583</v>
      </c>
      <c r="Q752" t="s">
        <v>387</v>
      </c>
      <c r="R752">
        <v>2020</v>
      </c>
      <c r="S752" t="s">
        <v>797</v>
      </c>
      <c r="T752">
        <f>IF(IPL_Matches_2008_2020___New[[#This Row],[Toss Winner]]=IPL_Matches_2008_2020___New[[#This Row],[Winner]],1,0)</f>
        <v>0</v>
      </c>
      <c r="U752" t="s">
        <v>798</v>
      </c>
    </row>
    <row r="753" spans="1:21" x14ac:dyDescent="0.3">
      <c r="A753" t="s">
        <v>1553</v>
      </c>
      <c r="B753" t="s">
        <v>457</v>
      </c>
      <c r="C753">
        <f>YEAR(IPL_Matches_2008_2020___New[[#This Row],[Date ]])</f>
        <v>2020</v>
      </c>
      <c r="D753" s="1">
        <v>44111</v>
      </c>
      <c r="E753" t="s">
        <v>637</v>
      </c>
      <c r="F753" t="s">
        <v>459</v>
      </c>
      <c r="G753" t="s">
        <v>22</v>
      </c>
      <c r="H753" t="s">
        <v>34</v>
      </c>
      <c r="I753" t="s">
        <v>22</v>
      </c>
      <c r="J753" t="s">
        <v>35</v>
      </c>
      <c r="K753" t="s">
        <v>22</v>
      </c>
      <c r="L753" t="s">
        <v>24</v>
      </c>
      <c r="M753">
        <v>10</v>
      </c>
      <c r="N753" t="s">
        <v>25</v>
      </c>
      <c r="O753" t="s">
        <v>796</v>
      </c>
      <c r="P753" t="s">
        <v>583</v>
      </c>
      <c r="Q753" t="s">
        <v>460</v>
      </c>
      <c r="R753">
        <v>2020</v>
      </c>
      <c r="S753" t="s">
        <v>797</v>
      </c>
      <c r="T753">
        <f>IF(IPL_Matches_2008_2020___New[[#This Row],[Toss Winner]]=IPL_Matches_2008_2020___New[[#This Row],[Winner]],1,0)</f>
        <v>1</v>
      </c>
      <c r="U753" t="s">
        <v>801</v>
      </c>
    </row>
    <row r="754" spans="1:21" x14ac:dyDescent="0.3">
      <c r="A754" t="s">
        <v>1554</v>
      </c>
      <c r="B754" t="s">
        <v>736</v>
      </c>
      <c r="C754">
        <f>YEAR(IPL_Matches_2008_2020___New[[#This Row],[Date ]])</f>
        <v>2020</v>
      </c>
      <c r="D754" s="1">
        <v>44135</v>
      </c>
      <c r="E754" t="s">
        <v>478</v>
      </c>
      <c r="F754" t="s">
        <v>463</v>
      </c>
      <c r="G754" t="s">
        <v>21</v>
      </c>
      <c r="H754" t="s">
        <v>406</v>
      </c>
      <c r="I754" t="s">
        <v>406</v>
      </c>
      <c r="J754" t="s">
        <v>23</v>
      </c>
      <c r="K754" t="s">
        <v>406</v>
      </c>
      <c r="L754" t="s">
        <v>43</v>
      </c>
      <c r="M754">
        <v>5</v>
      </c>
      <c r="N754" t="s">
        <v>25</v>
      </c>
      <c r="O754" t="s">
        <v>796</v>
      </c>
      <c r="P754" t="s">
        <v>583</v>
      </c>
      <c r="Q754" t="s">
        <v>509</v>
      </c>
      <c r="R754">
        <v>2020</v>
      </c>
      <c r="S754" t="s">
        <v>803</v>
      </c>
      <c r="T754">
        <f>IF(IPL_Matches_2008_2020___New[[#This Row],[Toss Winner]]=IPL_Matches_2008_2020___New[[#This Row],[Winner]],1,0)</f>
        <v>1</v>
      </c>
      <c r="U754" t="s">
        <v>801</v>
      </c>
    </row>
    <row r="755" spans="1:21" x14ac:dyDescent="0.3">
      <c r="A755" t="s">
        <v>1555</v>
      </c>
      <c r="B755" t="s">
        <v>457</v>
      </c>
      <c r="C755">
        <f>YEAR(IPL_Matches_2008_2020___New[[#This Row],[Date ]])</f>
        <v>2020</v>
      </c>
      <c r="D755" s="1">
        <v>44105</v>
      </c>
      <c r="E755" t="s">
        <v>267</v>
      </c>
      <c r="F755" t="s">
        <v>459</v>
      </c>
      <c r="G755" t="s">
        <v>50</v>
      </c>
      <c r="H755" t="s">
        <v>800</v>
      </c>
      <c r="I755" t="s">
        <v>800</v>
      </c>
      <c r="J755" t="s">
        <v>23</v>
      </c>
      <c r="K755" t="s">
        <v>50</v>
      </c>
      <c r="L755" t="s">
        <v>24</v>
      </c>
      <c r="M755">
        <v>48</v>
      </c>
      <c r="N755" t="s">
        <v>25</v>
      </c>
      <c r="O755" t="s">
        <v>796</v>
      </c>
      <c r="P755" t="s">
        <v>552</v>
      </c>
      <c r="Q755" t="s">
        <v>183</v>
      </c>
      <c r="R755">
        <v>2020</v>
      </c>
      <c r="S755" t="s">
        <v>797</v>
      </c>
      <c r="T755">
        <f>IF(IPL_Matches_2008_2020___New[[#This Row],[Toss Winner]]=IPL_Matches_2008_2020___New[[#This Row],[Winner]],1,0)</f>
        <v>0</v>
      </c>
      <c r="U755" t="s">
        <v>798</v>
      </c>
    </row>
    <row r="756" spans="1:21" x14ac:dyDescent="0.3">
      <c r="A756" t="s">
        <v>1556</v>
      </c>
      <c r="B756" t="s">
        <v>733</v>
      </c>
      <c r="C756">
        <f>YEAR(IPL_Matches_2008_2020___New[[#This Row],[Date ]])</f>
        <v>2020</v>
      </c>
      <c r="D756" s="1">
        <v>44104</v>
      </c>
      <c r="E756" t="s">
        <v>744</v>
      </c>
      <c r="F756" t="s">
        <v>467</v>
      </c>
      <c r="G756" t="s">
        <v>22</v>
      </c>
      <c r="H756" t="s">
        <v>42</v>
      </c>
      <c r="I756" t="s">
        <v>42</v>
      </c>
      <c r="J756" t="s">
        <v>23</v>
      </c>
      <c r="K756" t="s">
        <v>22</v>
      </c>
      <c r="L756" t="s">
        <v>24</v>
      </c>
      <c r="M756">
        <v>37</v>
      </c>
      <c r="N756" t="s">
        <v>25</v>
      </c>
      <c r="O756" t="s">
        <v>796</v>
      </c>
      <c r="P756" t="s">
        <v>583</v>
      </c>
      <c r="Q756" t="s">
        <v>387</v>
      </c>
      <c r="R756">
        <v>2020</v>
      </c>
      <c r="S756" t="s">
        <v>797</v>
      </c>
      <c r="T756">
        <f>IF(IPL_Matches_2008_2020___New[[#This Row],[Toss Winner]]=IPL_Matches_2008_2020___New[[#This Row],[Winner]],1,0)</f>
        <v>0</v>
      </c>
      <c r="U756" t="s">
        <v>798</v>
      </c>
    </row>
    <row r="757" spans="1:21" x14ac:dyDescent="0.3">
      <c r="A757" t="s">
        <v>1557</v>
      </c>
      <c r="B757" t="s">
        <v>457</v>
      </c>
      <c r="C757">
        <f>YEAR(IPL_Matches_2008_2020___New[[#This Row],[Date ]])</f>
        <v>2020</v>
      </c>
      <c r="D757" s="1">
        <v>44137</v>
      </c>
      <c r="E757" t="s">
        <v>745</v>
      </c>
      <c r="F757" t="s">
        <v>459</v>
      </c>
      <c r="G757" t="s">
        <v>21</v>
      </c>
      <c r="H757" t="s">
        <v>692</v>
      </c>
      <c r="I757" t="s">
        <v>692</v>
      </c>
      <c r="J757" t="s">
        <v>23</v>
      </c>
      <c r="K757" t="s">
        <v>692</v>
      </c>
      <c r="L757" t="s">
        <v>43</v>
      </c>
      <c r="M757">
        <v>6</v>
      </c>
      <c r="N757" t="s">
        <v>25</v>
      </c>
      <c r="O757" t="s">
        <v>796</v>
      </c>
      <c r="P757" t="s">
        <v>506</v>
      </c>
      <c r="Q757" t="s">
        <v>183</v>
      </c>
      <c r="R757">
        <v>2020</v>
      </c>
      <c r="S757" t="s">
        <v>803</v>
      </c>
      <c r="T757">
        <f>IF(IPL_Matches_2008_2020___New[[#This Row],[Toss Winner]]=IPL_Matches_2008_2020___New[[#This Row],[Winner]],1,0)</f>
        <v>1</v>
      </c>
      <c r="U757" t="s">
        <v>801</v>
      </c>
    </row>
    <row r="758" spans="1:21" x14ac:dyDescent="0.3">
      <c r="A758" t="s">
        <v>1558</v>
      </c>
      <c r="B758" t="s">
        <v>457</v>
      </c>
      <c r="C758">
        <f>YEAR(IPL_Matches_2008_2020___New[[#This Row],[Date ]])</f>
        <v>2020</v>
      </c>
      <c r="D758" s="1">
        <v>44136</v>
      </c>
      <c r="E758" t="s">
        <v>746</v>
      </c>
      <c r="F758" t="s">
        <v>459</v>
      </c>
      <c r="G758" t="s">
        <v>800</v>
      </c>
      <c r="H758" t="s">
        <v>34</v>
      </c>
      <c r="I758" t="s">
        <v>34</v>
      </c>
      <c r="J758" t="s">
        <v>23</v>
      </c>
      <c r="K758" t="s">
        <v>34</v>
      </c>
      <c r="L758" t="s">
        <v>43</v>
      </c>
      <c r="M758">
        <v>9</v>
      </c>
      <c r="N758" t="s">
        <v>25</v>
      </c>
      <c r="O758" t="s">
        <v>796</v>
      </c>
      <c r="P758" t="s">
        <v>487</v>
      </c>
      <c r="Q758" t="s">
        <v>552</v>
      </c>
      <c r="R758">
        <v>2020</v>
      </c>
      <c r="S758" t="s">
        <v>803</v>
      </c>
      <c r="T758">
        <f>IF(IPL_Matches_2008_2020___New[[#This Row],[Toss Winner]]=IPL_Matches_2008_2020___New[[#This Row],[Winner]],1,0)</f>
        <v>1</v>
      </c>
      <c r="U758" t="s">
        <v>801</v>
      </c>
    </row>
    <row r="759" spans="1:21" x14ac:dyDescent="0.3">
      <c r="A759" t="s">
        <v>1559</v>
      </c>
      <c r="B759" t="s">
        <v>733</v>
      </c>
      <c r="C759">
        <f>YEAR(IPL_Matches_2008_2020___New[[#This Row],[Date ]])</f>
        <v>2020</v>
      </c>
      <c r="D759" s="1">
        <v>44115</v>
      </c>
      <c r="E759" t="s">
        <v>747</v>
      </c>
      <c r="F759" t="s">
        <v>467</v>
      </c>
      <c r="G759" t="s">
        <v>406</v>
      </c>
      <c r="H759" t="s">
        <v>42</v>
      </c>
      <c r="I759" t="s">
        <v>406</v>
      </c>
      <c r="J759" t="s">
        <v>35</v>
      </c>
      <c r="K759" t="s">
        <v>42</v>
      </c>
      <c r="L759" t="s">
        <v>43</v>
      </c>
      <c r="M759">
        <v>5</v>
      </c>
      <c r="N759" t="s">
        <v>25</v>
      </c>
      <c r="O759" t="s">
        <v>796</v>
      </c>
      <c r="P759" t="s">
        <v>617</v>
      </c>
      <c r="Q759" t="s">
        <v>286</v>
      </c>
      <c r="R759">
        <v>2020</v>
      </c>
      <c r="S759" t="s">
        <v>803</v>
      </c>
      <c r="T759">
        <f>IF(IPL_Matches_2008_2020___New[[#This Row],[Toss Winner]]=IPL_Matches_2008_2020___New[[#This Row],[Winner]],1,0)</f>
        <v>0</v>
      </c>
      <c r="U759" t="s">
        <v>798</v>
      </c>
    </row>
    <row r="760" spans="1:21" x14ac:dyDescent="0.3">
      <c r="A760" t="s">
        <v>1560</v>
      </c>
      <c r="B760" t="s">
        <v>457</v>
      </c>
      <c r="C760">
        <f>YEAR(IPL_Matches_2008_2020___New[[#This Row],[Date ]])</f>
        <v>2020</v>
      </c>
      <c r="D760" s="1">
        <v>44097</v>
      </c>
      <c r="E760" t="s">
        <v>190</v>
      </c>
      <c r="F760" t="s">
        <v>459</v>
      </c>
      <c r="G760" t="s">
        <v>50</v>
      </c>
      <c r="H760" t="s">
        <v>22</v>
      </c>
      <c r="I760" t="s">
        <v>22</v>
      </c>
      <c r="J760" t="s">
        <v>23</v>
      </c>
      <c r="K760" t="s">
        <v>50</v>
      </c>
      <c r="L760" t="s">
        <v>24</v>
      </c>
      <c r="M760">
        <v>49</v>
      </c>
      <c r="N760" t="s">
        <v>25</v>
      </c>
      <c r="O760" t="s">
        <v>796</v>
      </c>
      <c r="P760" t="s">
        <v>506</v>
      </c>
      <c r="Q760" t="s">
        <v>183</v>
      </c>
      <c r="R760">
        <v>2020</v>
      </c>
      <c r="S760" t="s">
        <v>797</v>
      </c>
      <c r="T760">
        <f>IF(IPL_Matches_2008_2020___New[[#This Row],[Toss Winner]]=IPL_Matches_2008_2020___New[[#This Row],[Winner]],1,0)</f>
        <v>0</v>
      </c>
      <c r="U760" t="s">
        <v>798</v>
      </c>
    </row>
    <row r="761" spans="1:21" x14ac:dyDescent="0.3">
      <c r="A761" t="s">
        <v>1561</v>
      </c>
      <c r="B761" t="s">
        <v>736</v>
      </c>
      <c r="C761">
        <f>YEAR(IPL_Matches_2008_2020___New[[#This Row],[Date ]])</f>
        <v>2020</v>
      </c>
      <c r="D761" s="1">
        <v>44121</v>
      </c>
      <c r="E761" t="s">
        <v>339</v>
      </c>
      <c r="F761" t="s">
        <v>463</v>
      </c>
      <c r="G761" t="s">
        <v>34</v>
      </c>
      <c r="H761" t="s">
        <v>692</v>
      </c>
      <c r="I761" t="s">
        <v>34</v>
      </c>
      <c r="J761" t="s">
        <v>35</v>
      </c>
      <c r="K761" t="s">
        <v>692</v>
      </c>
      <c r="L761" t="s">
        <v>43</v>
      </c>
      <c r="M761">
        <v>5</v>
      </c>
      <c r="N761" t="s">
        <v>25</v>
      </c>
      <c r="O761" t="s">
        <v>796</v>
      </c>
      <c r="P761" t="s">
        <v>583</v>
      </c>
      <c r="Q761" t="s">
        <v>460</v>
      </c>
      <c r="R761">
        <v>2020</v>
      </c>
      <c r="S761" t="s">
        <v>803</v>
      </c>
      <c r="T761">
        <f>IF(IPL_Matches_2008_2020___New[[#This Row],[Toss Winner]]=IPL_Matches_2008_2020___New[[#This Row],[Winner]],1,0)</f>
        <v>0</v>
      </c>
      <c r="U761" t="s">
        <v>798</v>
      </c>
    </row>
    <row r="762" spans="1:21" x14ac:dyDescent="0.3">
      <c r="A762" t="s">
        <v>1562</v>
      </c>
      <c r="B762" t="s">
        <v>733</v>
      </c>
      <c r="C762">
        <f>YEAR(IPL_Matches_2008_2020___New[[#This Row],[Date ]])</f>
        <v>2020</v>
      </c>
      <c r="D762" s="1">
        <v>44098</v>
      </c>
      <c r="E762" t="s">
        <v>648</v>
      </c>
      <c r="F762" t="s">
        <v>467</v>
      </c>
      <c r="G762" t="s">
        <v>800</v>
      </c>
      <c r="H762" t="s">
        <v>21</v>
      </c>
      <c r="I762" t="s">
        <v>21</v>
      </c>
      <c r="J762" t="s">
        <v>23</v>
      </c>
      <c r="K762" t="s">
        <v>800</v>
      </c>
      <c r="L762" t="s">
        <v>24</v>
      </c>
      <c r="M762">
        <v>97</v>
      </c>
      <c r="N762" t="s">
        <v>25</v>
      </c>
      <c r="O762" t="s">
        <v>796</v>
      </c>
      <c r="P762" t="s">
        <v>349</v>
      </c>
      <c r="Q762" t="s">
        <v>286</v>
      </c>
      <c r="R762">
        <v>2020</v>
      </c>
      <c r="S762" t="s">
        <v>797</v>
      </c>
      <c r="T762">
        <f>IF(IPL_Matches_2008_2020___New[[#This Row],[Toss Winner]]=IPL_Matches_2008_2020___New[[#This Row],[Winner]],1,0)</f>
        <v>0</v>
      </c>
      <c r="U762" t="s">
        <v>798</v>
      </c>
    </row>
    <row r="763" spans="1:21" x14ac:dyDescent="0.3">
      <c r="A763" t="s">
        <v>1563</v>
      </c>
      <c r="B763" t="s">
        <v>457</v>
      </c>
      <c r="C763">
        <f>YEAR(IPL_Matches_2008_2020___New[[#This Row],[Date ]])</f>
        <v>2020</v>
      </c>
      <c r="D763" s="1">
        <v>44110</v>
      </c>
      <c r="E763" t="s">
        <v>572</v>
      </c>
      <c r="F763" t="s">
        <v>459</v>
      </c>
      <c r="G763" t="s">
        <v>50</v>
      </c>
      <c r="H763" t="s">
        <v>42</v>
      </c>
      <c r="I763" t="s">
        <v>50</v>
      </c>
      <c r="J763" t="s">
        <v>35</v>
      </c>
      <c r="K763" t="s">
        <v>50</v>
      </c>
      <c r="L763" t="s">
        <v>24</v>
      </c>
      <c r="M763">
        <v>57</v>
      </c>
      <c r="N763" t="s">
        <v>25</v>
      </c>
      <c r="O763" t="s">
        <v>796</v>
      </c>
      <c r="P763" t="s">
        <v>552</v>
      </c>
      <c r="Q763" t="s">
        <v>183</v>
      </c>
      <c r="R763">
        <v>2020</v>
      </c>
      <c r="S763" t="s">
        <v>797</v>
      </c>
      <c r="T763">
        <f>IF(IPL_Matches_2008_2020___New[[#This Row],[Toss Winner]]=IPL_Matches_2008_2020___New[[#This Row],[Winner]],1,0)</f>
        <v>1</v>
      </c>
      <c r="U763" t="s">
        <v>801</v>
      </c>
    </row>
    <row r="764" spans="1:21" x14ac:dyDescent="0.3">
      <c r="A764" t="s">
        <v>1564</v>
      </c>
      <c r="B764" t="s">
        <v>733</v>
      </c>
      <c r="C764">
        <f>YEAR(IPL_Matches_2008_2020___New[[#This Row],[Date ]])</f>
        <v>2020</v>
      </c>
      <c r="D764" s="1">
        <v>44108</v>
      </c>
      <c r="E764" t="s">
        <v>61</v>
      </c>
      <c r="F764" t="s">
        <v>467</v>
      </c>
      <c r="G764" t="s">
        <v>800</v>
      </c>
      <c r="H764" t="s">
        <v>34</v>
      </c>
      <c r="I764" t="s">
        <v>800</v>
      </c>
      <c r="J764" t="s">
        <v>35</v>
      </c>
      <c r="K764" t="s">
        <v>34</v>
      </c>
      <c r="L764" t="s">
        <v>43</v>
      </c>
      <c r="M764">
        <v>10</v>
      </c>
      <c r="N764" t="s">
        <v>25</v>
      </c>
      <c r="O764" t="s">
        <v>796</v>
      </c>
      <c r="P764" t="s">
        <v>576</v>
      </c>
      <c r="Q764" t="s">
        <v>554</v>
      </c>
      <c r="R764">
        <v>2020</v>
      </c>
      <c r="S764" t="s">
        <v>803</v>
      </c>
      <c r="T764">
        <f>IF(IPL_Matches_2008_2020___New[[#This Row],[Toss Winner]]=IPL_Matches_2008_2020___New[[#This Row],[Winner]],1,0)</f>
        <v>0</v>
      </c>
      <c r="U764" t="s">
        <v>798</v>
      </c>
    </row>
    <row r="765" spans="1:21" x14ac:dyDescent="0.3">
      <c r="A765" t="s">
        <v>1565</v>
      </c>
      <c r="B765" t="s">
        <v>457</v>
      </c>
      <c r="C765">
        <f>YEAR(IPL_Matches_2008_2020___New[[#This Row],[Date ]])</f>
        <v>2020</v>
      </c>
      <c r="D765" s="1">
        <v>44107</v>
      </c>
      <c r="E765" t="s">
        <v>462</v>
      </c>
      <c r="F765" t="s">
        <v>459</v>
      </c>
      <c r="G765" t="s">
        <v>42</v>
      </c>
      <c r="H765" t="s">
        <v>21</v>
      </c>
      <c r="I765" t="s">
        <v>42</v>
      </c>
      <c r="J765" t="s">
        <v>35</v>
      </c>
      <c r="K765" t="s">
        <v>21</v>
      </c>
      <c r="L765" t="s">
        <v>43</v>
      </c>
      <c r="M765">
        <v>8</v>
      </c>
      <c r="N765" t="s">
        <v>25</v>
      </c>
      <c r="O765" t="s">
        <v>796</v>
      </c>
      <c r="P765" t="s">
        <v>506</v>
      </c>
      <c r="Q765" t="s">
        <v>183</v>
      </c>
      <c r="R765">
        <v>2020</v>
      </c>
      <c r="S765" t="s">
        <v>803</v>
      </c>
      <c r="T765">
        <f>IF(IPL_Matches_2008_2020___New[[#This Row],[Toss Winner]]=IPL_Matches_2008_2020___New[[#This Row],[Winner]],1,0)</f>
        <v>0</v>
      </c>
      <c r="U765" t="s">
        <v>798</v>
      </c>
    </row>
    <row r="766" spans="1:21" x14ac:dyDescent="0.3">
      <c r="A766" t="s">
        <v>1566</v>
      </c>
      <c r="B766" t="s">
        <v>736</v>
      </c>
      <c r="C766">
        <f>YEAR(IPL_Matches_2008_2020___New[[#This Row],[Date ]])</f>
        <v>2020</v>
      </c>
      <c r="D766" s="1">
        <v>44107</v>
      </c>
      <c r="E766" t="s">
        <v>524</v>
      </c>
      <c r="F766" t="s">
        <v>463</v>
      </c>
      <c r="G766" t="s">
        <v>692</v>
      </c>
      <c r="H766" t="s">
        <v>22</v>
      </c>
      <c r="I766" t="s">
        <v>22</v>
      </c>
      <c r="J766" t="s">
        <v>23</v>
      </c>
      <c r="K766" t="s">
        <v>692</v>
      </c>
      <c r="L766" t="s">
        <v>24</v>
      </c>
      <c r="M766">
        <v>18</v>
      </c>
      <c r="N766" t="s">
        <v>25</v>
      </c>
      <c r="O766" t="s">
        <v>796</v>
      </c>
      <c r="P766" t="s">
        <v>354</v>
      </c>
      <c r="Q766" t="s">
        <v>460</v>
      </c>
      <c r="R766">
        <v>2020</v>
      </c>
      <c r="S766" t="s">
        <v>797</v>
      </c>
      <c r="T766">
        <f>IF(IPL_Matches_2008_2020___New[[#This Row],[Toss Winner]]=IPL_Matches_2008_2020___New[[#This Row],[Winner]],1,0)</f>
        <v>0</v>
      </c>
      <c r="U766" t="s">
        <v>798</v>
      </c>
    </row>
    <row r="767" spans="1:21" x14ac:dyDescent="0.3">
      <c r="A767" t="s">
        <v>1567</v>
      </c>
      <c r="B767" t="s">
        <v>733</v>
      </c>
      <c r="C767">
        <f>YEAR(IPL_Matches_2008_2020___New[[#This Row],[Date ]])</f>
        <v>2020</v>
      </c>
      <c r="D767" s="1">
        <v>44106</v>
      </c>
      <c r="E767" t="s">
        <v>752</v>
      </c>
      <c r="F767" t="s">
        <v>467</v>
      </c>
      <c r="G767" t="s">
        <v>406</v>
      </c>
      <c r="H767" t="s">
        <v>34</v>
      </c>
      <c r="I767" t="s">
        <v>406</v>
      </c>
      <c r="J767" t="s">
        <v>35</v>
      </c>
      <c r="K767" t="s">
        <v>406</v>
      </c>
      <c r="L767" t="s">
        <v>24</v>
      </c>
      <c r="M767">
        <v>7</v>
      </c>
      <c r="N767" t="s">
        <v>25</v>
      </c>
      <c r="O767" t="s">
        <v>796</v>
      </c>
      <c r="P767" t="s">
        <v>349</v>
      </c>
      <c r="Q767" t="s">
        <v>286</v>
      </c>
      <c r="R767">
        <v>2020</v>
      </c>
      <c r="S767" t="s">
        <v>797</v>
      </c>
      <c r="T767">
        <f>IF(IPL_Matches_2008_2020___New[[#This Row],[Toss Winner]]=IPL_Matches_2008_2020___New[[#This Row],[Winner]],1,0)</f>
        <v>1</v>
      </c>
      <c r="U767" t="s">
        <v>801</v>
      </c>
    </row>
    <row r="768" spans="1:21" x14ac:dyDescent="0.3">
      <c r="A768" t="s">
        <v>1568</v>
      </c>
      <c r="B768" t="s">
        <v>733</v>
      </c>
      <c r="C768">
        <f>YEAR(IPL_Matches_2008_2020___New[[#This Row],[Date ]])</f>
        <v>2020</v>
      </c>
      <c r="D768" s="1">
        <v>44126</v>
      </c>
      <c r="E768" t="s">
        <v>214</v>
      </c>
      <c r="F768" t="s">
        <v>467</v>
      </c>
      <c r="G768" t="s">
        <v>42</v>
      </c>
      <c r="H768" t="s">
        <v>406</v>
      </c>
      <c r="I768" t="s">
        <v>406</v>
      </c>
      <c r="J768" t="s">
        <v>23</v>
      </c>
      <c r="K768" t="s">
        <v>406</v>
      </c>
      <c r="L768" t="s">
        <v>43</v>
      </c>
      <c r="M768">
        <v>8</v>
      </c>
      <c r="N768" t="s">
        <v>25</v>
      </c>
      <c r="O768" t="s">
        <v>796</v>
      </c>
      <c r="P768" t="s">
        <v>554</v>
      </c>
      <c r="Q768" t="s">
        <v>286</v>
      </c>
      <c r="R768">
        <v>2020</v>
      </c>
      <c r="S768" t="s">
        <v>803</v>
      </c>
      <c r="T768">
        <f>IF(IPL_Matches_2008_2020___New[[#This Row],[Toss Winner]]=IPL_Matches_2008_2020___New[[#This Row],[Winner]],1,0)</f>
        <v>1</v>
      </c>
      <c r="U768" t="s">
        <v>801</v>
      </c>
    </row>
    <row r="769" spans="1:21" x14ac:dyDescent="0.3">
      <c r="A769" t="s">
        <v>1569</v>
      </c>
      <c r="B769" t="s">
        <v>733</v>
      </c>
      <c r="C769">
        <f>YEAR(IPL_Matches_2008_2020___New[[#This Row],[Date ]])</f>
        <v>2020</v>
      </c>
      <c r="D769" s="1">
        <v>44109</v>
      </c>
      <c r="E769" t="s">
        <v>493</v>
      </c>
      <c r="F769" t="s">
        <v>467</v>
      </c>
      <c r="G769" t="s">
        <v>692</v>
      </c>
      <c r="H769" t="s">
        <v>21</v>
      </c>
      <c r="I769" t="s">
        <v>21</v>
      </c>
      <c r="J769" t="s">
        <v>23</v>
      </c>
      <c r="K769" t="s">
        <v>692</v>
      </c>
      <c r="L769" t="s">
        <v>24</v>
      </c>
      <c r="M769">
        <v>59</v>
      </c>
      <c r="N769" t="s">
        <v>25</v>
      </c>
      <c r="O769" t="s">
        <v>796</v>
      </c>
      <c r="P769" t="s">
        <v>554</v>
      </c>
      <c r="Q769" t="s">
        <v>617</v>
      </c>
      <c r="R769">
        <v>2020</v>
      </c>
      <c r="S769" t="s">
        <v>797</v>
      </c>
      <c r="T769">
        <f>IF(IPL_Matches_2008_2020___New[[#This Row],[Toss Winner]]=IPL_Matches_2008_2020___New[[#This Row],[Winner]],1,0)</f>
        <v>0</v>
      </c>
      <c r="U769" t="s">
        <v>798</v>
      </c>
    </row>
    <row r="770" spans="1:21" x14ac:dyDescent="0.3">
      <c r="A770" t="s">
        <v>1570</v>
      </c>
      <c r="B770" t="s">
        <v>736</v>
      </c>
      <c r="C770">
        <f>YEAR(IPL_Matches_2008_2020___New[[#This Row],[Date ]])</f>
        <v>2020</v>
      </c>
      <c r="D770" s="1">
        <v>44130</v>
      </c>
      <c r="E770" t="s">
        <v>152</v>
      </c>
      <c r="F770" t="s">
        <v>463</v>
      </c>
      <c r="G770" t="s">
        <v>22</v>
      </c>
      <c r="H770" t="s">
        <v>800</v>
      </c>
      <c r="I770" t="s">
        <v>800</v>
      </c>
      <c r="J770" t="s">
        <v>23</v>
      </c>
      <c r="K770" t="s">
        <v>800</v>
      </c>
      <c r="L770" t="s">
        <v>43</v>
      </c>
      <c r="M770">
        <v>8</v>
      </c>
      <c r="N770" t="s">
        <v>25</v>
      </c>
      <c r="O770" t="s">
        <v>796</v>
      </c>
      <c r="P770" t="s">
        <v>583</v>
      </c>
      <c r="Q770" t="s">
        <v>460</v>
      </c>
      <c r="R770">
        <v>2020</v>
      </c>
      <c r="S770" t="s">
        <v>803</v>
      </c>
      <c r="T770">
        <f>IF(IPL_Matches_2008_2020___New[[#This Row],[Toss Winner]]=IPL_Matches_2008_2020___New[[#This Row],[Winner]],1,0)</f>
        <v>1</v>
      </c>
      <c r="U770" t="s">
        <v>801</v>
      </c>
    </row>
    <row r="771" spans="1:21" x14ac:dyDescent="0.3">
      <c r="A771" t="s">
        <v>1571</v>
      </c>
      <c r="B771" t="s">
        <v>736</v>
      </c>
      <c r="C771">
        <f>YEAR(IPL_Matches_2008_2020___New[[#This Row],[Date ]])</f>
        <v>2020</v>
      </c>
      <c r="D771" s="1">
        <v>44127</v>
      </c>
      <c r="E771" t="s">
        <v>531</v>
      </c>
      <c r="F771" t="s">
        <v>463</v>
      </c>
      <c r="G771" t="s">
        <v>34</v>
      </c>
      <c r="H771" t="s">
        <v>50</v>
      </c>
      <c r="I771" t="s">
        <v>50</v>
      </c>
      <c r="J771" t="s">
        <v>23</v>
      </c>
      <c r="K771" t="s">
        <v>50</v>
      </c>
      <c r="L771" t="s">
        <v>43</v>
      </c>
      <c r="M771">
        <v>10</v>
      </c>
      <c r="N771" t="s">
        <v>25</v>
      </c>
      <c r="O771" t="s">
        <v>796</v>
      </c>
      <c r="P771" t="s">
        <v>387</v>
      </c>
      <c r="Q771" t="s">
        <v>354</v>
      </c>
      <c r="R771">
        <v>2020</v>
      </c>
      <c r="S771" t="s">
        <v>803</v>
      </c>
      <c r="T771">
        <f>IF(IPL_Matches_2008_2020___New[[#This Row],[Toss Winner]]=IPL_Matches_2008_2020___New[[#This Row],[Winner]],1,0)</f>
        <v>1</v>
      </c>
      <c r="U771" t="s">
        <v>801</v>
      </c>
    </row>
    <row r="772" spans="1:21" x14ac:dyDescent="0.3">
      <c r="A772" t="s">
        <v>1572</v>
      </c>
      <c r="B772" t="s">
        <v>733</v>
      </c>
      <c r="C772">
        <f>YEAR(IPL_Matches_2008_2020___New[[#This Row],[Date ]])</f>
        <v>2020</v>
      </c>
      <c r="D772" s="1">
        <v>44121</v>
      </c>
      <c r="E772" t="s">
        <v>157</v>
      </c>
      <c r="F772" t="s">
        <v>467</v>
      </c>
      <c r="G772" t="s">
        <v>42</v>
      </c>
      <c r="H772" t="s">
        <v>21</v>
      </c>
      <c r="I772" t="s">
        <v>42</v>
      </c>
      <c r="J772" t="s">
        <v>35</v>
      </c>
      <c r="K772" t="s">
        <v>21</v>
      </c>
      <c r="L772" t="s">
        <v>43</v>
      </c>
      <c r="M772">
        <v>7</v>
      </c>
      <c r="N772" t="s">
        <v>25</v>
      </c>
      <c r="O772" t="s">
        <v>796</v>
      </c>
      <c r="P772" t="s">
        <v>349</v>
      </c>
      <c r="Q772" t="s">
        <v>554</v>
      </c>
      <c r="R772">
        <v>2020</v>
      </c>
      <c r="S772" t="s">
        <v>803</v>
      </c>
      <c r="T772">
        <f>IF(IPL_Matches_2008_2020___New[[#This Row],[Toss Winner]]=IPL_Matches_2008_2020___New[[#This Row],[Winner]],1,0)</f>
        <v>0</v>
      </c>
      <c r="U772" t="s">
        <v>798</v>
      </c>
    </row>
    <row r="773" spans="1:21" x14ac:dyDescent="0.3">
      <c r="A773" t="s">
        <v>1573</v>
      </c>
      <c r="B773" t="s">
        <v>457</v>
      </c>
      <c r="C773">
        <f>YEAR(IPL_Matches_2008_2020___New[[#This Row],[Date ]])</f>
        <v>2020</v>
      </c>
      <c r="D773" s="1">
        <v>44114</v>
      </c>
      <c r="E773" t="s">
        <v>127</v>
      </c>
      <c r="F773" t="s">
        <v>459</v>
      </c>
      <c r="G773" t="s">
        <v>22</v>
      </c>
      <c r="H773" t="s">
        <v>800</v>
      </c>
      <c r="I773" t="s">
        <v>22</v>
      </c>
      <c r="J773" t="s">
        <v>35</v>
      </c>
      <c r="K773" t="s">
        <v>22</v>
      </c>
      <c r="L773" t="s">
        <v>24</v>
      </c>
      <c r="M773">
        <v>2</v>
      </c>
      <c r="N773" t="s">
        <v>25</v>
      </c>
      <c r="O773" t="s">
        <v>796</v>
      </c>
      <c r="P773" t="s">
        <v>707</v>
      </c>
      <c r="Q773" t="s">
        <v>506</v>
      </c>
      <c r="R773">
        <v>2020</v>
      </c>
      <c r="S773" t="s">
        <v>797</v>
      </c>
      <c r="T773">
        <f>IF(IPL_Matches_2008_2020___New[[#This Row],[Toss Winner]]=IPL_Matches_2008_2020___New[[#This Row],[Winner]],1,0)</f>
        <v>1</v>
      </c>
      <c r="U773" t="s">
        <v>801</v>
      </c>
    </row>
    <row r="774" spans="1:21" x14ac:dyDescent="0.3">
      <c r="A774" t="s">
        <v>1574</v>
      </c>
      <c r="B774" t="s">
        <v>733</v>
      </c>
      <c r="C774">
        <f>YEAR(IPL_Matches_2008_2020___New[[#This Row],[Date ]])</f>
        <v>2020</v>
      </c>
      <c r="D774" s="1">
        <v>44131</v>
      </c>
      <c r="E774" t="s">
        <v>335</v>
      </c>
      <c r="F774" t="s">
        <v>467</v>
      </c>
      <c r="G774" t="s">
        <v>406</v>
      </c>
      <c r="H774" t="s">
        <v>692</v>
      </c>
      <c r="I774" t="s">
        <v>692</v>
      </c>
      <c r="J774" t="s">
        <v>23</v>
      </c>
      <c r="K774" t="s">
        <v>406</v>
      </c>
      <c r="L774" t="s">
        <v>24</v>
      </c>
      <c r="M774">
        <v>88</v>
      </c>
      <c r="N774" t="s">
        <v>25</v>
      </c>
      <c r="O774" t="s">
        <v>796</v>
      </c>
      <c r="P774" t="s">
        <v>349</v>
      </c>
      <c r="Q774" t="s">
        <v>554</v>
      </c>
      <c r="R774">
        <v>2020</v>
      </c>
      <c r="S774" t="s">
        <v>797</v>
      </c>
      <c r="T774">
        <f>IF(IPL_Matches_2008_2020___New[[#This Row],[Toss Winner]]=IPL_Matches_2008_2020___New[[#This Row],[Winner]],1,0)</f>
        <v>0</v>
      </c>
      <c r="U774" t="s">
        <v>798</v>
      </c>
    </row>
    <row r="775" spans="1:21" x14ac:dyDescent="0.3">
      <c r="A775" t="s">
        <v>1575</v>
      </c>
      <c r="B775" t="s">
        <v>733</v>
      </c>
      <c r="C775">
        <f>YEAR(IPL_Matches_2008_2020___New[[#This Row],[Date ]])</f>
        <v>2020</v>
      </c>
      <c r="D775" s="1">
        <v>44114</v>
      </c>
      <c r="E775" t="s">
        <v>314</v>
      </c>
      <c r="F775" t="s">
        <v>467</v>
      </c>
      <c r="G775" t="s">
        <v>21</v>
      </c>
      <c r="H775" t="s">
        <v>34</v>
      </c>
      <c r="I775" t="s">
        <v>21</v>
      </c>
      <c r="J775" t="s">
        <v>35</v>
      </c>
      <c r="K775" t="s">
        <v>21</v>
      </c>
      <c r="L775" t="s">
        <v>24</v>
      </c>
      <c r="M775">
        <v>37</v>
      </c>
      <c r="N775" t="s">
        <v>25</v>
      </c>
      <c r="O775" t="s">
        <v>796</v>
      </c>
      <c r="P775" t="s">
        <v>349</v>
      </c>
      <c r="Q775" t="s">
        <v>286</v>
      </c>
      <c r="R775">
        <v>2020</v>
      </c>
      <c r="S775" t="s">
        <v>797</v>
      </c>
      <c r="T775">
        <f>IF(IPL_Matches_2008_2020___New[[#This Row],[Toss Winner]]=IPL_Matches_2008_2020___New[[#This Row],[Winner]],1,0)</f>
        <v>1</v>
      </c>
      <c r="U775" t="s">
        <v>801</v>
      </c>
    </row>
    <row r="776" spans="1:21" x14ac:dyDescent="0.3">
      <c r="A776" t="s">
        <v>1576</v>
      </c>
      <c r="B776" t="s">
        <v>457</v>
      </c>
      <c r="C776">
        <f>YEAR(IPL_Matches_2008_2020___New[[#This Row],[Date ]])</f>
        <v>2020</v>
      </c>
      <c r="D776" s="1">
        <v>44120</v>
      </c>
      <c r="E776" t="s">
        <v>561</v>
      </c>
      <c r="F776" t="s">
        <v>459</v>
      </c>
      <c r="G776" t="s">
        <v>22</v>
      </c>
      <c r="H776" t="s">
        <v>50</v>
      </c>
      <c r="I776" t="s">
        <v>22</v>
      </c>
      <c r="J776" t="s">
        <v>35</v>
      </c>
      <c r="K776" t="s">
        <v>50</v>
      </c>
      <c r="L776" t="s">
        <v>43</v>
      </c>
      <c r="M776">
        <v>8</v>
      </c>
      <c r="N776" t="s">
        <v>25</v>
      </c>
      <c r="O776" t="s">
        <v>796</v>
      </c>
      <c r="P776" t="s">
        <v>506</v>
      </c>
      <c r="Q776" t="s">
        <v>552</v>
      </c>
      <c r="R776">
        <v>2020</v>
      </c>
      <c r="S776" t="s">
        <v>803</v>
      </c>
      <c r="T776">
        <f>IF(IPL_Matches_2008_2020___New[[#This Row],[Toss Winner]]=IPL_Matches_2008_2020___New[[#This Row],[Winner]],1,0)</f>
        <v>0</v>
      </c>
      <c r="U776" t="s">
        <v>798</v>
      </c>
    </row>
    <row r="777" spans="1:21" x14ac:dyDescent="0.3">
      <c r="A777" t="s">
        <v>1577</v>
      </c>
      <c r="B777" t="s">
        <v>736</v>
      </c>
      <c r="C777">
        <f>YEAR(IPL_Matches_2008_2020___New[[#This Row],[Date ]])</f>
        <v>2020</v>
      </c>
      <c r="D777" s="1">
        <v>44101</v>
      </c>
      <c r="E777" t="s">
        <v>436</v>
      </c>
      <c r="F777" t="s">
        <v>463</v>
      </c>
      <c r="G777" t="s">
        <v>800</v>
      </c>
      <c r="H777" t="s">
        <v>42</v>
      </c>
      <c r="I777" t="s">
        <v>42</v>
      </c>
      <c r="J777" t="s">
        <v>23</v>
      </c>
      <c r="K777" t="s">
        <v>42</v>
      </c>
      <c r="L777" t="s">
        <v>43</v>
      </c>
      <c r="M777">
        <v>4</v>
      </c>
      <c r="N777" t="s">
        <v>25</v>
      </c>
      <c r="O777" t="s">
        <v>796</v>
      </c>
      <c r="P777" t="s">
        <v>460</v>
      </c>
      <c r="Q777" t="s">
        <v>509</v>
      </c>
      <c r="R777">
        <v>2020</v>
      </c>
      <c r="S777" t="s">
        <v>803</v>
      </c>
      <c r="T777">
        <f>IF(IPL_Matches_2008_2020___New[[#This Row],[Toss Winner]]=IPL_Matches_2008_2020___New[[#This Row],[Winner]],1,0)</f>
        <v>1</v>
      </c>
      <c r="U777" t="s">
        <v>801</v>
      </c>
    </row>
    <row r="778" spans="1:21" x14ac:dyDescent="0.3">
      <c r="A778" t="s">
        <v>1578</v>
      </c>
      <c r="B778" t="s">
        <v>733</v>
      </c>
      <c r="C778">
        <f>YEAR(IPL_Matches_2008_2020___New[[#This Row],[Date ]])</f>
        <v>2020</v>
      </c>
      <c r="D778" s="1">
        <v>44117</v>
      </c>
      <c r="E778" t="s">
        <v>352</v>
      </c>
      <c r="F778" t="s">
        <v>467</v>
      </c>
      <c r="G778" t="s">
        <v>34</v>
      </c>
      <c r="H778" t="s">
        <v>406</v>
      </c>
      <c r="I778" t="s">
        <v>34</v>
      </c>
      <c r="J778" t="s">
        <v>35</v>
      </c>
      <c r="K778" t="s">
        <v>34</v>
      </c>
      <c r="L778" t="s">
        <v>24</v>
      </c>
      <c r="M778">
        <v>20</v>
      </c>
      <c r="N778" t="s">
        <v>25</v>
      </c>
      <c r="O778" t="s">
        <v>796</v>
      </c>
      <c r="P778" t="s">
        <v>349</v>
      </c>
      <c r="Q778" t="s">
        <v>286</v>
      </c>
      <c r="R778">
        <v>2020</v>
      </c>
      <c r="S778" t="s">
        <v>797</v>
      </c>
      <c r="T778">
        <f>IF(IPL_Matches_2008_2020___New[[#This Row],[Toss Winner]]=IPL_Matches_2008_2020___New[[#This Row],[Winner]],1,0)</f>
        <v>1</v>
      </c>
      <c r="U778" t="s">
        <v>801</v>
      </c>
    </row>
    <row r="779" spans="1:21" x14ac:dyDescent="0.3">
      <c r="A779" t="s">
        <v>1579</v>
      </c>
      <c r="B779" t="s">
        <v>457</v>
      </c>
      <c r="C779">
        <f>YEAR(IPL_Matches_2008_2020___New[[#This Row],[Date ]])</f>
        <v>2020</v>
      </c>
      <c r="D779" s="1">
        <v>44115</v>
      </c>
      <c r="E779" t="s">
        <v>561</v>
      </c>
      <c r="F779" t="s">
        <v>459</v>
      </c>
      <c r="G779" t="s">
        <v>692</v>
      </c>
      <c r="H779" t="s">
        <v>50</v>
      </c>
      <c r="I779" t="s">
        <v>692</v>
      </c>
      <c r="J779" t="s">
        <v>35</v>
      </c>
      <c r="K779" t="s">
        <v>50</v>
      </c>
      <c r="L779" t="s">
        <v>43</v>
      </c>
      <c r="M779">
        <v>5</v>
      </c>
      <c r="N779" t="s">
        <v>25</v>
      </c>
      <c r="O779" t="s">
        <v>796</v>
      </c>
      <c r="P779" t="s">
        <v>506</v>
      </c>
      <c r="Q779" t="s">
        <v>183</v>
      </c>
      <c r="R779">
        <v>2020</v>
      </c>
      <c r="S779" t="s">
        <v>803</v>
      </c>
      <c r="T779">
        <f>IF(IPL_Matches_2008_2020___New[[#This Row],[Toss Winner]]=IPL_Matches_2008_2020___New[[#This Row],[Winner]],1,0)</f>
        <v>0</v>
      </c>
      <c r="U779" t="s">
        <v>798</v>
      </c>
    </row>
    <row r="780" spans="1:21" x14ac:dyDescent="0.3">
      <c r="A780" t="s">
        <v>1580</v>
      </c>
      <c r="B780" t="s">
        <v>733</v>
      </c>
      <c r="C780">
        <f>YEAR(IPL_Matches_2008_2020___New[[#This Row],[Date ]])</f>
        <v>2020</v>
      </c>
      <c r="D780" s="1">
        <v>44136</v>
      </c>
      <c r="E780" t="s">
        <v>760</v>
      </c>
      <c r="F780" t="s">
        <v>467</v>
      </c>
      <c r="G780" t="s">
        <v>22</v>
      </c>
      <c r="H780" t="s">
        <v>42</v>
      </c>
      <c r="I780" t="s">
        <v>42</v>
      </c>
      <c r="J780" t="s">
        <v>23</v>
      </c>
      <c r="K780" t="s">
        <v>22</v>
      </c>
      <c r="L780" t="s">
        <v>24</v>
      </c>
      <c r="M780">
        <v>60</v>
      </c>
      <c r="N780" t="s">
        <v>25</v>
      </c>
      <c r="O780" t="s">
        <v>796</v>
      </c>
      <c r="P780" t="s">
        <v>554</v>
      </c>
      <c r="Q780" t="s">
        <v>286</v>
      </c>
      <c r="R780">
        <v>2020</v>
      </c>
      <c r="S780" t="s">
        <v>797</v>
      </c>
      <c r="T780">
        <f>IF(IPL_Matches_2008_2020___New[[#This Row],[Toss Winner]]=IPL_Matches_2008_2020___New[[#This Row],[Winner]],1,0)</f>
        <v>0</v>
      </c>
      <c r="U780" t="s">
        <v>798</v>
      </c>
    </row>
    <row r="781" spans="1:21" x14ac:dyDescent="0.3">
      <c r="A781" t="s">
        <v>1581</v>
      </c>
      <c r="B781" t="s">
        <v>736</v>
      </c>
      <c r="C781">
        <f>YEAR(IPL_Matches_2008_2020___New[[#This Row],[Date ]])</f>
        <v>2020</v>
      </c>
      <c r="D781" s="1">
        <v>44119</v>
      </c>
      <c r="E781" t="s">
        <v>648</v>
      </c>
      <c r="F781" t="s">
        <v>463</v>
      </c>
      <c r="G781" t="s">
        <v>21</v>
      </c>
      <c r="H781" t="s">
        <v>800</v>
      </c>
      <c r="I781" t="s">
        <v>21</v>
      </c>
      <c r="J781" t="s">
        <v>35</v>
      </c>
      <c r="K781" t="s">
        <v>800</v>
      </c>
      <c r="L781" t="s">
        <v>43</v>
      </c>
      <c r="M781">
        <v>8</v>
      </c>
      <c r="N781" t="s">
        <v>25</v>
      </c>
      <c r="O781" t="s">
        <v>796</v>
      </c>
      <c r="P781" t="s">
        <v>583</v>
      </c>
      <c r="Q781" t="s">
        <v>387</v>
      </c>
      <c r="R781">
        <v>2020</v>
      </c>
      <c r="S781" t="s">
        <v>803</v>
      </c>
      <c r="T781">
        <f>IF(IPL_Matches_2008_2020___New[[#This Row],[Toss Winner]]=IPL_Matches_2008_2020___New[[#This Row],[Winner]],1,0)</f>
        <v>0</v>
      </c>
      <c r="U781" t="s">
        <v>798</v>
      </c>
    </row>
    <row r="782" spans="1:21" x14ac:dyDescent="0.3">
      <c r="A782" t="s">
        <v>1582</v>
      </c>
      <c r="B782" t="s">
        <v>457</v>
      </c>
      <c r="C782">
        <f>YEAR(IPL_Matches_2008_2020___New[[#This Row],[Date ]])</f>
        <v>2020</v>
      </c>
      <c r="D782" s="1">
        <v>44103</v>
      </c>
      <c r="E782" t="s">
        <v>609</v>
      </c>
      <c r="F782" t="s">
        <v>459</v>
      </c>
      <c r="G782" t="s">
        <v>406</v>
      </c>
      <c r="H782" t="s">
        <v>692</v>
      </c>
      <c r="I782" t="s">
        <v>692</v>
      </c>
      <c r="J782" t="s">
        <v>23</v>
      </c>
      <c r="K782" t="s">
        <v>406</v>
      </c>
      <c r="L782" t="s">
        <v>24</v>
      </c>
      <c r="M782">
        <v>15</v>
      </c>
      <c r="N782" t="s">
        <v>25</v>
      </c>
      <c r="O782" t="s">
        <v>796</v>
      </c>
      <c r="P782" t="s">
        <v>552</v>
      </c>
      <c r="Q782" t="s">
        <v>183</v>
      </c>
      <c r="R782">
        <v>2020</v>
      </c>
      <c r="S782" t="s">
        <v>797</v>
      </c>
      <c r="T782">
        <f>IF(IPL_Matches_2008_2020___New[[#This Row],[Toss Winner]]=IPL_Matches_2008_2020___New[[#This Row],[Winner]],1,0)</f>
        <v>0</v>
      </c>
      <c r="U782" t="s">
        <v>798</v>
      </c>
    </row>
    <row r="783" spans="1:21" x14ac:dyDescent="0.3">
      <c r="A783" t="s">
        <v>1583</v>
      </c>
      <c r="B783" t="s">
        <v>457</v>
      </c>
      <c r="C783">
        <f>YEAR(IPL_Matches_2008_2020___New[[#This Row],[Date ]])</f>
        <v>2020</v>
      </c>
      <c r="D783" s="1">
        <v>44123</v>
      </c>
      <c r="E783" t="s">
        <v>625</v>
      </c>
      <c r="F783" t="s">
        <v>459</v>
      </c>
      <c r="G783" t="s">
        <v>34</v>
      </c>
      <c r="H783" t="s">
        <v>42</v>
      </c>
      <c r="I783" t="s">
        <v>34</v>
      </c>
      <c r="J783" t="s">
        <v>35</v>
      </c>
      <c r="K783" t="s">
        <v>42</v>
      </c>
      <c r="L783" t="s">
        <v>43</v>
      </c>
      <c r="M783">
        <v>7</v>
      </c>
      <c r="N783" t="s">
        <v>25</v>
      </c>
      <c r="O783" t="s">
        <v>796</v>
      </c>
      <c r="P783" t="s">
        <v>506</v>
      </c>
      <c r="Q783" t="s">
        <v>552</v>
      </c>
      <c r="R783">
        <v>2020</v>
      </c>
      <c r="S783" t="s">
        <v>803</v>
      </c>
      <c r="T783">
        <f>IF(IPL_Matches_2008_2020___New[[#This Row],[Toss Winner]]=IPL_Matches_2008_2020___New[[#This Row],[Winner]],1,0)</f>
        <v>0</v>
      </c>
      <c r="U783" t="s">
        <v>798</v>
      </c>
    </row>
    <row r="784" spans="1:21" x14ac:dyDescent="0.3">
      <c r="A784" t="s">
        <v>1584</v>
      </c>
      <c r="B784" t="s">
        <v>733</v>
      </c>
      <c r="C784">
        <f>YEAR(IPL_Matches_2008_2020___New[[#This Row],[Date ]])</f>
        <v>2020</v>
      </c>
      <c r="D784" s="1">
        <v>44095</v>
      </c>
      <c r="E784" t="s">
        <v>462</v>
      </c>
      <c r="F784" t="s">
        <v>467</v>
      </c>
      <c r="G784" t="s">
        <v>21</v>
      </c>
      <c r="H784" t="s">
        <v>406</v>
      </c>
      <c r="I784" t="s">
        <v>406</v>
      </c>
      <c r="J784" t="s">
        <v>23</v>
      </c>
      <c r="K784" t="s">
        <v>21</v>
      </c>
      <c r="L784" t="s">
        <v>24</v>
      </c>
      <c r="M784">
        <v>10</v>
      </c>
      <c r="N784" t="s">
        <v>25</v>
      </c>
      <c r="O784" t="s">
        <v>796</v>
      </c>
      <c r="P784" t="s">
        <v>576</v>
      </c>
      <c r="Q784" t="s">
        <v>554</v>
      </c>
      <c r="R784">
        <v>2020</v>
      </c>
      <c r="S784" t="s">
        <v>797</v>
      </c>
      <c r="T784">
        <f>IF(IPL_Matches_2008_2020___New[[#This Row],[Toss Winner]]=IPL_Matches_2008_2020___New[[#This Row],[Winner]],1,0)</f>
        <v>0</v>
      </c>
      <c r="U784" t="s">
        <v>798</v>
      </c>
    </row>
    <row r="785" spans="1:21" x14ac:dyDescent="0.3">
      <c r="A785" t="s">
        <v>1585</v>
      </c>
      <c r="B785" t="s">
        <v>733</v>
      </c>
      <c r="C785">
        <f>YEAR(IPL_Matches_2008_2020___New[[#This Row],[Date ]])</f>
        <v>2020</v>
      </c>
      <c r="D785" s="1">
        <v>44135</v>
      </c>
      <c r="E785" t="s">
        <v>674</v>
      </c>
      <c r="F785" t="s">
        <v>467</v>
      </c>
      <c r="G785" t="s">
        <v>692</v>
      </c>
      <c r="H785" t="s">
        <v>50</v>
      </c>
      <c r="I785" t="s">
        <v>50</v>
      </c>
      <c r="J785" t="s">
        <v>23</v>
      </c>
      <c r="K785" t="s">
        <v>50</v>
      </c>
      <c r="L785" t="s">
        <v>43</v>
      </c>
      <c r="M785">
        <v>9</v>
      </c>
      <c r="N785" t="s">
        <v>25</v>
      </c>
      <c r="O785" t="s">
        <v>796</v>
      </c>
      <c r="P785" t="s">
        <v>617</v>
      </c>
      <c r="Q785" t="s">
        <v>286</v>
      </c>
      <c r="R785">
        <v>2020</v>
      </c>
      <c r="S785" t="s">
        <v>803</v>
      </c>
      <c r="T785">
        <f>IF(IPL_Matches_2008_2020___New[[#This Row],[Toss Winner]]=IPL_Matches_2008_2020___New[[#This Row],[Winner]],1,0)</f>
        <v>1</v>
      </c>
      <c r="U785" t="s">
        <v>801</v>
      </c>
    </row>
    <row r="786" spans="1:21" x14ac:dyDescent="0.3">
      <c r="A786" t="s">
        <v>1586</v>
      </c>
      <c r="B786" t="s">
        <v>733</v>
      </c>
      <c r="C786">
        <f>YEAR(IPL_Matches_2008_2020___New[[#This Row],[Date ]])</f>
        <v>2020</v>
      </c>
      <c r="D786" s="1">
        <v>44133</v>
      </c>
      <c r="E786" t="s">
        <v>746</v>
      </c>
      <c r="F786" t="s">
        <v>467</v>
      </c>
      <c r="G786" t="s">
        <v>22</v>
      </c>
      <c r="H786" t="s">
        <v>34</v>
      </c>
      <c r="I786" t="s">
        <v>34</v>
      </c>
      <c r="J786" t="s">
        <v>23</v>
      </c>
      <c r="K786" t="s">
        <v>34</v>
      </c>
      <c r="L786" t="s">
        <v>43</v>
      </c>
      <c r="M786">
        <v>6</v>
      </c>
      <c r="N786" t="s">
        <v>25</v>
      </c>
      <c r="O786" t="s">
        <v>796</v>
      </c>
      <c r="P786" t="s">
        <v>387</v>
      </c>
      <c r="Q786" t="s">
        <v>460</v>
      </c>
      <c r="R786">
        <v>2020</v>
      </c>
      <c r="S786" t="s">
        <v>803</v>
      </c>
      <c r="T786">
        <f>IF(IPL_Matches_2008_2020___New[[#This Row],[Toss Winner]]=IPL_Matches_2008_2020___New[[#This Row],[Winner]],1,0)</f>
        <v>1</v>
      </c>
      <c r="U786" t="s">
        <v>801</v>
      </c>
    </row>
    <row r="787" spans="1:21" x14ac:dyDescent="0.3">
      <c r="A787" t="s">
        <v>1587</v>
      </c>
      <c r="B787" t="s">
        <v>457</v>
      </c>
      <c r="C787">
        <f>YEAR(IPL_Matches_2008_2020___New[[#This Row],[Date ]])</f>
        <v>2020</v>
      </c>
      <c r="D787" s="1">
        <v>44134</v>
      </c>
      <c r="E787" t="s">
        <v>619</v>
      </c>
      <c r="F787" t="s">
        <v>459</v>
      </c>
      <c r="G787" t="s">
        <v>800</v>
      </c>
      <c r="H787" t="s">
        <v>42</v>
      </c>
      <c r="I787" t="s">
        <v>42</v>
      </c>
      <c r="J787" t="s">
        <v>23</v>
      </c>
      <c r="K787" t="s">
        <v>42</v>
      </c>
      <c r="L787" t="s">
        <v>43</v>
      </c>
      <c r="M787">
        <v>7</v>
      </c>
      <c r="N787" t="s">
        <v>25</v>
      </c>
      <c r="O787" t="s">
        <v>796</v>
      </c>
      <c r="P787" t="s">
        <v>506</v>
      </c>
      <c r="Q787" t="s">
        <v>183</v>
      </c>
      <c r="R787">
        <v>2020</v>
      </c>
      <c r="S787" t="s">
        <v>803</v>
      </c>
      <c r="T787">
        <f>IF(IPL_Matches_2008_2020___New[[#This Row],[Toss Winner]]=IPL_Matches_2008_2020___New[[#This Row],[Winner]],1,0)</f>
        <v>1</v>
      </c>
      <c r="U787" t="s">
        <v>801</v>
      </c>
    </row>
    <row r="788" spans="1:21" x14ac:dyDescent="0.3">
      <c r="A788" t="s">
        <v>1588</v>
      </c>
      <c r="B788" t="s">
        <v>736</v>
      </c>
      <c r="C788">
        <f>YEAR(IPL_Matches_2008_2020___New[[#This Row],[Date ]])</f>
        <v>2020</v>
      </c>
      <c r="D788" s="1">
        <v>44108</v>
      </c>
      <c r="E788" t="s">
        <v>531</v>
      </c>
      <c r="F788" t="s">
        <v>463</v>
      </c>
      <c r="G788" t="s">
        <v>50</v>
      </c>
      <c r="H788" t="s">
        <v>406</v>
      </c>
      <c r="I788" t="s">
        <v>50</v>
      </c>
      <c r="J788" t="s">
        <v>35</v>
      </c>
      <c r="K788" t="s">
        <v>50</v>
      </c>
      <c r="L788" t="s">
        <v>24</v>
      </c>
      <c r="M788">
        <v>34</v>
      </c>
      <c r="N788" t="s">
        <v>25</v>
      </c>
      <c r="O788" t="s">
        <v>796</v>
      </c>
      <c r="P788" t="s">
        <v>583</v>
      </c>
      <c r="Q788" t="s">
        <v>460</v>
      </c>
      <c r="R788">
        <v>2020</v>
      </c>
      <c r="S788" t="s">
        <v>797</v>
      </c>
      <c r="T788">
        <f>IF(IPL_Matches_2008_2020___New[[#This Row],[Toss Winner]]=IPL_Matches_2008_2020___New[[#This Row],[Winner]],1,0)</f>
        <v>1</v>
      </c>
      <c r="U788" t="s">
        <v>801</v>
      </c>
    </row>
    <row r="789" spans="1:21" x14ac:dyDescent="0.3">
      <c r="A789" t="s">
        <v>1589</v>
      </c>
      <c r="B789" t="s">
        <v>733</v>
      </c>
      <c r="C789">
        <f>YEAR(IPL_Matches_2008_2020___New[[#This Row],[Date ]])</f>
        <v>2020</v>
      </c>
      <c r="D789" s="1">
        <v>44099</v>
      </c>
      <c r="E789" t="s">
        <v>699</v>
      </c>
      <c r="F789" t="s">
        <v>467</v>
      </c>
      <c r="G789" t="s">
        <v>692</v>
      </c>
      <c r="H789" t="s">
        <v>34</v>
      </c>
      <c r="I789" t="s">
        <v>34</v>
      </c>
      <c r="J789" t="s">
        <v>23</v>
      </c>
      <c r="K789" t="s">
        <v>692</v>
      </c>
      <c r="L789" t="s">
        <v>24</v>
      </c>
      <c r="M789">
        <v>44</v>
      </c>
      <c r="N789" t="s">
        <v>25</v>
      </c>
      <c r="O789" t="s">
        <v>796</v>
      </c>
      <c r="P789" t="s">
        <v>583</v>
      </c>
      <c r="Q789" t="s">
        <v>460</v>
      </c>
      <c r="R789">
        <v>2020</v>
      </c>
      <c r="S789" t="s">
        <v>797</v>
      </c>
      <c r="T789">
        <f>IF(IPL_Matches_2008_2020___New[[#This Row],[Toss Winner]]=IPL_Matches_2008_2020___New[[#This Row],[Winner]],1,0)</f>
        <v>0</v>
      </c>
      <c r="U789" t="s">
        <v>798</v>
      </c>
    </row>
    <row r="790" spans="1:21" x14ac:dyDescent="0.3">
      <c r="A790" t="s">
        <v>1590</v>
      </c>
      <c r="B790" t="s">
        <v>736</v>
      </c>
      <c r="C790">
        <f>YEAR(IPL_Matches_2008_2020___New[[#This Row],[Date ]])</f>
        <v>2020</v>
      </c>
      <c r="D790" s="1">
        <v>44116</v>
      </c>
      <c r="E790" t="s">
        <v>157</v>
      </c>
      <c r="F790" t="s">
        <v>463</v>
      </c>
      <c r="G790" t="s">
        <v>21</v>
      </c>
      <c r="H790" t="s">
        <v>22</v>
      </c>
      <c r="I790" t="s">
        <v>21</v>
      </c>
      <c r="J790" t="s">
        <v>35</v>
      </c>
      <c r="K790" t="s">
        <v>21</v>
      </c>
      <c r="L790" t="s">
        <v>24</v>
      </c>
      <c r="M790">
        <v>82</v>
      </c>
      <c r="N790" t="s">
        <v>25</v>
      </c>
      <c r="O790" t="s">
        <v>796</v>
      </c>
      <c r="P790" t="s">
        <v>460</v>
      </c>
      <c r="Q790" t="s">
        <v>509</v>
      </c>
      <c r="R790">
        <v>2020</v>
      </c>
      <c r="S790" t="s">
        <v>797</v>
      </c>
      <c r="T790">
        <f>IF(IPL_Matches_2008_2020___New[[#This Row],[Toss Winner]]=IPL_Matches_2008_2020___New[[#This Row],[Winner]],1,0)</f>
        <v>1</v>
      </c>
      <c r="U790" t="s">
        <v>801</v>
      </c>
    </row>
    <row r="791" spans="1:21" x14ac:dyDescent="0.3">
      <c r="A791" t="s">
        <v>1591</v>
      </c>
      <c r="B791" t="s">
        <v>457</v>
      </c>
      <c r="C791">
        <f>YEAR(IPL_Matches_2008_2020___New[[#This Row],[Date ]])</f>
        <v>2020</v>
      </c>
      <c r="D791" s="1">
        <v>44129</v>
      </c>
      <c r="E791" t="s">
        <v>619</v>
      </c>
      <c r="F791" t="s">
        <v>459</v>
      </c>
      <c r="G791" t="s">
        <v>50</v>
      </c>
      <c r="H791" t="s">
        <v>42</v>
      </c>
      <c r="I791" t="s">
        <v>50</v>
      </c>
      <c r="J791" t="s">
        <v>35</v>
      </c>
      <c r="K791" t="s">
        <v>42</v>
      </c>
      <c r="L791" t="s">
        <v>43</v>
      </c>
      <c r="M791">
        <v>8</v>
      </c>
      <c r="N791" t="s">
        <v>25</v>
      </c>
      <c r="O791" t="s">
        <v>796</v>
      </c>
      <c r="P791" t="s">
        <v>707</v>
      </c>
      <c r="Q791" t="s">
        <v>552</v>
      </c>
      <c r="R791">
        <v>2020</v>
      </c>
      <c r="S791" t="s">
        <v>803</v>
      </c>
      <c r="T791">
        <f>IF(IPL_Matches_2008_2020___New[[#This Row],[Toss Winner]]=IPL_Matches_2008_2020___New[[#This Row],[Winner]],1,0)</f>
        <v>0</v>
      </c>
      <c r="U791" t="s">
        <v>798</v>
      </c>
    </row>
    <row r="792" spans="1:21" x14ac:dyDescent="0.3">
      <c r="A792" t="s">
        <v>1592</v>
      </c>
      <c r="B792" t="s">
        <v>733</v>
      </c>
      <c r="C792">
        <f>YEAR(IPL_Matches_2008_2020___New[[#This Row],[Date ]])</f>
        <v>2020</v>
      </c>
      <c r="D792" s="1">
        <v>44112</v>
      </c>
      <c r="E792" t="s">
        <v>701</v>
      </c>
      <c r="F792" t="s">
        <v>467</v>
      </c>
      <c r="G792" t="s">
        <v>406</v>
      </c>
      <c r="H792" t="s">
        <v>800</v>
      </c>
      <c r="I792" t="s">
        <v>406</v>
      </c>
      <c r="J792" t="s">
        <v>35</v>
      </c>
      <c r="K792" t="s">
        <v>406</v>
      </c>
      <c r="L792" t="s">
        <v>24</v>
      </c>
      <c r="M792">
        <v>69</v>
      </c>
      <c r="N792" t="s">
        <v>25</v>
      </c>
      <c r="O792" t="s">
        <v>796</v>
      </c>
      <c r="P792" t="s">
        <v>349</v>
      </c>
      <c r="Q792" t="s">
        <v>554</v>
      </c>
      <c r="R792">
        <v>2020</v>
      </c>
      <c r="S792" t="s">
        <v>797</v>
      </c>
      <c r="T792">
        <f>IF(IPL_Matches_2008_2020___New[[#This Row],[Toss Winner]]=IPL_Matches_2008_2020___New[[#This Row],[Winner]],1,0)</f>
        <v>1</v>
      </c>
      <c r="U792" t="s">
        <v>801</v>
      </c>
    </row>
    <row r="793" spans="1:21" x14ac:dyDescent="0.3">
      <c r="A793" t="s">
        <v>1593</v>
      </c>
      <c r="B793" t="s">
        <v>733</v>
      </c>
      <c r="C793">
        <f>YEAR(IPL_Matches_2008_2020___New[[#This Row],[Date ]])</f>
        <v>2020</v>
      </c>
      <c r="D793" s="1">
        <v>44118</v>
      </c>
      <c r="E793" t="s">
        <v>745</v>
      </c>
      <c r="F793" t="s">
        <v>467</v>
      </c>
      <c r="G793" t="s">
        <v>692</v>
      </c>
      <c r="H793" t="s">
        <v>42</v>
      </c>
      <c r="I793" t="s">
        <v>692</v>
      </c>
      <c r="J793" t="s">
        <v>35</v>
      </c>
      <c r="K793" t="s">
        <v>692</v>
      </c>
      <c r="L793" t="s">
        <v>24</v>
      </c>
      <c r="M793">
        <v>13</v>
      </c>
      <c r="N793" t="s">
        <v>25</v>
      </c>
      <c r="O793" t="s">
        <v>796</v>
      </c>
      <c r="P793" t="s">
        <v>349</v>
      </c>
      <c r="Q793" t="s">
        <v>554</v>
      </c>
      <c r="R793">
        <v>2020</v>
      </c>
      <c r="S793" t="s">
        <v>797</v>
      </c>
      <c r="T793">
        <f>IF(IPL_Matches_2008_2020___New[[#This Row],[Toss Winner]]=IPL_Matches_2008_2020___New[[#This Row],[Winner]],1,0)</f>
        <v>1</v>
      </c>
      <c r="U793" t="s">
        <v>801</v>
      </c>
    </row>
    <row r="794" spans="1:21" x14ac:dyDescent="0.3">
      <c r="A794" t="s">
        <v>1594</v>
      </c>
      <c r="B794" t="s">
        <v>733</v>
      </c>
      <c r="C794">
        <f>YEAR(IPL_Matches_2008_2020___New[[#This Row],[Date ]])</f>
        <v>2020</v>
      </c>
      <c r="D794" s="1">
        <v>44129</v>
      </c>
      <c r="E794" t="s">
        <v>746</v>
      </c>
      <c r="F794" t="s">
        <v>467</v>
      </c>
      <c r="G794" t="s">
        <v>21</v>
      </c>
      <c r="H794" t="s">
        <v>34</v>
      </c>
      <c r="I794" t="s">
        <v>21</v>
      </c>
      <c r="J794" t="s">
        <v>35</v>
      </c>
      <c r="K794" t="s">
        <v>34</v>
      </c>
      <c r="L794" t="s">
        <v>43</v>
      </c>
      <c r="M794">
        <v>8</v>
      </c>
      <c r="N794" t="s">
        <v>25</v>
      </c>
      <c r="O794" t="s">
        <v>796</v>
      </c>
      <c r="P794" t="s">
        <v>387</v>
      </c>
      <c r="Q794" t="s">
        <v>460</v>
      </c>
      <c r="R794">
        <v>2020</v>
      </c>
      <c r="S794" t="s">
        <v>803</v>
      </c>
      <c r="T794">
        <f>IF(IPL_Matches_2008_2020___New[[#This Row],[Toss Winner]]=IPL_Matches_2008_2020___New[[#This Row],[Winner]],1,0)</f>
        <v>0</v>
      </c>
      <c r="U794" t="s">
        <v>798</v>
      </c>
    </row>
    <row r="795" spans="1:21" x14ac:dyDescent="0.3">
      <c r="A795" t="s">
        <v>1595</v>
      </c>
      <c r="B795" t="s">
        <v>457</v>
      </c>
      <c r="C795">
        <f>YEAR(IPL_Matches_2008_2020___New[[#This Row],[Date ]])</f>
        <v>2020</v>
      </c>
      <c r="D795" s="1">
        <v>44100</v>
      </c>
      <c r="E795" t="s">
        <v>730</v>
      </c>
      <c r="F795" t="s">
        <v>459</v>
      </c>
      <c r="G795" t="s">
        <v>406</v>
      </c>
      <c r="H795" t="s">
        <v>22</v>
      </c>
      <c r="I795" t="s">
        <v>406</v>
      </c>
      <c r="J795" t="s">
        <v>35</v>
      </c>
      <c r="K795" t="s">
        <v>22</v>
      </c>
      <c r="L795" t="s">
        <v>43</v>
      </c>
      <c r="M795">
        <v>7</v>
      </c>
      <c r="N795" t="s">
        <v>25</v>
      </c>
      <c r="O795" t="s">
        <v>796</v>
      </c>
      <c r="P795" t="s">
        <v>506</v>
      </c>
      <c r="Q795" t="s">
        <v>552</v>
      </c>
      <c r="R795">
        <v>2020</v>
      </c>
      <c r="S795" t="s">
        <v>803</v>
      </c>
      <c r="T795">
        <f>IF(IPL_Matches_2008_2020___New[[#This Row],[Toss Winner]]=IPL_Matches_2008_2020___New[[#This Row],[Winner]],1,0)</f>
        <v>0</v>
      </c>
      <c r="U795" t="s">
        <v>798</v>
      </c>
    </row>
    <row r="796" spans="1:21" x14ac:dyDescent="0.3">
      <c r="A796" t="s">
        <v>1596</v>
      </c>
      <c r="B796" t="s">
        <v>733</v>
      </c>
      <c r="C796">
        <f>YEAR(IPL_Matches_2008_2020___New[[#This Row],[Date ]])</f>
        <v>2020</v>
      </c>
      <c r="D796" s="1">
        <v>44124</v>
      </c>
      <c r="E796" t="s">
        <v>339</v>
      </c>
      <c r="F796" t="s">
        <v>467</v>
      </c>
      <c r="G796" t="s">
        <v>692</v>
      </c>
      <c r="H796" t="s">
        <v>800</v>
      </c>
      <c r="I796" t="s">
        <v>692</v>
      </c>
      <c r="J796" t="s">
        <v>35</v>
      </c>
      <c r="K796" t="s">
        <v>800</v>
      </c>
      <c r="L796" t="s">
        <v>43</v>
      </c>
      <c r="M796">
        <v>5</v>
      </c>
      <c r="N796" t="s">
        <v>25</v>
      </c>
      <c r="O796" t="s">
        <v>796</v>
      </c>
      <c r="P796" t="s">
        <v>387</v>
      </c>
      <c r="Q796" t="s">
        <v>460</v>
      </c>
      <c r="R796">
        <v>2020</v>
      </c>
      <c r="S796" t="s">
        <v>803</v>
      </c>
      <c r="T796">
        <f>IF(IPL_Matches_2008_2020___New[[#This Row],[Toss Winner]]=IPL_Matches_2008_2020___New[[#This Row],[Winner]],1,0)</f>
        <v>0</v>
      </c>
      <c r="U796" t="s">
        <v>798</v>
      </c>
    </row>
    <row r="797" spans="1:21" x14ac:dyDescent="0.3">
      <c r="A797" t="s">
        <v>1597</v>
      </c>
      <c r="B797" t="s">
        <v>733</v>
      </c>
      <c r="C797">
        <f>YEAR(IPL_Matches_2008_2020___New[[#This Row],[Date ]])</f>
        <v>2020</v>
      </c>
      <c r="D797" s="1">
        <v>44140</v>
      </c>
      <c r="E797" t="s">
        <v>612</v>
      </c>
      <c r="F797" t="s">
        <v>467</v>
      </c>
      <c r="G797" t="s">
        <v>50</v>
      </c>
      <c r="H797" t="s">
        <v>692</v>
      </c>
      <c r="I797" t="s">
        <v>692</v>
      </c>
      <c r="J797" t="s">
        <v>23</v>
      </c>
      <c r="K797" t="s">
        <v>50</v>
      </c>
      <c r="L797" t="s">
        <v>24</v>
      </c>
      <c r="M797">
        <v>57</v>
      </c>
      <c r="N797" t="s">
        <v>25</v>
      </c>
      <c r="O797" t="s">
        <v>796</v>
      </c>
      <c r="P797" t="s">
        <v>506</v>
      </c>
      <c r="Q797" t="s">
        <v>554</v>
      </c>
      <c r="R797">
        <v>2020</v>
      </c>
      <c r="S797" t="s">
        <v>797</v>
      </c>
      <c r="T797">
        <f>IF(IPL_Matches_2008_2020___New[[#This Row],[Toss Winner]]=IPL_Matches_2008_2020___New[[#This Row],[Winner]],1,0)</f>
        <v>0</v>
      </c>
      <c r="U797" t="s">
        <v>798</v>
      </c>
    </row>
    <row r="798" spans="1:21" x14ac:dyDescent="0.3">
      <c r="A798" t="s">
        <v>1598</v>
      </c>
      <c r="B798" t="s">
        <v>457</v>
      </c>
      <c r="C798">
        <f>YEAR(IPL_Matches_2008_2020___New[[#This Row],[Date ]])</f>
        <v>2020</v>
      </c>
      <c r="D798" s="1">
        <v>44141</v>
      </c>
      <c r="E798" t="s">
        <v>623</v>
      </c>
      <c r="F798" t="s">
        <v>459</v>
      </c>
      <c r="G798" t="s">
        <v>21</v>
      </c>
      <c r="H798" t="s">
        <v>406</v>
      </c>
      <c r="I798" t="s">
        <v>406</v>
      </c>
      <c r="J798" t="s">
        <v>23</v>
      </c>
      <c r="K798" t="s">
        <v>406</v>
      </c>
      <c r="L798" t="s">
        <v>43</v>
      </c>
      <c r="M798">
        <v>6</v>
      </c>
      <c r="N798" t="s">
        <v>25</v>
      </c>
      <c r="O798" t="s">
        <v>796</v>
      </c>
      <c r="P798" t="s">
        <v>286</v>
      </c>
      <c r="Q798" t="s">
        <v>183</v>
      </c>
      <c r="R798">
        <v>2020</v>
      </c>
      <c r="S798" t="s">
        <v>803</v>
      </c>
      <c r="T798">
        <f>IF(IPL_Matches_2008_2020___New[[#This Row],[Toss Winner]]=IPL_Matches_2008_2020___New[[#This Row],[Winner]],1,0)</f>
        <v>1</v>
      </c>
      <c r="U798" t="s">
        <v>801</v>
      </c>
    </row>
    <row r="799" spans="1:21" x14ac:dyDescent="0.3">
      <c r="A799" t="s">
        <v>1599</v>
      </c>
      <c r="B799" t="s">
        <v>457</v>
      </c>
      <c r="C799">
        <f>YEAR(IPL_Matches_2008_2020___New[[#This Row],[Date ]])</f>
        <v>2020</v>
      </c>
      <c r="D799" s="1">
        <v>44143</v>
      </c>
      <c r="E799" t="s">
        <v>585</v>
      </c>
      <c r="F799" t="s">
        <v>459</v>
      </c>
      <c r="G799" t="s">
        <v>692</v>
      </c>
      <c r="H799" t="s">
        <v>406</v>
      </c>
      <c r="I799" t="s">
        <v>692</v>
      </c>
      <c r="J799" t="s">
        <v>35</v>
      </c>
      <c r="K799" t="s">
        <v>692</v>
      </c>
      <c r="L799" t="s">
        <v>24</v>
      </c>
      <c r="M799">
        <v>17</v>
      </c>
      <c r="N799" t="s">
        <v>25</v>
      </c>
      <c r="O799" t="s">
        <v>796</v>
      </c>
      <c r="P799" t="s">
        <v>286</v>
      </c>
      <c r="Q799" t="s">
        <v>183</v>
      </c>
      <c r="R799">
        <v>2020</v>
      </c>
      <c r="S799" t="s">
        <v>797</v>
      </c>
      <c r="T799">
        <f>IF(IPL_Matches_2008_2020___New[[#This Row],[Toss Winner]]=IPL_Matches_2008_2020___New[[#This Row],[Winner]],1,0)</f>
        <v>1</v>
      </c>
      <c r="U799" t="s">
        <v>801</v>
      </c>
    </row>
    <row r="800" spans="1:21" x14ac:dyDescent="0.3">
      <c r="A800" t="s">
        <v>1600</v>
      </c>
      <c r="B800" t="s">
        <v>733</v>
      </c>
      <c r="C800">
        <f>YEAR(IPL_Matches_2008_2020___New[[#This Row],[Date ]])</f>
        <v>2020</v>
      </c>
      <c r="D800" s="1">
        <v>44145</v>
      </c>
      <c r="E800" t="s">
        <v>531</v>
      </c>
      <c r="F800" t="s">
        <v>467</v>
      </c>
      <c r="G800" t="s">
        <v>692</v>
      </c>
      <c r="H800" t="s">
        <v>50</v>
      </c>
      <c r="I800" t="s">
        <v>692</v>
      </c>
      <c r="J800" t="s">
        <v>35</v>
      </c>
      <c r="K800" t="s">
        <v>50</v>
      </c>
      <c r="L800" t="s">
        <v>43</v>
      </c>
      <c r="M800">
        <v>5</v>
      </c>
      <c r="N800" t="s">
        <v>25</v>
      </c>
      <c r="O800" t="s">
        <v>796</v>
      </c>
      <c r="P800" t="s">
        <v>506</v>
      </c>
      <c r="Q800" t="s">
        <v>554</v>
      </c>
      <c r="R800">
        <v>2020</v>
      </c>
      <c r="S800" t="s">
        <v>803</v>
      </c>
      <c r="T800">
        <f>IF(IPL_Matches_2008_2020___New[[#This Row],[Toss Winner]]=IPL_Matches_2008_2020___New[[#This Row],[Winner]],1,0)</f>
        <v>0</v>
      </c>
      <c r="U800" t="s">
        <v>798</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F1" workbookViewId="0">
      <selection activeCell="B7" sqref="B7"/>
    </sheetView>
  </sheetViews>
  <sheetFormatPr defaultRowHeight="14.4" x14ac:dyDescent="0.3"/>
  <cols>
    <col min="1" max="1" width="11.33203125" bestFit="1" customWidth="1"/>
    <col min="2" max="2" width="11.5546875" bestFit="1" customWidth="1"/>
    <col min="3" max="3" width="7.88671875" bestFit="1" customWidth="1"/>
    <col min="4" max="4" width="11.33203125" bestFit="1" customWidth="1"/>
  </cols>
  <sheetData>
    <row r="1" spans="1:4" x14ac:dyDescent="0.3">
      <c r="A1" s="2" t="s">
        <v>1601</v>
      </c>
    </row>
    <row r="2" spans="1:4" x14ac:dyDescent="0.3">
      <c r="B2" t="s">
        <v>797</v>
      </c>
      <c r="C2" t="s">
        <v>803</v>
      </c>
      <c r="D2" t="s">
        <v>1602</v>
      </c>
    </row>
    <row r="3" spans="1:4" x14ac:dyDescent="0.3">
      <c r="A3" s="3">
        <v>2008</v>
      </c>
      <c r="B3">
        <v>24</v>
      </c>
      <c r="C3">
        <v>34</v>
      </c>
      <c r="D3">
        <v>58</v>
      </c>
    </row>
    <row r="4" spans="1:4" x14ac:dyDescent="0.3">
      <c r="A4" s="3">
        <v>2009</v>
      </c>
      <c r="B4">
        <v>27</v>
      </c>
      <c r="C4">
        <v>29</v>
      </c>
      <c r="D4">
        <v>56</v>
      </c>
    </row>
    <row r="5" spans="1:4" x14ac:dyDescent="0.3">
      <c r="A5" s="3">
        <v>2010</v>
      </c>
      <c r="B5">
        <v>31</v>
      </c>
      <c r="C5">
        <v>28</v>
      </c>
      <c r="D5">
        <v>59</v>
      </c>
    </row>
    <row r="6" spans="1:4" x14ac:dyDescent="0.3">
      <c r="A6" s="3">
        <v>2011</v>
      </c>
      <c r="B6">
        <v>33</v>
      </c>
      <c r="C6">
        <v>39</v>
      </c>
      <c r="D6">
        <v>72</v>
      </c>
    </row>
    <row r="7" spans="1:4" x14ac:dyDescent="0.3">
      <c r="A7" s="3">
        <v>2012</v>
      </c>
      <c r="B7">
        <v>34</v>
      </c>
      <c r="C7">
        <v>40</v>
      </c>
      <c r="D7">
        <v>74</v>
      </c>
    </row>
    <row r="8" spans="1:4" x14ac:dyDescent="0.3">
      <c r="A8" s="3">
        <v>2013</v>
      </c>
      <c r="B8">
        <v>37</v>
      </c>
      <c r="C8">
        <v>37</v>
      </c>
      <c r="D8">
        <v>74</v>
      </c>
    </row>
    <row r="9" spans="1:4" x14ac:dyDescent="0.3">
      <c r="A9" s="3">
        <v>2014</v>
      </c>
      <c r="B9">
        <v>22</v>
      </c>
      <c r="C9">
        <v>37</v>
      </c>
      <c r="D9">
        <v>59</v>
      </c>
    </row>
    <row r="10" spans="1:4" x14ac:dyDescent="0.3">
      <c r="A10" s="3">
        <v>2015</v>
      </c>
      <c r="B10">
        <v>32</v>
      </c>
      <c r="C10">
        <v>24</v>
      </c>
      <c r="D10">
        <v>56</v>
      </c>
    </row>
    <row r="11" spans="1:4" x14ac:dyDescent="0.3">
      <c r="A11" s="3">
        <v>2016</v>
      </c>
      <c r="B11">
        <v>21</v>
      </c>
      <c r="C11">
        <v>39</v>
      </c>
      <c r="D11">
        <v>60</v>
      </c>
    </row>
    <row r="12" spans="1:4" x14ac:dyDescent="0.3">
      <c r="A12" s="3">
        <v>2017</v>
      </c>
      <c r="B12">
        <v>26</v>
      </c>
      <c r="C12">
        <v>32</v>
      </c>
      <c r="D12">
        <v>58</v>
      </c>
    </row>
    <row r="13" spans="1:4" x14ac:dyDescent="0.3">
      <c r="A13" s="3">
        <v>2018</v>
      </c>
      <c r="B13">
        <v>28</v>
      </c>
      <c r="C13">
        <v>32</v>
      </c>
      <c r="D13">
        <v>60</v>
      </c>
    </row>
    <row r="14" spans="1:4" x14ac:dyDescent="0.3">
      <c r="A14" s="3">
        <v>2019</v>
      </c>
      <c r="B14">
        <v>22</v>
      </c>
      <c r="C14">
        <v>35</v>
      </c>
      <c r="D14">
        <v>57</v>
      </c>
    </row>
    <row r="15" spans="1:4" x14ac:dyDescent="0.3">
      <c r="A15" s="3">
        <v>2020</v>
      </c>
      <c r="B15">
        <v>27</v>
      </c>
      <c r="C15">
        <v>29</v>
      </c>
      <c r="D15">
        <v>56</v>
      </c>
    </row>
    <row r="16" spans="1:4" x14ac:dyDescent="0.3">
      <c r="A16" s="3" t="s">
        <v>1602</v>
      </c>
      <c r="B16">
        <v>364</v>
      </c>
      <c r="C16">
        <v>435</v>
      </c>
      <c r="D16">
        <v>799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topLeftCell="A4" workbookViewId="0">
      <selection activeCell="B6" sqref="B6"/>
    </sheetView>
  </sheetViews>
  <sheetFormatPr defaultRowHeight="14.4" x14ac:dyDescent="0.3"/>
  <cols>
    <col min="1" max="1" width="17.5546875" bestFit="1" customWidth="1"/>
    <col min="2" max="2" width="10.88671875" bestFit="1" customWidth="1"/>
    <col min="3" max="232" width="8" bestFit="1" customWidth="1"/>
    <col min="233" max="800" width="7" bestFit="1" customWidth="1"/>
    <col min="801" max="801" width="7.33203125" bestFit="1" customWidth="1"/>
    <col min="802" max="802" width="11.33203125" bestFit="1" customWidth="1"/>
  </cols>
  <sheetData>
    <row r="1" spans="1:2" x14ac:dyDescent="0.3">
      <c r="A1" s="2" t="s">
        <v>1603</v>
      </c>
      <c r="B1" t="s">
        <v>1601</v>
      </c>
    </row>
    <row r="2" spans="1:2" x14ac:dyDescent="0.3">
      <c r="A2" s="3" t="s">
        <v>183</v>
      </c>
      <c r="B2">
        <v>37</v>
      </c>
    </row>
    <row r="3" spans="1:2" x14ac:dyDescent="0.3">
      <c r="A3" s="3" t="s">
        <v>155</v>
      </c>
      <c r="B3">
        <v>38</v>
      </c>
    </row>
    <row r="4" spans="1:2" x14ac:dyDescent="0.3">
      <c r="A4" s="3" t="s">
        <v>165</v>
      </c>
      <c r="B4">
        <v>77</v>
      </c>
    </row>
    <row r="5" spans="1:2" x14ac:dyDescent="0.3">
      <c r="A5" s="3" t="s">
        <v>57</v>
      </c>
      <c r="B5">
        <v>37</v>
      </c>
    </row>
    <row r="6" spans="1:2" x14ac:dyDescent="0.3">
      <c r="A6" s="3" t="s">
        <v>27</v>
      </c>
      <c r="B6">
        <v>51</v>
      </c>
    </row>
    <row r="7" spans="1:2" x14ac:dyDescent="0.3">
      <c r="A7" s="3" t="s">
        <v>44</v>
      </c>
      <c r="B7">
        <v>37</v>
      </c>
    </row>
    <row r="8" spans="1:2" x14ac:dyDescent="0.3">
      <c r="A8" s="3" t="s">
        <v>349</v>
      </c>
      <c r="B8">
        <v>53</v>
      </c>
    </row>
    <row r="9" spans="1:2" x14ac:dyDescent="0.3">
      <c r="A9" s="3" t="s">
        <v>1602</v>
      </c>
      <c r="B9">
        <v>330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3:B17"/>
  <sheetViews>
    <sheetView topLeftCell="D1" workbookViewId="0">
      <selection activeCell="B16" sqref="B16"/>
    </sheetView>
  </sheetViews>
  <sheetFormatPr defaultRowHeight="14.4" x14ac:dyDescent="0.3"/>
  <cols>
    <col min="1" max="1" width="24.33203125" bestFit="1" customWidth="1"/>
    <col min="2" max="2" width="15" bestFit="1" customWidth="1"/>
    <col min="3" max="3" width="15.88671875" bestFit="1" customWidth="1"/>
    <col min="4" max="4" width="13.33203125" bestFit="1" customWidth="1"/>
    <col min="5" max="5" width="12.5546875" bestFit="1" customWidth="1"/>
    <col min="6" max="6" width="19.33203125" bestFit="1" customWidth="1"/>
    <col min="7" max="7" width="20" bestFit="1" customWidth="1"/>
    <col min="8" max="8" width="15.44140625" bestFit="1" customWidth="1"/>
    <col min="9" max="9" width="13.88671875" bestFit="1" customWidth="1"/>
    <col min="10" max="10" width="12.33203125" bestFit="1" customWidth="1"/>
    <col min="11" max="11" width="15.88671875" bestFit="1" customWidth="1"/>
    <col min="12" max="12" width="21.6640625" bestFit="1" customWidth="1"/>
    <col min="13" max="13" width="26.5546875" bestFit="1" customWidth="1"/>
    <col min="14" max="14" width="19.44140625" bestFit="1" customWidth="1"/>
    <col min="15" max="15" width="7.33203125" bestFit="1" customWidth="1"/>
    <col min="16" max="16" width="11.33203125" bestFit="1" customWidth="1"/>
  </cols>
  <sheetData>
    <row r="3" spans="1:2" x14ac:dyDescent="0.3">
      <c r="A3" s="2" t="s">
        <v>1603</v>
      </c>
      <c r="B3" t="s">
        <v>1604</v>
      </c>
    </row>
    <row r="4" spans="1:2" x14ac:dyDescent="0.3">
      <c r="A4" s="3" t="s">
        <v>34</v>
      </c>
      <c r="B4">
        <v>93</v>
      </c>
    </row>
    <row r="5" spans="1:2" x14ac:dyDescent="0.3">
      <c r="A5" s="3" t="s">
        <v>56</v>
      </c>
      <c r="B5">
        <v>39</v>
      </c>
    </row>
    <row r="6" spans="1:2" x14ac:dyDescent="0.3">
      <c r="A6" s="3" t="s">
        <v>692</v>
      </c>
      <c r="B6">
        <v>99</v>
      </c>
    </row>
    <row r="7" spans="1:2" x14ac:dyDescent="0.3">
      <c r="A7" s="3" t="s">
        <v>551</v>
      </c>
      <c r="B7">
        <v>15</v>
      </c>
    </row>
    <row r="8" spans="1:2" x14ac:dyDescent="0.3">
      <c r="A8" s="3" t="s">
        <v>290</v>
      </c>
      <c r="B8">
        <v>7</v>
      </c>
    </row>
    <row r="9" spans="1:2" x14ac:dyDescent="0.3">
      <c r="A9" s="3" t="s">
        <v>22</v>
      </c>
      <c r="B9">
        <v>92</v>
      </c>
    </row>
    <row r="10" spans="1:2" x14ac:dyDescent="0.3">
      <c r="A10" s="3" t="s">
        <v>50</v>
      </c>
      <c r="B10">
        <v>95</v>
      </c>
    </row>
    <row r="11" spans="1:2" x14ac:dyDescent="0.3">
      <c r="A11" s="3" t="s">
        <v>292</v>
      </c>
      <c r="B11">
        <v>23</v>
      </c>
    </row>
    <row r="12" spans="1:2" x14ac:dyDescent="0.3">
      <c r="A12" s="3" t="s">
        <v>800</v>
      </c>
      <c r="B12">
        <v>92</v>
      </c>
    </row>
    <row r="13" spans="1:2" x14ac:dyDescent="0.3">
      <c r="A13" s="3" t="s">
        <v>42</v>
      </c>
      <c r="B13">
        <v>69</v>
      </c>
    </row>
    <row r="14" spans="1:2" x14ac:dyDescent="0.3">
      <c r="A14" s="3" t="s">
        <v>606</v>
      </c>
      <c r="B14">
        <v>14</v>
      </c>
    </row>
    <row r="15" spans="1:2" x14ac:dyDescent="0.3">
      <c r="A15" s="3" t="s">
        <v>21</v>
      </c>
      <c r="B15">
        <v>103</v>
      </c>
    </row>
    <row r="16" spans="1:2" x14ac:dyDescent="0.3">
      <c r="A16" s="3" t="s">
        <v>406</v>
      </c>
      <c r="B16">
        <v>58</v>
      </c>
    </row>
    <row r="17" spans="1:2" x14ac:dyDescent="0.3">
      <c r="A17" s="3" t="s">
        <v>1602</v>
      </c>
      <c r="B17">
        <v>799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3:B6"/>
  <sheetViews>
    <sheetView workbookViewId="0">
      <selection activeCell="M39" sqref="M39"/>
    </sheetView>
  </sheetViews>
  <sheetFormatPr defaultRowHeight="14.4" x14ac:dyDescent="0.3"/>
  <cols>
    <col min="1" max="1" width="12.5546875" bestFit="1" customWidth="1"/>
    <col min="2" max="2" width="15" bestFit="1" customWidth="1"/>
    <col min="3" max="3" width="15.88671875" bestFit="1" customWidth="1"/>
  </cols>
  <sheetData>
    <row r="3" spans="1:2" x14ac:dyDescent="0.3">
      <c r="A3" s="2" t="s">
        <v>1603</v>
      </c>
      <c r="B3" t="s">
        <v>1604</v>
      </c>
    </row>
    <row r="4" spans="1:2" x14ac:dyDescent="0.3">
      <c r="A4" s="3" t="s">
        <v>797</v>
      </c>
      <c r="B4">
        <v>364</v>
      </c>
    </row>
    <row r="5" spans="1:2" x14ac:dyDescent="0.3">
      <c r="A5" s="3" t="s">
        <v>803</v>
      </c>
      <c r="B5">
        <v>435</v>
      </c>
    </row>
    <row r="6" spans="1:2" x14ac:dyDescent="0.3">
      <c r="A6" s="3" t="s">
        <v>1602</v>
      </c>
      <c r="B6">
        <v>799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3:B16"/>
  <sheetViews>
    <sheetView workbookViewId="0">
      <selection activeCell="B7" sqref="B7"/>
    </sheetView>
  </sheetViews>
  <sheetFormatPr defaultRowHeight="14.4" x14ac:dyDescent="0.3"/>
  <cols>
    <col min="1" max="1" width="12.5546875" bestFit="1" customWidth="1"/>
    <col min="2" max="2" width="25.77734375" bestFit="1" customWidth="1"/>
    <col min="3" max="3" width="9.5546875" bestFit="1" customWidth="1"/>
    <col min="4" max="4" width="8.88671875" bestFit="1" customWidth="1"/>
    <col min="5" max="5" width="8.109375" bestFit="1" customWidth="1"/>
    <col min="6" max="6" width="8.44140625" bestFit="1" customWidth="1"/>
    <col min="7" max="7" width="7.5546875" bestFit="1" customWidth="1"/>
    <col min="8" max="8" width="10.6640625" bestFit="1" customWidth="1"/>
    <col min="9" max="9" width="8.5546875" bestFit="1" customWidth="1"/>
    <col min="10" max="10" width="16.44140625" bestFit="1" customWidth="1"/>
    <col min="11" max="11" width="12.88671875" bestFit="1" customWidth="1"/>
    <col min="12" max="12" width="9" bestFit="1" customWidth="1"/>
    <col min="13" max="13" width="11.33203125" bestFit="1" customWidth="1"/>
    <col min="14" max="14" width="9.33203125" bestFit="1" customWidth="1"/>
    <col min="15" max="15" width="15.6640625" bestFit="1" customWidth="1"/>
    <col min="16" max="16" width="12.33203125" bestFit="1" customWidth="1"/>
    <col min="17" max="17" width="10.33203125" bestFit="1" customWidth="1"/>
    <col min="18" max="18" width="8.109375" bestFit="1" customWidth="1"/>
    <col min="19" max="19" width="6.5546875" bestFit="1" customWidth="1"/>
    <col min="20" max="20" width="11.109375" bestFit="1" customWidth="1"/>
    <col min="21" max="21" width="7.6640625" bestFit="1" customWidth="1"/>
    <col min="22" max="22" width="8.44140625" bestFit="1" customWidth="1"/>
    <col min="23" max="23" width="9.88671875" bestFit="1" customWidth="1"/>
    <col min="24" max="24" width="10.5546875" bestFit="1" customWidth="1"/>
    <col min="25" max="25" width="10.33203125" bestFit="1" customWidth="1"/>
    <col min="26" max="26" width="15.6640625" bestFit="1" customWidth="1"/>
    <col min="27" max="27" width="8.33203125" bestFit="1" customWidth="1"/>
    <col min="28" max="28" width="5.6640625" bestFit="1" customWidth="1"/>
    <col min="29" max="29" width="10.109375" bestFit="1" customWidth="1"/>
    <col min="30" max="30" width="8.5546875" bestFit="1" customWidth="1"/>
    <col min="31" max="31" width="9.6640625" bestFit="1" customWidth="1"/>
    <col min="32" max="32" width="12.6640625" bestFit="1" customWidth="1"/>
    <col min="33" max="33" width="10.88671875" bestFit="1" customWidth="1"/>
    <col min="34" max="34" width="9" bestFit="1" customWidth="1"/>
    <col min="35" max="35" width="14.33203125" bestFit="1" customWidth="1"/>
    <col min="36" max="36" width="8" bestFit="1" customWidth="1"/>
    <col min="37" max="37" width="9" bestFit="1" customWidth="1"/>
    <col min="38" max="38" width="9.6640625" bestFit="1" customWidth="1"/>
    <col min="39" max="39" width="11.88671875" bestFit="1" customWidth="1"/>
    <col min="40" max="40" width="9.109375" bestFit="1" customWidth="1"/>
    <col min="41" max="41" width="9" bestFit="1" customWidth="1"/>
    <col min="42" max="43" width="13.5546875" bestFit="1" customWidth="1"/>
    <col min="44" max="44" width="9.109375" bestFit="1" customWidth="1"/>
    <col min="45" max="45" width="9.44140625" bestFit="1" customWidth="1"/>
    <col min="46" max="46" width="10.6640625" bestFit="1" customWidth="1"/>
    <col min="47" max="47" width="11.6640625" bestFit="1" customWidth="1"/>
    <col min="48" max="48" width="8.44140625" bestFit="1" customWidth="1"/>
    <col min="49" max="49" width="9.109375" bestFit="1" customWidth="1"/>
    <col min="50" max="50" width="9.6640625" bestFit="1" customWidth="1"/>
    <col min="51" max="51" width="11.33203125" bestFit="1" customWidth="1"/>
    <col min="52" max="52" width="9.6640625" bestFit="1" customWidth="1"/>
    <col min="53" max="53" width="9.88671875" bestFit="1" customWidth="1"/>
    <col min="54" max="54" width="10.5546875" bestFit="1" customWidth="1"/>
    <col min="55" max="55" width="18.88671875" bestFit="1" customWidth="1"/>
    <col min="56" max="56" width="9" bestFit="1" customWidth="1"/>
    <col min="57" max="57" width="9.6640625" bestFit="1" customWidth="1"/>
    <col min="58" max="58" width="11.44140625" bestFit="1" customWidth="1"/>
    <col min="59" max="59" width="11.109375" bestFit="1" customWidth="1"/>
    <col min="60" max="60" width="10.5546875" bestFit="1" customWidth="1"/>
    <col min="61" max="61" width="9.109375" bestFit="1" customWidth="1"/>
    <col min="62" max="62" width="11.88671875" bestFit="1" customWidth="1"/>
    <col min="63" max="63" width="9.44140625" bestFit="1" customWidth="1"/>
    <col min="64" max="64" width="9" bestFit="1" customWidth="1"/>
    <col min="65" max="65" width="11.33203125" bestFit="1" customWidth="1"/>
    <col min="66" max="66" width="15.44140625" bestFit="1" customWidth="1"/>
    <col min="67" max="67" width="14.109375" bestFit="1" customWidth="1"/>
    <col min="68" max="68" width="10.33203125" bestFit="1" customWidth="1"/>
    <col min="69" max="69" width="9.109375" bestFit="1" customWidth="1"/>
    <col min="70" max="70" width="10.44140625" bestFit="1" customWidth="1"/>
    <col min="71" max="71" width="9.109375" bestFit="1" customWidth="1"/>
    <col min="72" max="73" width="8.5546875" bestFit="1" customWidth="1"/>
    <col min="74" max="74" width="9.33203125" bestFit="1" customWidth="1"/>
    <col min="75" max="75" width="11" bestFit="1" customWidth="1"/>
    <col min="76" max="76" width="12.6640625" bestFit="1" customWidth="1"/>
    <col min="77" max="77" width="12" bestFit="1" customWidth="1"/>
    <col min="78" max="78" width="7.33203125" bestFit="1" customWidth="1"/>
    <col min="79" max="79" width="9.88671875" bestFit="1" customWidth="1"/>
    <col min="80" max="80" width="9.109375" bestFit="1" customWidth="1"/>
    <col min="81" max="81" width="9.44140625" bestFit="1" customWidth="1"/>
    <col min="82" max="82" width="8.5546875" bestFit="1" customWidth="1"/>
    <col min="83" max="83" width="10.88671875" bestFit="1" customWidth="1"/>
    <col min="84" max="84" width="9.44140625" bestFit="1" customWidth="1"/>
    <col min="85" max="85" width="11.44140625" bestFit="1" customWidth="1"/>
    <col min="86" max="86" width="8.109375" bestFit="1" customWidth="1"/>
    <col min="87" max="87" width="9.6640625" bestFit="1" customWidth="1"/>
    <col min="88" max="88" width="6.109375" bestFit="1" customWidth="1"/>
    <col min="89" max="89" width="11.6640625" bestFit="1" customWidth="1"/>
    <col min="90" max="90" width="10.109375" bestFit="1" customWidth="1"/>
    <col min="91" max="91" width="11" bestFit="1" customWidth="1"/>
    <col min="92" max="92" width="9" bestFit="1" customWidth="1"/>
    <col min="93" max="93" width="10.109375" bestFit="1" customWidth="1"/>
    <col min="94" max="94" width="13.6640625" bestFit="1" customWidth="1"/>
    <col min="95" max="95" width="10.109375" bestFit="1" customWidth="1"/>
    <col min="96" max="96" width="10.33203125" bestFit="1" customWidth="1"/>
    <col min="97" max="98" width="10.109375" bestFit="1" customWidth="1"/>
    <col min="99" max="99" width="7.44140625" bestFit="1" customWidth="1"/>
    <col min="100" max="100" width="8.44140625" bestFit="1" customWidth="1"/>
    <col min="101" max="101" width="10.44140625" bestFit="1" customWidth="1"/>
    <col min="102" max="102" width="9.5546875" bestFit="1" customWidth="1"/>
    <col min="103" max="103" width="16.88671875" bestFit="1" customWidth="1"/>
    <col min="104" max="104" width="12.33203125" bestFit="1" customWidth="1"/>
    <col min="105" max="105" width="13.88671875" bestFit="1" customWidth="1"/>
    <col min="106" max="106" width="14.33203125" bestFit="1" customWidth="1"/>
    <col min="107" max="107" width="10.44140625" bestFit="1" customWidth="1"/>
    <col min="108" max="108" width="7.109375" bestFit="1" customWidth="1"/>
    <col min="109" max="109" width="7" bestFit="1" customWidth="1"/>
    <col min="110" max="110" width="11.6640625" bestFit="1" customWidth="1"/>
    <col min="111" max="111" width="9.109375" bestFit="1" customWidth="1"/>
    <col min="112" max="112" width="13.5546875" bestFit="1" customWidth="1"/>
    <col min="113" max="113" width="9.33203125" bestFit="1" customWidth="1"/>
    <col min="114" max="114" width="10.88671875" bestFit="1" customWidth="1"/>
    <col min="115" max="115" width="8.44140625" bestFit="1" customWidth="1"/>
    <col min="116" max="116" width="9.6640625" bestFit="1" customWidth="1"/>
    <col min="117" max="117" width="15" bestFit="1" customWidth="1"/>
    <col min="118" max="119" width="7.6640625" bestFit="1" customWidth="1"/>
    <col min="120" max="120" width="8.5546875" bestFit="1" customWidth="1"/>
    <col min="121" max="121" width="11.6640625" bestFit="1" customWidth="1"/>
    <col min="122" max="122" width="8.88671875" bestFit="1" customWidth="1"/>
    <col min="123" max="123" width="15" bestFit="1" customWidth="1"/>
    <col min="124" max="124" width="13.6640625" bestFit="1" customWidth="1"/>
    <col min="125" max="125" width="10.6640625" bestFit="1" customWidth="1"/>
    <col min="126" max="126" width="11.6640625" bestFit="1" customWidth="1"/>
    <col min="127" max="127" width="13.109375" bestFit="1" customWidth="1"/>
    <col min="128" max="128" width="12" bestFit="1" customWidth="1"/>
    <col min="129" max="129" width="8.88671875" bestFit="1" customWidth="1"/>
    <col min="130" max="130" width="16.109375" bestFit="1" customWidth="1"/>
    <col min="131" max="131" width="11" bestFit="1" customWidth="1"/>
    <col min="132" max="132" width="10.33203125" bestFit="1" customWidth="1"/>
    <col min="133" max="133" width="10.88671875" bestFit="1" customWidth="1"/>
    <col min="134" max="134" width="9.6640625" bestFit="1" customWidth="1"/>
    <col min="135" max="135" width="11.6640625" bestFit="1" customWidth="1"/>
    <col min="136" max="136" width="12.109375" bestFit="1" customWidth="1"/>
    <col min="137" max="137" width="18" bestFit="1" customWidth="1"/>
    <col min="138" max="138" width="16.33203125" bestFit="1" customWidth="1"/>
    <col min="139" max="139" width="10.44140625" bestFit="1" customWidth="1"/>
    <col min="140" max="140" width="10" bestFit="1" customWidth="1"/>
    <col min="141" max="141" width="8.44140625" bestFit="1" customWidth="1"/>
    <col min="142" max="142" width="9.5546875" bestFit="1" customWidth="1"/>
    <col min="143" max="143" width="9" bestFit="1" customWidth="1"/>
    <col min="144" max="145" width="18.44140625" bestFit="1" customWidth="1"/>
    <col min="146" max="146" width="11.88671875" bestFit="1" customWidth="1"/>
    <col min="147" max="147" width="7.109375" bestFit="1" customWidth="1"/>
    <col min="148" max="148" width="15.88671875" bestFit="1" customWidth="1"/>
    <col min="149" max="150" width="8.33203125" bestFit="1" customWidth="1"/>
    <col min="151" max="151" width="6.6640625" bestFit="1" customWidth="1"/>
    <col min="152" max="152" width="15.6640625" bestFit="1" customWidth="1"/>
    <col min="153" max="153" width="8.44140625" bestFit="1" customWidth="1"/>
    <col min="154" max="154" width="11.109375" bestFit="1" customWidth="1"/>
    <col min="155" max="155" width="15.109375" bestFit="1" customWidth="1"/>
    <col min="156" max="156" width="11.5546875" bestFit="1" customWidth="1"/>
    <col min="157" max="157" width="7.88671875" bestFit="1" customWidth="1"/>
    <col min="158" max="158" width="10.109375" bestFit="1" customWidth="1"/>
    <col min="159" max="159" width="7.88671875" bestFit="1" customWidth="1"/>
    <col min="160" max="160" width="8.44140625" bestFit="1" customWidth="1"/>
    <col min="161" max="161" width="9.88671875" bestFit="1" customWidth="1"/>
    <col min="162" max="162" width="9.6640625" bestFit="1" customWidth="1"/>
    <col min="163" max="163" width="9.109375" bestFit="1" customWidth="1"/>
    <col min="164" max="164" width="8.109375" bestFit="1" customWidth="1"/>
    <col min="165" max="165" width="8.33203125" bestFit="1" customWidth="1"/>
    <col min="166" max="166" width="10.109375" bestFit="1" customWidth="1"/>
    <col min="167" max="167" width="9.109375" bestFit="1" customWidth="1"/>
    <col min="168" max="168" width="9.5546875" bestFit="1" customWidth="1"/>
    <col min="169" max="169" width="13.88671875" bestFit="1" customWidth="1"/>
    <col min="170" max="170" width="9.44140625" bestFit="1" customWidth="1"/>
    <col min="171" max="171" width="10.6640625" bestFit="1" customWidth="1"/>
    <col min="172" max="172" width="11.6640625" bestFit="1" customWidth="1"/>
    <col min="173" max="173" width="11.5546875" bestFit="1" customWidth="1"/>
    <col min="174" max="174" width="7.109375" bestFit="1" customWidth="1"/>
    <col min="175" max="175" width="10.5546875" bestFit="1" customWidth="1"/>
    <col min="176" max="176" width="8.44140625" bestFit="1" customWidth="1"/>
    <col min="177" max="177" width="8.5546875" bestFit="1" customWidth="1"/>
    <col min="178" max="178" width="7.6640625" bestFit="1" customWidth="1"/>
    <col min="179" max="179" width="9.6640625" bestFit="1" customWidth="1"/>
    <col min="180" max="180" width="11.44140625" bestFit="1" customWidth="1"/>
    <col min="181" max="181" width="10.5546875" bestFit="1" customWidth="1"/>
    <col min="182" max="182" width="9.33203125" bestFit="1" customWidth="1"/>
    <col min="183" max="183" width="11" bestFit="1" customWidth="1"/>
    <col min="184" max="184" width="9.5546875" bestFit="1" customWidth="1"/>
    <col min="185" max="185" width="7.6640625" bestFit="1" customWidth="1"/>
    <col min="186" max="186" width="10" bestFit="1" customWidth="1"/>
    <col min="187" max="187" width="7.33203125" bestFit="1" customWidth="1"/>
    <col min="188" max="188" width="11.33203125" bestFit="1" customWidth="1"/>
    <col min="189" max="189" width="12" bestFit="1" customWidth="1"/>
    <col min="190" max="190" width="9" bestFit="1" customWidth="1"/>
    <col min="191" max="191" width="15.88671875" bestFit="1" customWidth="1"/>
    <col min="192" max="192" width="8.5546875" bestFit="1" customWidth="1"/>
    <col min="193" max="193" width="8.6640625" bestFit="1" customWidth="1"/>
    <col min="194" max="194" width="10.88671875" bestFit="1" customWidth="1"/>
    <col min="195" max="195" width="9" bestFit="1" customWidth="1"/>
    <col min="196" max="196" width="15" bestFit="1" customWidth="1"/>
    <col min="197" max="197" width="12.33203125" bestFit="1" customWidth="1"/>
    <col min="198" max="198" width="13.44140625" bestFit="1" customWidth="1"/>
    <col min="199" max="199" width="12.88671875" bestFit="1" customWidth="1"/>
    <col min="200" max="200" width="8.44140625" bestFit="1" customWidth="1"/>
    <col min="201" max="201" width="9.6640625" bestFit="1" customWidth="1"/>
    <col min="202" max="202" width="9.5546875" bestFit="1" customWidth="1"/>
    <col min="203" max="203" width="10.44140625" bestFit="1" customWidth="1"/>
    <col min="204" max="204" width="10.109375" bestFit="1" customWidth="1"/>
    <col min="205" max="205" width="9.6640625" bestFit="1" customWidth="1"/>
    <col min="206" max="206" width="10.6640625" bestFit="1" customWidth="1"/>
    <col min="207" max="207" width="11.5546875" bestFit="1" customWidth="1"/>
    <col min="208" max="208" width="12.33203125" bestFit="1" customWidth="1"/>
    <col min="209" max="209" width="11.88671875" bestFit="1" customWidth="1"/>
    <col min="210" max="210" width="9.5546875" bestFit="1" customWidth="1"/>
    <col min="211" max="211" width="10" bestFit="1" customWidth="1"/>
    <col min="212" max="212" width="12.44140625" bestFit="1" customWidth="1"/>
    <col min="213" max="213" width="10.44140625" bestFit="1" customWidth="1"/>
    <col min="214" max="214" width="6.88671875" bestFit="1" customWidth="1"/>
    <col min="215" max="215" width="12.44140625" bestFit="1" customWidth="1"/>
    <col min="216" max="216" width="10.5546875" bestFit="1" customWidth="1"/>
    <col min="217" max="217" width="10.88671875" bestFit="1" customWidth="1"/>
    <col min="218" max="218" width="8.44140625" bestFit="1" customWidth="1"/>
    <col min="219" max="219" width="11.33203125" bestFit="1" customWidth="1"/>
    <col min="220" max="220" width="9.33203125" bestFit="1" customWidth="1"/>
    <col min="221" max="221" width="10.88671875" bestFit="1" customWidth="1"/>
    <col min="222" max="222" width="9.44140625" bestFit="1" customWidth="1"/>
    <col min="223" max="223" width="9.109375" bestFit="1" customWidth="1"/>
    <col min="224" max="224" width="7.33203125" bestFit="1" customWidth="1"/>
    <col min="225" max="225" width="9.5546875" bestFit="1" customWidth="1"/>
    <col min="226" max="226" width="9.109375" bestFit="1" customWidth="1"/>
    <col min="227" max="227" width="18.5546875" bestFit="1" customWidth="1"/>
    <col min="228" max="228" width="8.6640625" bestFit="1" customWidth="1"/>
    <col min="229" max="229" width="12" bestFit="1" customWidth="1"/>
    <col min="230" max="230" width="9.88671875" bestFit="1" customWidth="1"/>
    <col min="231" max="231" width="9.5546875" bestFit="1" customWidth="1"/>
    <col min="232" max="232" width="11.88671875" bestFit="1" customWidth="1"/>
    <col min="233" max="233" width="6.88671875" bestFit="1" customWidth="1"/>
    <col min="234" max="234" width="7.33203125" bestFit="1" customWidth="1"/>
    <col min="235" max="235" width="11.33203125" bestFit="1" customWidth="1"/>
    <col min="236" max="236" width="13.88671875" bestFit="1" customWidth="1"/>
    <col min="237" max="237" width="26.5546875" bestFit="1" customWidth="1"/>
    <col min="238" max="238" width="20.88671875" bestFit="1" customWidth="1"/>
    <col min="239" max="239" width="28.44140625" bestFit="1" customWidth="1"/>
    <col min="240" max="240" width="19.33203125" bestFit="1" customWidth="1"/>
    <col min="241" max="241" width="20" bestFit="1" customWidth="1"/>
    <col min="242" max="242" width="15.44140625" bestFit="1" customWidth="1"/>
    <col min="243" max="243" width="13.88671875" bestFit="1" customWidth="1"/>
    <col min="244" max="244" width="12.33203125" bestFit="1" customWidth="1"/>
    <col min="245" max="245" width="31.5546875" bestFit="1" customWidth="1"/>
    <col min="246" max="246" width="9.88671875" bestFit="1" customWidth="1"/>
    <col min="247" max="247" width="21.109375" bestFit="1" customWidth="1"/>
    <col min="248" max="248" width="13.33203125" bestFit="1" customWidth="1"/>
    <col min="249" max="249" width="20" bestFit="1" customWidth="1"/>
    <col min="250" max="250" width="15.44140625" bestFit="1" customWidth="1"/>
    <col min="251" max="251" width="13.88671875" bestFit="1" customWidth="1"/>
    <col min="252" max="252" width="12.33203125" bestFit="1" customWidth="1"/>
    <col min="253" max="253" width="15.88671875" bestFit="1" customWidth="1"/>
    <col min="254" max="254" width="26.5546875" bestFit="1" customWidth="1"/>
    <col min="255" max="255" width="24.33203125" bestFit="1" customWidth="1"/>
    <col min="256" max="256" width="19.33203125" bestFit="1" customWidth="1"/>
    <col min="257" max="257" width="13.33203125" bestFit="1" customWidth="1"/>
    <col min="258" max="258" width="20" bestFit="1" customWidth="1"/>
    <col min="259" max="259" width="15.44140625" bestFit="1" customWidth="1"/>
    <col min="260" max="260" width="13.88671875" bestFit="1" customWidth="1"/>
    <col min="261" max="261" width="12.33203125" bestFit="1" customWidth="1"/>
    <col min="262" max="262" width="15.88671875" bestFit="1" customWidth="1"/>
    <col min="263" max="263" width="26.5546875" bestFit="1" customWidth="1"/>
    <col min="264" max="264" width="20.5546875" bestFit="1" customWidth="1"/>
    <col min="265" max="265" width="19.33203125" bestFit="1" customWidth="1"/>
    <col min="266" max="266" width="15.5546875" bestFit="1" customWidth="1"/>
    <col min="267" max="267" width="20" bestFit="1" customWidth="1"/>
    <col min="268" max="268" width="15.44140625" bestFit="1" customWidth="1"/>
    <col min="269" max="269" width="13.88671875" bestFit="1" customWidth="1"/>
    <col min="270" max="270" width="12.33203125" bestFit="1" customWidth="1"/>
    <col min="271" max="271" width="15.88671875" bestFit="1" customWidth="1"/>
    <col min="272" max="272" width="26.5546875" bestFit="1" customWidth="1"/>
    <col min="273" max="273" width="18.33203125" bestFit="1" customWidth="1"/>
    <col min="274" max="274" width="21.88671875" bestFit="1" customWidth="1"/>
    <col min="275" max="275" width="13.33203125" bestFit="1" customWidth="1"/>
    <col min="276" max="276" width="15.44140625" bestFit="1" customWidth="1"/>
    <col min="277" max="277" width="13.88671875" bestFit="1" customWidth="1"/>
    <col min="278" max="278" width="12.33203125" bestFit="1" customWidth="1"/>
    <col min="279" max="279" width="15.88671875" bestFit="1" customWidth="1"/>
    <col min="280" max="280" width="26.5546875" bestFit="1" customWidth="1"/>
    <col min="281" max="281" width="25" bestFit="1" customWidth="1"/>
    <col min="282" max="282" width="19.33203125" bestFit="1" customWidth="1"/>
    <col min="283" max="283" width="15.5546875" bestFit="1" customWidth="1"/>
    <col min="284" max="284" width="13.33203125" bestFit="1" customWidth="1"/>
    <col min="285" max="285" width="20" bestFit="1" customWidth="1"/>
    <col min="286" max="286" width="13.88671875" bestFit="1" customWidth="1"/>
    <col min="287" max="287" width="12.33203125" bestFit="1" customWidth="1"/>
    <col min="288" max="288" width="15.88671875" bestFit="1" customWidth="1"/>
    <col min="289" max="289" width="26.5546875" bestFit="1" customWidth="1"/>
    <col min="290" max="290" width="20.44140625" bestFit="1" customWidth="1"/>
    <col min="291" max="291" width="19.33203125" bestFit="1" customWidth="1"/>
    <col min="292" max="292" width="15.5546875" bestFit="1" customWidth="1"/>
    <col min="293" max="293" width="13.33203125" bestFit="1" customWidth="1"/>
    <col min="294" max="294" width="20" bestFit="1" customWidth="1"/>
    <col min="295" max="295" width="15.44140625" bestFit="1" customWidth="1"/>
    <col min="296" max="296" width="12.33203125" bestFit="1" customWidth="1"/>
    <col min="297" max="297" width="15.88671875" bestFit="1" customWidth="1"/>
    <col min="298" max="298" width="26.5546875" bestFit="1" customWidth="1"/>
    <col min="299" max="299" width="18.88671875" bestFit="1" customWidth="1"/>
    <col min="300" max="300" width="19.33203125" bestFit="1" customWidth="1"/>
    <col min="301" max="301" width="15.5546875" bestFit="1" customWidth="1"/>
    <col min="302" max="302" width="13.33203125" bestFit="1" customWidth="1"/>
    <col min="303" max="303" width="20" bestFit="1" customWidth="1"/>
    <col min="304" max="304" width="15.44140625" bestFit="1" customWidth="1"/>
    <col min="305" max="305" width="13.88671875" bestFit="1" customWidth="1"/>
    <col min="306" max="306" width="15.88671875" bestFit="1" customWidth="1"/>
    <col min="307" max="307" width="26.5546875" bestFit="1" customWidth="1"/>
    <col min="308" max="308" width="17.44140625" bestFit="1" customWidth="1"/>
    <col min="309" max="309" width="19.33203125" bestFit="1" customWidth="1"/>
    <col min="310" max="310" width="15.5546875" bestFit="1" customWidth="1"/>
    <col min="311" max="311" width="13.33203125" bestFit="1" customWidth="1"/>
    <col min="312" max="312" width="20" bestFit="1" customWidth="1"/>
    <col min="313" max="313" width="15.44140625" bestFit="1" customWidth="1"/>
    <col min="314" max="314" width="13.88671875" bestFit="1" customWidth="1"/>
    <col min="315" max="315" width="12.33203125" bestFit="1" customWidth="1"/>
    <col min="316" max="316" width="26.5546875" bestFit="1" customWidth="1"/>
    <col min="317" max="317" width="20.88671875" bestFit="1" customWidth="1"/>
    <col min="318" max="318" width="28.44140625" bestFit="1" customWidth="1"/>
    <col min="319" max="319" width="13.33203125" bestFit="1" customWidth="1"/>
    <col min="320" max="320" width="20" bestFit="1" customWidth="1"/>
    <col min="321" max="321" width="15.44140625" bestFit="1" customWidth="1"/>
    <col min="322" max="322" width="13.88671875" bestFit="1" customWidth="1"/>
    <col min="323" max="323" width="12.33203125" bestFit="1" customWidth="1"/>
    <col min="324" max="324" width="15.88671875" bestFit="1" customWidth="1"/>
    <col min="325" max="325" width="31.5546875" bestFit="1" customWidth="1"/>
    <col min="326" max="326" width="9.88671875" bestFit="1" customWidth="1"/>
    <col min="327" max="327" width="21.109375" bestFit="1" customWidth="1"/>
    <col min="328" max="328" width="20" bestFit="1" customWidth="1"/>
    <col min="329" max="329" width="15.44140625" bestFit="1" customWidth="1"/>
    <col min="330" max="330" width="13.88671875" bestFit="1" customWidth="1"/>
    <col min="331" max="331" width="12.33203125" bestFit="1" customWidth="1"/>
    <col min="332" max="332" width="15.88671875" bestFit="1" customWidth="1"/>
    <col min="333" max="333" width="26.5546875" bestFit="1" customWidth="1"/>
    <col min="334" max="334" width="19.44140625" bestFit="1" customWidth="1"/>
    <col min="335" max="335" width="24.33203125" bestFit="1" customWidth="1"/>
    <col min="336" max="336" width="19.33203125" bestFit="1" customWidth="1"/>
    <col min="337" max="337" width="20" bestFit="1" customWidth="1"/>
    <col min="338" max="338" width="15.44140625" bestFit="1" customWidth="1"/>
    <col min="339" max="339" width="13.88671875" bestFit="1" customWidth="1"/>
    <col min="340" max="340" width="12.33203125" bestFit="1" customWidth="1"/>
    <col min="341" max="341" width="15.88671875" bestFit="1" customWidth="1"/>
    <col min="342" max="342" width="26.5546875" bestFit="1" customWidth="1"/>
    <col min="343" max="343" width="19.44140625" bestFit="1" customWidth="1"/>
    <col min="344" max="344" width="18.33203125" bestFit="1" customWidth="1"/>
    <col min="345" max="345" width="21.88671875" bestFit="1" customWidth="1"/>
    <col min="346" max="346" width="13.33203125" bestFit="1" customWidth="1"/>
    <col min="347" max="347" width="15.44140625" bestFit="1" customWidth="1"/>
    <col min="348" max="348" width="13.88671875" bestFit="1" customWidth="1"/>
    <col min="349" max="349" width="12.33203125" bestFit="1" customWidth="1"/>
    <col min="350" max="350" width="15.88671875" bestFit="1" customWidth="1"/>
    <col min="351" max="351" width="26.5546875" bestFit="1" customWidth="1"/>
    <col min="352" max="352" width="19.44140625" bestFit="1" customWidth="1"/>
    <col min="353" max="353" width="25" bestFit="1" customWidth="1"/>
    <col min="354" max="354" width="19.33203125" bestFit="1" customWidth="1"/>
    <col min="355" max="355" width="13.33203125" bestFit="1" customWidth="1"/>
    <col min="356" max="356" width="20" bestFit="1" customWidth="1"/>
    <col min="357" max="357" width="13.88671875" bestFit="1" customWidth="1"/>
    <col min="358" max="358" width="12.33203125" bestFit="1" customWidth="1"/>
    <col min="359" max="359" width="15.88671875" bestFit="1" customWidth="1"/>
    <col min="360" max="360" width="26.5546875" bestFit="1" customWidth="1"/>
    <col min="361" max="361" width="19.44140625" bestFit="1" customWidth="1"/>
    <col min="362" max="362" width="20.44140625" bestFit="1" customWidth="1"/>
    <col min="363" max="363" width="19.33203125" bestFit="1" customWidth="1"/>
    <col min="364" max="364" width="13.33203125" bestFit="1" customWidth="1"/>
    <col min="365" max="365" width="20" bestFit="1" customWidth="1"/>
    <col min="366" max="366" width="15.44140625" bestFit="1" customWidth="1"/>
    <col min="367" max="367" width="12.33203125" bestFit="1" customWidth="1"/>
    <col min="368" max="368" width="15.88671875" bestFit="1" customWidth="1"/>
    <col min="369" max="369" width="26.5546875" bestFit="1" customWidth="1"/>
    <col min="370" max="370" width="19.44140625" bestFit="1" customWidth="1"/>
    <col min="371" max="371" width="18.88671875" bestFit="1" customWidth="1"/>
    <col min="372" max="372" width="19.33203125" bestFit="1" customWidth="1"/>
    <col min="373" max="373" width="13.33203125" bestFit="1" customWidth="1"/>
    <col min="374" max="374" width="20" bestFit="1" customWidth="1"/>
    <col min="375" max="375" width="15.44140625" bestFit="1" customWidth="1"/>
    <col min="376" max="376" width="13.88671875" bestFit="1" customWidth="1"/>
    <col min="377" max="377" width="15.88671875" bestFit="1" customWidth="1"/>
    <col min="378" max="378" width="26.5546875" bestFit="1" customWidth="1"/>
    <col min="379" max="379" width="19.44140625" bestFit="1" customWidth="1"/>
    <col min="380" max="380" width="17.44140625" bestFit="1" customWidth="1"/>
    <col min="381" max="381" width="19.33203125" bestFit="1" customWidth="1"/>
    <col min="382" max="382" width="13.33203125" bestFit="1" customWidth="1"/>
    <col min="383" max="383" width="20" bestFit="1" customWidth="1"/>
    <col min="384" max="384" width="15.44140625" bestFit="1" customWidth="1"/>
    <col min="385" max="385" width="13.88671875" bestFit="1" customWidth="1"/>
    <col min="386" max="386" width="12.33203125" bestFit="1" customWidth="1"/>
    <col min="387" max="387" width="26.5546875" bestFit="1" customWidth="1"/>
    <col min="388" max="388" width="19.44140625" bestFit="1" customWidth="1"/>
    <col min="389" max="389" width="20.88671875" bestFit="1" customWidth="1"/>
    <col min="390" max="390" width="28.44140625" bestFit="1" customWidth="1"/>
    <col min="391" max="391" width="20" bestFit="1" customWidth="1"/>
    <col min="392" max="392" width="15.44140625" bestFit="1" customWidth="1"/>
    <col min="393" max="393" width="13.88671875" bestFit="1" customWidth="1"/>
    <col min="394" max="394" width="12.33203125" bestFit="1" customWidth="1"/>
    <col min="395" max="395" width="15.88671875" bestFit="1" customWidth="1"/>
    <col min="396" max="396" width="19.44140625" bestFit="1" customWidth="1"/>
    <col min="397" max="397" width="31.5546875" bestFit="1" customWidth="1"/>
    <col min="398" max="398" width="21.33203125" bestFit="1" customWidth="1"/>
    <col min="399" max="399" width="13.33203125" bestFit="1" customWidth="1"/>
    <col min="400" max="400" width="20" bestFit="1" customWidth="1"/>
    <col min="401" max="401" width="15.44140625" bestFit="1" customWidth="1"/>
    <col min="402" max="402" width="13.88671875" bestFit="1" customWidth="1"/>
    <col min="403" max="403" width="12.33203125" bestFit="1" customWidth="1"/>
    <col min="404" max="404" width="15.88671875" bestFit="1" customWidth="1"/>
    <col min="405" max="405" width="24.44140625" bestFit="1" customWidth="1"/>
    <col min="406" max="406" width="9.88671875" bestFit="1" customWidth="1"/>
    <col min="407" max="407" width="21.109375" bestFit="1" customWidth="1"/>
    <col min="408" max="408" width="20" bestFit="1" customWidth="1"/>
    <col min="409" max="409" width="15.44140625" bestFit="1" customWidth="1"/>
    <col min="410" max="410" width="12.33203125" bestFit="1" customWidth="1"/>
    <col min="411" max="411" width="15.88671875" bestFit="1" customWidth="1"/>
    <col min="412" max="412" width="26.5546875" bestFit="1" customWidth="1"/>
    <col min="413" max="413" width="19.44140625" bestFit="1" customWidth="1"/>
    <col min="414" max="414" width="24.33203125" bestFit="1" customWidth="1"/>
    <col min="415" max="415" width="19.33203125" bestFit="1" customWidth="1"/>
    <col min="416" max="416" width="20" bestFit="1" customWidth="1"/>
    <col min="417" max="417" width="15.44140625" bestFit="1" customWidth="1"/>
    <col min="418" max="418" width="12.33203125" bestFit="1" customWidth="1"/>
    <col min="419" max="419" width="15.88671875" bestFit="1" customWidth="1"/>
    <col min="420" max="420" width="26.5546875" bestFit="1" customWidth="1"/>
    <col min="421" max="421" width="19.44140625" bestFit="1" customWidth="1"/>
    <col min="422" max="422" width="18.33203125" bestFit="1" customWidth="1"/>
    <col min="423" max="423" width="21.88671875" bestFit="1" customWidth="1"/>
    <col min="424" max="424" width="13.33203125" bestFit="1" customWidth="1"/>
    <col min="425" max="425" width="15.44140625" bestFit="1" customWidth="1"/>
    <col min="426" max="426" width="12.33203125" bestFit="1" customWidth="1"/>
    <col min="427" max="427" width="26.5546875" bestFit="1" customWidth="1"/>
    <col min="428" max="428" width="19.44140625" bestFit="1" customWidth="1"/>
    <col min="429" max="429" width="25" bestFit="1" customWidth="1"/>
    <col min="430" max="430" width="19.33203125" bestFit="1" customWidth="1"/>
    <col min="431" max="431" width="13.33203125" bestFit="1" customWidth="1"/>
    <col min="432" max="432" width="20" bestFit="1" customWidth="1"/>
    <col min="433" max="433" width="12.33203125" bestFit="1" customWidth="1"/>
    <col min="434" max="434" width="15.88671875" bestFit="1" customWidth="1"/>
    <col min="435" max="435" width="26.5546875" bestFit="1" customWidth="1"/>
    <col min="436" max="436" width="19.44140625" bestFit="1" customWidth="1"/>
    <col min="437" max="437" width="20.44140625" bestFit="1" customWidth="1"/>
    <col min="438" max="438" width="19.33203125" bestFit="1" customWidth="1"/>
    <col min="439" max="439" width="13.33203125" bestFit="1" customWidth="1"/>
    <col min="440" max="440" width="20" bestFit="1" customWidth="1"/>
    <col min="441" max="441" width="15.44140625" bestFit="1" customWidth="1"/>
    <col min="442" max="442" width="15.88671875" bestFit="1" customWidth="1"/>
    <col min="443" max="443" width="26.5546875" bestFit="1" customWidth="1"/>
    <col min="444" max="444" width="19.44140625" bestFit="1" customWidth="1"/>
    <col min="445" max="445" width="17.44140625" bestFit="1" customWidth="1"/>
    <col min="446" max="446" width="19.33203125" bestFit="1" customWidth="1"/>
    <col min="447" max="447" width="13.33203125" bestFit="1" customWidth="1"/>
    <col min="448" max="448" width="20" bestFit="1" customWidth="1"/>
    <col min="449" max="449" width="15.44140625" bestFit="1" customWidth="1"/>
    <col min="450" max="450" width="12.33203125" bestFit="1" customWidth="1"/>
    <col min="451" max="451" width="26.5546875" bestFit="1" customWidth="1"/>
    <col min="452" max="452" width="19.44140625" bestFit="1" customWidth="1"/>
    <col min="453" max="453" width="20.88671875" bestFit="1" customWidth="1"/>
    <col min="454" max="454" width="28.44140625" bestFit="1" customWidth="1"/>
    <col min="455" max="455" width="13.33203125" bestFit="1" customWidth="1"/>
    <col min="456" max="456" width="20" bestFit="1" customWidth="1"/>
    <col min="457" max="457" width="15.44140625" bestFit="1" customWidth="1"/>
    <col min="458" max="458" width="12.33203125" bestFit="1" customWidth="1"/>
    <col min="459" max="459" width="15.88671875" bestFit="1" customWidth="1"/>
    <col min="460" max="460" width="19.44140625" bestFit="1" customWidth="1"/>
    <col min="461" max="461" width="31.5546875" bestFit="1" customWidth="1"/>
    <col min="462" max="462" width="21.33203125" bestFit="1" customWidth="1"/>
    <col min="463" max="463" width="13.33203125" bestFit="1" customWidth="1"/>
    <col min="464" max="464" width="20" bestFit="1" customWidth="1"/>
    <col min="465" max="465" width="15.44140625" bestFit="1" customWidth="1"/>
    <col min="466" max="466" width="12.33203125" bestFit="1" customWidth="1"/>
    <col min="467" max="467" width="15.88671875" bestFit="1" customWidth="1"/>
    <col min="468" max="468" width="26.5546875" bestFit="1" customWidth="1"/>
    <col min="469" max="469" width="24.44140625" bestFit="1" customWidth="1"/>
    <col min="470" max="470" width="9.88671875" bestFit="1" customWidth="1"/>
    <col min="471" max="471" width="21.109375" bestFit="1" customWidth="1"/>
    <col min="472" max="472" width="20" bestFit="1" customWidth="1"/>
    <col min="473" max="473" width="15.44140625" bestFit="1" customWidth="1"/>
    <col min="474" max="474" width="12.33203125" bestFit="1" customWidth="1"/>
    <col min="475" max="475" width="15.88671875" bestFit="1" customWidth="1"/>
    <col min="476" max="476" width="26.5546875" bestFit="1" customWidth="1"/>
    <col min="477" max="477" width="19.44140625" bestFit="1" customWidth="1"/>
    <col min="478" max="478" width="24.33203125" bestFit="1" customWidth="1"/>
    <col min="479" max="479" width="19.33203125" bestFit="1" customWidth="1"/>
    <col min="480" max="480" width="20" bestFit="1" customWidth="1"/>
    <col min="481" max="481" width="15.44140625" bestFit="1" customWidth="1"/>
    <col min="482" max="482" width="12.33203125" bestFit="1" customWidth="1"/>
    <col min="483" max="483" width="15.88671875" bestFit="1" customWidth="1"/>
    <col min="484" max="484" width="26.5546875" bestFit="1" customWidth="1"/>
    <col min="485" max="485" width="19.44140625" bestFit="1" customWidth="1"/>
    <col min="486" max="486" width="18.33203125" bestFit="1" customWidth="1"/>
    <col min="487" max="487" width="21.88671875" bestFit="1" customWidth="1"/>
    <col min="488" max="488" width="13.33203125" bestFit="1" customWidth="1"/>
    <col min="489" max="489" width="15.44140625" bestFit="1" customWidth="1"/>
    <col min="490" max="490" width="12.33203125" bestFit="1" customWidth="1"/>
    <col min="491" max="491" width="26.5546875" bestFit="1" customWidth="1"/>
    <col min="492" max="492" width="19.44140625" bestFit="1" customWidth="1"/>
    <col min="493" max="493" width="25" bestFit="1" customWidth="1"/>
    <col min="494" max="494" width="19.33203125" bestFit="1" customWidth="1"/>
    <col min="495" max="495" width="13.33203125" bestFit="1" customWidth="1"/>
    <col min="496" max="496" width="20" bestFit="1" customWidth="1"/>
    <col min="497" max="497" width="12.33203125" bestFit="1" customWidth="1"/>
    <col min="498" max="498" width="15.88671875" bestFit="1" customWidth="1"/>
    <col min="499" max="499" width="26.5546875" bestFit="1" customWidth="1"/>
    <col min="500" max="500" width="19.44140625" bestFit="1" customWidth="1"/>
    <col min="501" max="501" width="20.44140625" bestFit="1" customWidth="1"/>
    <col min="502" max="502" width="19.33203125" bestFit="1" customWidth="1"/>
    <col min="503" max="503" width="13.33203125" bestFit="1" customWidth="1"/>
    <col min="504" max="504" width="20" bestFit="1" customWidth="1"/>
    <col min="505" max="505" width="15.44140625" bestFit="1" customWidth="1"/>
    <col min="506" max="506" width="15.88671875" bestFit="1" customWidth="1"/>
    <col min="507" max="507" width="26.5546875" bestFit="1" customWidth="1"/>
    <col min="508" max="508" width="19.44140625" bestFit="1" customWidth="1"/>
    <col min="509" max="509" width="17.44140625" bestFit="1" customWidth="1"/>
    <col min="510" max="510" width="19.33203125" bestFit="1" customWidth="1"/>
    <col min="511" max="511" width="13.33203125" bestFit="1" customWidth="1"/>
    <col min="512" max="512" width="20" bestFit="1" customWidth="1"/>
    <col min="513" max="513" width="15.44140625" bestFit="1" customWidth="1"/>
    <col min="514" max="514" width="26.5546875" bestFit="1" customWidth="1"/>
    <col min="515" max="515" width="19.44140625" bestFit="1" customWidth="1"/>
    <col min="516" max="516" width="20.88671875" bestFit="1" customWidth="1"/>
    <col min="517" max="517" width="28.44140625" bestFit="1" customWidth="1"/>
    <col min="518" max="518" width="20" bestFit="1" customWidth="1"/>
    <col min="519" max="519" width="15.44140625" bestFit="1" customWidth="1"/>
    <col min="520" max="520" width="12.33203125" bestFit="1" customWidth="1"/>
    <col min="521" max="521" width="15.88671875" bestFit="1" customWidth="1"/>
    <col min="522" max="522" width="19.44140625" bestFit="1" customWidth="1"/>
    <col min="523" max="523" width="31.5546875" bestFit="1" customWidth="1"/>
    <col min="524" max="524" width="21.33203125" bestFit="1" customWidth="1"/>
    <col min="525" max="525" width="13.33203125" bestFit="1" customWidth="1"/>
    <col min="526" max="526" width="20" bestFit="1" customWidth="1"/>
    <col min="527" max="527" width="15.44140625" bestFit="1" customWidth="1"/>
    <col min="528" max="528" width="12.33203125" bestFit="1" customWidth="1"/>
    <col min="529" max="529" width="15.88671875" bestFit="1" customWidth="1"/>
    <col min="530" max="530" width="26.5546875" bestFit="1" customWidth="1"/>
    <col min="531" max="531" width="24.44140625" bestFit="1" customWidth="1"/>
    <col min="532" max="532" width="9.88671875" bestFit="1" customWidth="1"/>
    <col min="533" max="533" width="15.109375" bestFit="1" customWidth="1"/>
    <col min="534" max="534" width="20" bestFit="1" customWidth="1"/>
    <col min="535" max="535" width="15.44140625" bestFit="1" customWidth="1"/>
    <col min="536" max="536" width="12.33203125" bestFit="1" customWidth="1"/>
    <col min="537" max="537" width="21.6640625" bestFit="1" customWidth="1"/>
    <col min="538" max="538" width="26.5546875" bestFit="1" customWidth="1"/>
    <col min="539" max="539" width="19.44140625" bestFit="1" customWidth="1"/>
    <col min="540" max="540" width="18.33203125" bestFit="1" customWidth="1"/>
    <col min="541" max="541" width="14.44140625" bestFit="1" customWidth="1"/>
    <col min="542" max="542" width="20" bestFit="1" customWidth="1"/>
    <col min="543" max="543" width="15.44140625" bestFit="1" customWidth="1"/>
    <col min="544" max="544" width="12.33203125" bestFit="1" customWidth="1"/>
    <col min="545" max="545" width="21.6640625" bestFit="1" customWidth="1"/>
    <col min="546" max="546" width="26.5546875" bestFit="1" customWidth="1"/>
    <col min="547" max="547" width="19.44140625" bestFit="1" customWidth="1"/>
    <col min="548" max="548" width="17.6640625" bestFit="1" customWidth="1"/>
    <col min="549" max="549" width="21.88671875" bestFit="1" customWidth="1"/>
    <col min="550" max="550" width="12.5546875" bestFit="1" customWidth="1"/>
    <col min="551" max="551" width="15.44140625" bestFit="1" customWidth="1"/>
    <col min="552" max="552" width="12.33203125" bestFit="1" customWidth="1"/>
    <col min="553" max="553" width="21.6640625" bestFit="1" customWidth="1"/>
    <col min="554" max="554" width="26.5546875" bestFit="1" customWidth="1"/>
    <col min="555" max="555" width="19.44140625" bestFit="1" customWidth="1"/>
    <col min="556" max="556" width="25" bestFit="1" customWidth="1"/>
    <col min="557" max="557" width="17.33203125" bestFit="1" customWidth="1"/>
    <col min="558" max="558" width="12.5546875" bestFit="1" customWidth="1"/>
    <col min="559" max="559" width="20" bestFit="1" customWidth="1"/>
    <col min="560" max="560" width="12.33203125" bestFit="1" customWidth="1"/>
    <col min="561" max="561" width="21.6640625" bestFit="1" customWidth="1"/>
    <col min="562" max="562" width="26.5546875" bestFit="1" customWidth="1"/>
    <col min="563" max="563" width="19.44140625" bestFit="1" customWidth="1"/>
    <col min="564" max="564" width="20.44140625" bestFit="1" customWidth="1"/>
    <col min="565" max="565" width="14.109375" bestFit="1" customWidth="1"/>
    <col min="566" max="566" width="12.5546875" bestFit="1" customWidth="1"/>
    <col min="567" max="567" width="20" bestFit="1" customWidth="1"/>
    <col min="568" max="568" width="15.44140625" bestFit="1" customWidth="1"/>
    <col min="569" max="569" width="21.6640625" bestFit="1" customWidth="1"/>
    <col min="570" max="570" width="26.5546875" bestFit="1" customWidth="1"/>
    <col min="571" max="571" width="19.44140625" bestFit="1" customWidth="1"/>
    <col min="572" max="572" width="17.44140625" bestFit="1" customWidth="1"/>
    <col min="573" max="573" width="23.5546875" bestFit="1" customWidth="1"/>
    <col min="574" max="574" width="12.5546875" bestFit="1" customWidth="1"/>
    <col min="575" max="575" width="20" bestFit="1" customWidth="1"/>
    <col min="576" max="576" width="15.44140625" bestFit="1" customWidth="1"/>
    <col min="577" max="577" width="12.33203125" bestFit="1" customWidth="1"/>
    <col min="578" max="578" width="26.5546875" bestFit="1" customWidth="1"/>
    <col min="579" max="579" width="19.44140625" bestFit="1" customWidth="1"/>
    <col min="580" max="580" width="26.6640625" bestFit="1" customWidth="1"/>
    <col min="581" max="581" width="28.44140625" bestFit="1" customWidth="1"/>
    <col min="582" max="582" width="12.5546875" bestFit="1" customWidth="1"/>
    <col min="583" max="583" width="20" bestFit="1" customWidth="1"/>
    <col min="584" max="584" width="15.44140625" bestFit="1" customWidth="1"/>
    <col min="585" max="585" width="12.33203125" bestFit="1" customWidth="1"/>
    <col min="586" max="586" width="21.6640625" bestFit="1" customWidth="1"/>
    <col min="587" max="587" width="19.44140625" bestFit="1" customWidth="1"/>
    <col min="588" max="588" width="31.5546875" bestFit="1" customWidth="1"/>
    <col min="589" max="589" width="21.33203125" bestFit="1" customWidth="1"/>
    <col min="590" max="590" width="12.5546875" bestFit="1" customWidth="1"/>
    <col min="591" max="591" width="20" bestFit="1" customWidth="1"/>
    <col min="592" max="592" width="15.44140625" bestFit="1" customWidth="1"/>
    <col min="593" max="593" width="12.33203125" bestFit="1" customWidth="1"/>
    <col min="594" max="594" width="21.6640625" bestFit="1" customWidth="1"/>
    <col min="595" max="595" width="26.5546875" bestFit="1" customWidth="1"/>
    <col min="596" max="596" width="24.44140625" bestFit="1" customWidth="1"/>
    <col min="597" max="597" width="9.88671875" bestFit="1" customWidth="1"/>
    <col min="598" max="598" width="15.109375" bestFit="1" customWidth="1"/>
    <col min="599" max="599" width="20" bestFit="1" customWidth="1"/>
    <col min="600" max="600" width="15.44140625" bestFit="1" customWidth="1"/>
    <col min="601" max="601" width="12.33203125" bestFit="1" customWidth="1"/>
    <col min="602" max="602" width="21.6640625" bestFit="1" customWidth="1"/>
    <col min="603" max="603" width="26.5546875" bestFit="1" customWidth="1"/>
    <col min="604" max="604" width="19.44140625" bestFit="1" customWidth="1"/>
    <col min="605" max="605" width="18.33203125" bestFit="1" customWidth="1"/>
    <col min="606" max="606" width="14.44140625" bestFit="1" customWidth="1"/>
    <col min="607" max="607" width="20" bestFit="1" customWidth="1"/>
    <col min="608" max="608" width="12.33203125" bestFit="1" customWidth="1"/>
    <col min="609" max="609" width="21.6640625" bestFit="1" customWidth="1"/>
    <col min="610" max="610" width="26.5546875" bestFit="1" customWidth="1"/>
    <col min="611" max="611" width="19.44140625" bestFit="1" customWidth="1"/>
    <col min="612" max="612" width="17.6640625" bestFit="1" customWidth="1"/>
    <col min="613" max="613" width="21.88671875" bestFit="1" customWidth="1"/>
    <col min="614" max="614" width="12.5546875" bestFit="1" customWidth="1"/>
    <col min="615" max="615" width="15.44140625" bestFit="1" customWidth="1"/>
    <col min="616" max="616" width="12.33203125" bestFit="1" customWidth="1"/>
    <col min="617" max="617" width="21.6640625" bestFit="1" customWidth="1"/>
    <col min="618" max="618" width="26.5546875" bestFit="1" customWidth="1"/>
    <col min="619" max="619" width="19.44140625" bestFit="1" customWidth="1"/>
    <col min="620" max="620" width="25" bestFit="1" customWidth="1"/>
    <col min="621" max="621" width="17.33203125" bestFit="1" customWidth="1"/>
    <col min="622" max="622" width="12.5546875" bestFit="1" customWidth="1"/>
    <col min="623" max="623" width="20" bestFit="1" customWidth="1"/>
    <col min="624" max="624" width="12.33203125" bestFit="1" customWidth="1"/>
    <col min="625" max="625" width="21.6640625" bestFit="1" customWidth="1"/>
    <col min="626" max="626" width="26.5546875" bestFit="1" customWidth="1"/>
    <col min="627" max="627" width="19.44140625" bestFit="1" customWidth="1"/>
    <col min="628" max="628" width="20.44140625" bestFit="1" customWidth="1"/>
    <col min="629" max="629" width="14.109375" bestFit="1" customWidth="1"/>
    <col min="630" max="630" width="12.5546875" bestFit="1" customWidth="1"/>
    <col min="631" max="631" width="20" bestFit="1" customWidth="1"/>
    <col min="632" max="632" width="15.44140625" bestFit="1" customWidth="1"/>
    <col min="633" max="633" width="21.6640625" bestFit="1" customWidth="1"/>
    <col min="634" max="634" width="26.5546875" bestFit="1" customWidth="1"/>
    <col min="635" max="635" width="19.44140625" bestFit="1" customWidth="1"/>
    <col min="636" max="636" width="17.44140625" bestFit="1" customWidth="1"/>
    <col min="637" max="637" width="23.5546875" bestFit="1" customWidth="1"/>
    <col min="638" max="638" width="12.5546875" bestFit="1" customWidth="1"/>
    <col min="639" max="639" width="20" bestFit="1" customWidth="1"/>
    <col min="640" max="640" width="15.44140625" bestFit="1" customWidth="1"/>
    <col min="641" max="641" width="12.33203125" bestFit="1" customWidth="1"/>
    <col min="642" max="642" width="26.5546875" bestFit="1" customWidth="1"/>
    <col min="643" max="643" width="19.44140625" bestFit="1" customWidth="1"/>
    <col min="644" max="644" width="26.6640625" bestFit="1" customWidth="1"/>
    <col min="645" max="645" width="28.44140625" bestFit="1" customWidth="1"/>
    <col min="646" max="646" width="12.5546875" bestFit="1" customWidth="1"/>
    <col min="647" max="647" width="20" bestFit="1" customWidth="1"/>
    <col min="648" max="648" width="15.44140625" bestFit="1" customWidth="1"/>
    <col min="649" max="649" width="12.33203125" bestFit="1" customWidth="1"/>
    <col min="650" max="650" width="21.6640625" bestFit="1" customWidth="1"/>
    <col min="651" max="651" width="31.5546875" bestFit="1" customWidth="1"/>
    <col min="652" max="652" width="21.33203125" bestFit="1" customWidth="1"/>
    <col min="653" max="653" width="12.5546875" bestFit="1" customWidth="1"/>
    <col min="654" max="654" width="20" bestFit="1" customWidth="1"/>
    <col min="655" max="655" width="15.44140625" bestFit="1" customWidth="1"/>
    <col min="656" max="656" width="12.33203125" bestFit="1" customWidth="1"/>
    <col min="657" max="657" width="21.6640625" bestFit="1" customWidth="1"/>
    <col min="658" max="658" width="26.5546875" bestFit="1" customWidth="1"/>
    <col min="659" max="659" width="24.44140625" bestFit="1" customWidth="1"/>
    <col min="660" max="660" width="9.88671875" bestFit="1" customWidth="1"/>
    <col min="661" max="661" width="21.109375" bestFit="1" customWidth="1"/>
    <col min="662" max="662" width="20" bestFit="1" customWidth="1"/>
    <col min="663" max="663" width="15.44140625" bestFit="1" customWidth="1"/>
    <col min="664" max="664" width="12.33203125" bestFit="1" customWidth="1"/>
    <col min="665" max="665" width="15.88671875" bestFit="1" customWidth="1"/>
    <col min="666" max="666" width="26.5546875" bestFit="1" customWidth="1"/>
    <col min="667" max="667" width="19.44140625" bestFit="1" customWidth="1"/>
    <col min="668" max="668" width="24.33203125" bestFit="1" customWidth="1"/>
    <col min="669" max="669" width="19.33203125" bestFit="1" customWidth="1"/>
    <col min="670" max="670" width="20" bestFit="1" customWidth="1"/>
    <col min="671" max="671" width="15.44140625" bestFit="1" customWidth="1"/>
    <col min="672" max="672" width="12.33203125" bestFit="1" customWidth="1"/>
    <col min="673" max="673" width="15.88671875" bestFit="1" customWidth="1"/>
    <col min="674" max="674" width="26.5546875" bestFit="1" customWidth="1"/>
    <col min="675" max="675" width="19.44140625" bestFit="1" customWidth="1"/>
    <col min="676" max="676" width="18.33203125" bestFit="1" customWidth="1"/>
    <col min="677" max="677" width="21.88671875" bestFit="1" customWidth="1"/>
    <col min="678" max="678" width="13.33203125" bestFit="1" customWidth="1"/>
    <col min="679" max="679" width="15.44140625" bestFit="1" customWidth="1"/>
    <col min="680" max="680" width="12.33203125" bestFit="1" customWidth="1"/>
    <col min="681" max="681" width="15.88671875" bestFit="1" customWidth="1"/>
    <col min="682" max="682" width="26.5546875" bestFit="1" customWidth="1"/>
    <col min="683" max="683" width="19.44140625" bestFit="1" customWidth="1"/>
    <col min="684" max="684" width="25" bestFit="1" customWidth="1"/>
    <col min="685" max="685" width="19.33203125" bestFit="1" customWidth="1"/>
    <col min="686" max="686" width="13.33203125" bestFit="1" customWidth="1"/>
    <col min="687" max="687" width="20" bestFit="1" customWidth="1"/>
    <col min="688" max="688" width="12.33203125" bestFit="1" customWidth="1"/>
    <col min="689" max="689" width="15.88671875" bestFit="1" customWidth="1"/>
    <col min="690" max="690" width="26.5546875" bestFit="1" customWidth="1"/>
    <col min="691" max="691" width="19.44140625" bestFit="1" customWidth="1"/>
    <col min="692" max="692" width="20.44140625" bestFit="1" customWidth="1"/>
    <col min="693" max="693" width="19.33203125" bestFit="1" customWidth="1"/>
    <col min="694" max="694" width="13.33203125" bestFit="1" customWidth="1"/>
    <col min="695" max="695" width="20" bestFit="1" customWidth="1"/>
    <col min="696" max="696" width="15.44140625" bestFit="1" customWidth="1"/>
    <col min="697" max="697" width="15.88671875" bestFit="1" customWidth="1"/>
    <col min="698" max="698" width="26.5546875" bestFit="1" customWidth="1"/>
    <col min="699" max="699" width="19.44140625" bestFit="1" customWidth="1"/>
    <col min="700" max="700" width="17.44140625" bestFit="1" customWidth="1"/>
    <col min="701" max="701" width="19.33203125" bestFit="1" customWidth="1"/>
    <col min="702" max="702" width="13.33203125" bestFit="1" customWidth="1"/>
    <col min="703" max="703" width="20" bestFit="1" customWidth="1"/>
    <col min="704" max="704" width="15.44140625" bestFit="1" customWidth="1"/>
    <col min="705" max="705" width="12.33203125" bestFit="1" customWidth="1"/>
    <col min="706" max="706" width="26.5546875" bestFit="1" customWidth="1"/>
    <col min="707" max="707" width="19.44140625" bestFit="1" customWidth="1"/>
    <col min="708" max="708" width="20.88671875" bestFit="1" customWidth="1"/>
    <col min="709" max="709" width="28.44140625" bestFit="1" customWidth="1"/>
    <col min="710" max="710" width="13.33203125" bestFit="1" customWidth="1"/>
    <col min="711" max="711" width="20" bestFit="1" customWidth="1"/>
    <col min="712" max="712" width="15.44140625" bestFit="1" customWidth="1"/>
    <col min="713" max="713" width="12.33203125" bestFit="1" customWidth="1"/>
    <col min="714" max="714" width="15.88671875" bestFit="1" customWidth="1"/>
    <col min="715" max="715" width="19.44140625" bestFit="1" customWidth="1"/>
    <col min="716" max="716" width="31.5546875" bestFit="1" customWidth="1"/>
    <col min="717" max="717" width="21.33203125" bestFit="1" customWidth="1"/>
    <col min="718" max="718" width="13.33203125" bestFit="1" customWidth="1"/>
    <col min="719" max="719" width="20" bestFit="1" customWidth="1"/>
    <col min="720" max="720" width="15.44140625" bestFit="1" customWidth="1"/>
    <col min="721" max="721" width="12.33203125" bestFit="1" customWidth="1"/>
    <col min="722" max="722" width="15.88671875" bestFit="1" customWidth="1"/>
    <col min="723" max="723" width="26.5546875" bestFit="1" customWidth="1"/>
    <col min="724" max="724" width="24.44140625" bestFit="1" customWidth="1"/>
    <col min="725" max="725" width="9.88671875" bestFit="1" customWidth="1"/>
    <col min="726" max="726" width="21.109375" bestFit="1" customWidth="1"/>
    <col min="727" max="727" width="20" bestFit="1" customWidth="1"/>
    <col min="728" max="728" width="15.44140625" bestFit="1" customWidth="1"/>
    <col min="729" max="729" width="12.33203125" bestFit="1" customWidth="1"/>
    <col min="730" max="730" width="15.88671875" bestFit="1" customWidth="1"/>
    <col min="731" max="731" width="26.5546875" bestFit="1" customWidth="1"/>
    <col min="732" max="732" width="19.44140625" bestFit="1" customWidth="1"/>
    <col min="733" max="733" width="24.33203125" bestFit="1" customWidth="1"/>
    <col min="734" max="734" width="19.33203125" bestFit="1" customWidth="1"/>
    <col min="735" max="735" width="15.44140625" bestFit="1" customWidth="1"/>
    <col min="736" max="736" width="12.33203125" bestFit="1" customWidth="1"/>
    <col min="737" max="737" width="15.88671875" bestFit="1" customWidth="1"/>
    <col min="738" max="738" width="26.5546875" bestFit="1" customWidth="1"/>
    <col min="739" max="739" width="19.44140625" bestFit="1" customWidth="1"/>
    <col min="740" max="740" width="18.33203125" bestFit="1" customWidth="1"/>
    <col min="741" max="741" width="21.88671875" bestFit="1" customWidth="1"/>
    <col min="742" max="742" width="13.33203125" bestFit="1" customWidth="1"/>
    <col min="743" max="743" width="15.44140625" bestFit="1" customWidth="1"/>
    <col min="744" max="744" width="12.33203125" bestFit="1" customWidth="1"/>
    <col min="745" max="745" width="15.88671875" bestFit="1" customWidth="1"/>
    <col min="746" max="746" width="26.5546875" bestFit="1" customWidth="1"/>
    <col min="747" max="747" width="19.44140625" bestFit="1" customWidth="1"/>
    <col min="748" max="748" width="25" bestFit="1" customWidth="1"/>
    <col min="749" max="749" width="19.33203125" bestFit="1" customWidth="1"/>
    <col min="750" max="750" width="13.33203125" bestFit="1" customWidth="1"/>
    <col min="751" max="751" width="20" bestFit="1" customWidth="1"/>
    <col min="752" max="752" width="12.33203125" bestFit="1" customWidth="1"/>
    <col min="753" max="753" width="15.88671875" bestFit="1" customWidth="1"/>
    <col min="754" max="754" width="26.5546875" bestFit="1" customWidth="1"/>
    <col min="755" max="755" width="20.44140625" bestFit="1" customWidth="1"/>
    <col min="756" max="756" width="19.33203125" bestFit="1" customWidth="1"/>
    <col min="757" max="757" width="13.33203125" bestFit="1" customWidth="1"/>
    <col min="758" max="758" width="20" bestFit="1" customWidth="1"/>
    <col min="759" max="759" width="15.44140625" bestFit="1" customWidth="1"/>
    <col min="760" max="760" width="15.88671875" bestFit="1" customWidth="1"/>
    <col min="761" max="761" width="26.5546875" bestFit="1" customWidth="1"/>
    <col min="762" max="762" width="19.44140625" bestFit="1" customWidth="1"/>
    <col min="763" max="763" width="17.44140625" bestFit="1" customWidth="1"/>
    <col min="764" max="764" width="19.33203125" bestFit="1" customWidth="1"/>
    <col min="765" max="765" width="13.33203125" bestFit="1" customWidth="1"/>
    <col min="766" max="766" width="20" bestFit="1" customWidth="1"/>
    <col min="767" max="767" width="15.44140625" bestFit="1" customWidth="1"/>
    <col min="768" max="768" width="12.33203125" bestFit="1" customWidth="1"/>
    <col min="769" max="769" width="26.5546875" bestFit="1" customWidth="1"/>
    <col min="770" max="770" width="19.44140625" bestFit="1" customWidth="1"/>
    <col min="771" max="771" width="20.88671875" bestFit="1" customWidth="1"/>
    <col min="772" max="772" width="28.44140625" bestFit="1" customWidth="1"/>
    <col min="773" max="773" width="13.33203125" bestFit="1" customWidth="1"/>
    <col min="774" max="774" width="20" bestFit="1" customWidth="1"/>
    <col min="775" max="775" width="15.44140625" bestFit="1" customWidth="1"/>
    <col min="776" max="776" width="12.33203125" bestFit="1" customWidth="1"/>
    <col min="777" max="777" width="19.44140625" bestFit="1" customWidth="1"/>
    <col min="778" max="778" width="31.5546875" bestFit="1" customWidth="1"/>
    <col min="779" max="779" width="21.33203125" bestFit="1" customWidth="1"/>
    <col min="780" max="780" width="13.33203125" bestFit="1" customWidth="1"/>
    <col min="781" max="781" width="20" bestFit="1" customWidth="1"/>
    <col min="782" max="782" width="15.44140625" bestFit="1" customWidth="1"/>
    <col min="783" max="783" width="12.33203125" bestFit="1" customWidth="1"/>
    <col min="784" max="784" width="15.88671875" bestFit="1" customWidth="1"/>
    <col min="785" max="785" width="26.5546875" bestFit="1" customWidth="1"/>
    <col min="786" max="786" width="24.44140625" bestFit="1" customWidth="1"/>
    <col min="787" max="787" width="9.88671875" bestFit="1" customWidth="1"/>
    <col min="788" max="788" width="21.109375" bestFit="1" customWidth="1"/>
    <col min="789" max="789" width="15.44140625" bestFit="1" customWidth="1"/>
    <col min="790" max="790" width="15.88671875" bestFit="1" customWidth="1"/>
    <col min="791" max="791" width="19.44140625" bestFit="1" customWidth="1"/>
    <col min="792" max="792" width="24.33203125" bestFit="1" customWidth="1"/>
    <col min="793" max="793" width="19.33203125" bestFit="1" customWidth="1"/>
    <col min="794" max="794" width="20" bestFit="1" customWidth="1"/>
    <col min="795" max="795" width="15.44140625" bestFit="1" customWidth="1"/>
    <col min="796" max="796" width="12.33203125" bestFit="1" customWidth="1"/>
    <col min="797" max="797" width="15.88671875" bestFit="1" customWidth="1"/>
    <col min="798" max="798" width="26.5546875" bestFit="1" customWidth="1"/>
    <col min="799" max="799" width="19.44140625" bestFit="1" customWidth="1"/>
    <col min="800" max="800" width="18.33203125" bestFit="1" customWidth="1"/>
    <col min="801" max="801" width="21.88671875" bestFit="1" customWidth="1"/>
    <col min="802" max="802" width="13.33203125" bestFit="1" customWidth="1"/>
    <col min="803" max="803" width="15.44140625" bestFit="1" customWidth="1"/>
    <col min="804" max="804" width="12.33203125" bestFit="1" customWidth="1"/>
    <col min="805" max="805" width="15.88671875" bestFit="1" customWidth="1"/>
    <col min="806" max="806" width="26.5546875" bestFit="1" customWidth="1"/>
    <col min="807" max="807" width="25" bestFit="1" customWidth="1"/>
    <col min="808" max="808" width="19.33203125" bestFit="1" customWidth="1"/>
    <col min="809" max="809" width="13.33203125" bestFit="1" customWidth="1"/>
    <col min="810" max="810" width="20" bestFit="1" customWidth="1"/>
    <col min="811" max="811" width="12.33203125" bestFit="1" customWidth="1"/>
    <col min="812" max="812" width="15.88671875" bestFit="1" customWidth="1"/>
    <col min="813" max="813" width="19.44140625" bestFit="1" customWidth="1"/>
    <col min="814" max="814" width="20.44140625" bestFit="1" customWidth="1"/>
    <col min="815" max="815" width="19.33203125" bestFit="1" customWidth="1"/>
    <col min="816" max="816" width="15.88671875" bestFit="1" customWidth="1"/>
    <col min="817" max="817" width="26.5546875" bestFit="1" customWidth="1"/>
    <col min="818" max="818" width="19.44140625" bestFit="1" customWidth="1"/>
    <col min="819" max="819" width="17.44140625" bestFit="1" customWidth="1"/>
    <col min="820" max="820" width="19.33203125" bestFit="1" customWidth="1"/>
    <col min="821" max="821" width="26.5546875" bestFit="1" customWidth="1"/>
    <col min="822" max="822" width="19.44140625" bestFit="1" customWidth="1"/>
    <col min="823" max="823" width="20.88671875" bestFit="1" customWidth="1"/>
    <col min="824" max="824" width="28.44140625" bestFit="1" customWidth="1"/>
    <col min="825" max="825" width="13.33203125" bestFit="1" customWidth="1"/>
    <col min="826" max="826" width="20" bestFit="1" customWidth="1"/>
    <col min="827" max="827" width="15.44140625" bestFit="1" customWidth="1"/>
    <col min="828" max="828" width="12.33203125" bestFit="1" customWidth="1"/>
    <col min="829" max="829" width="19.44140625" bestFit="1" customWidth="1"/>
    <col min="830" max="830" width="31.5546875" bestFit="1" customWidth="1"/>
    <col min="831" max="831" width="21.33203125" bestFit="1" customWidth="1"/>
    <col min="832" max="832" width="13.33203125" bestFit="1" customWidth="1"/>
    <col min="833" max="833" width="20" bestFit="1" customWidth="1"/>
    <col min="834" max="834" width="12.33203125" bestFit="1" customWidth="1"/>
    <col min="835" max="835" width="15.88671875" bestFit="1" customWidth="1"/>
    <col min="836" max="836" width="24.44140625" bestFit="1" customWidth="1"/>
    <col min="837" max="837" width="9.88671875" bestFit="1" customWidth="1"/>
    <col min="838" max="838" width="11.33203125" bestFit="1" customWidth="1"/>
  </cols>
  <sheetData>
    <row r="3" spans="1:2" x14ac:dyDescent="0.3">
      <c r="A3" s="2" t="s">
        <v>1603</v>
      </c>
      <c r="B3" t="s">
        <v>1605</v>
      </c>
    </row>
    <row r="4" spans="1:2" x14ac:dyDescent="0.3">
      <c r="A4" s="3" t="s">
        <v>152</v>
      </c>
      <c r="B4">
        <v>22</v>
      </c>
    </row>
    <row r="5" spans="1:2" x14ac:dyDescent="0.3">
      <c r="A5" s="3" t="s">
        <v>157</v>
      </c>
      <c r="B5">
        <v>22</v>
      </c>
    </row>
    <row r="6" spans="1:2" x14ac:dyDescent="0.3">
      <c r="A6" s="3" t="s">
        <v>190</v>
      </c>
      <c r="B6">
        <v>18</v>
      </c>
    </row>
    <row r="7" spans="1:2" x14ac:dyDescent="0.3">
      <c r="A7" s="3" t="s">
        <v>251</v>
      </c>
      <c r="B7">
        <v>17</v>
      </c>
    </row>
    <row r="8" spans="1:2" x14ac:dyDescent="0.3">
      <c r="A8" s="3" t="s">
        <v>87</v>
      </c>
      <c r="B8">
        <v>17</v>
      </c>
    </row>
    <row r="9" spans="1:2" x14ac:dyDescent="0.3">
      <c r="A9" s="3" t="s">
        <v>61</v>
      </c>
      <c r="B9">
        <v>16</v>
      </c>
    </row>
    <row r="10" spans="1:2" x14ac:dyDescent="0.3">
      <c r="A10" s="3" t="s">
        <v>75</v>
      </c>
      <c r="B10">
        <v>15</v>
      </c>
    </row>
    <row r="11" spans="1:2" x14ac:dyDescent="0.3">
      <c r="A11" s="3" t="s">
        <v>133</v>
      </c>
      <c r="B11">
        <v>14</v>
      </c>
    </row>
    <row r="12" spans="1:2" x14ac:dyDescent="0.3">
      <c r="A12" s="3" t="s">
        <v>189</v>
      </c>
      <c r="B12">
        <v>13</v>
      </c>
    </row>
    <row r="13" spans="1:2" x14ac:dyDescent="0.3">
      <c r="A13" s="3" t="s">
        <v>314</v>
      </c>
      <c r="B13">
        <v>12</v>
      </c>
    </row>
    <row r="14" spans="1:2" x14ac:dyDescent="0.3">
      <c r="A14" s="3" t="s">
        <v>350</v>
      </c>
      <c r="B14">
        <v>12</v>
      </c>
    </row>
    <row r="15" spans="1:2" x14ac:dyDescent="0.3">
      <c r="A15" s="3" t="s">
        <v>31</v>
      </c>
      <c r="B15">
        <v>12</v>
      </c>
    </row>
    <row r="16" spans="1:2" x14ac:dyDescent="0.3">
      <c r="A16" s="3" t="s">
        <v>1602</v>
      </c>
      <c r="B16">
        <v>190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3:B6"/>
  <sheetViews>
    <sheetView workbookViewId="0">
      <selection activeCell="D32" sqref="D32"/>
    </sheetView>
  </sheetViews>
  <sheetFormatPr defaultRowHeight="14.4" x14ac:dyDescent="0.3"/>
  <cols>
    <col min="1" max="1" width="12.5546875" bestFit="1" customWidth="1"/>
    <col min="2" max="2" width="15" bestFit="1" customWidth="1"/>
  </cols>
  <sheetData>
    <row r="3" spans="1:2" x14ac:dyDescent="0.3">
      <c r="A3" s="2" t="s">
        <v>1603</v>
      </c>
      <c r="B3" t="s">
        <v>1604</v>
      </c>
    </row>
    <row r="4" spans="1:2" x14ac:dyDescent="0.3">
      <c r="A4" s="3" t="s">
        <v>35</v>
      </c>
      <c r="B4">
        <v>314</v>
      </c>
    </row>
    <row r="5" spans="1:2" x14ac:dyDescent="0.3">
      <c r="A5" s="3" t="s">
        <v>23</v>
      </c>
      <c r="B5">
        <v>485</v>
      </c>
    </row>
    <row r="6" spans="1:2" x14ac:dyDescent="0.3">
      <c r="A6" s="3" t="s">
        <v>1602</v>
      </c>
      <c r="B6">
        <v>799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3:B16"/>
  <sheetViews>
    <sheetView workbookViewId="0">
      <selection activeCell="D28" sqref="D28"/>
    </sheetView>
  </sheetViews>
  <sheetFormatPr defaultRowHeight="14.4" x14ac:dyDescent="0.3"/>
  <cols>
    <col min="1" max="1" width="12.5546875" bestFit="1" customWidth="1"/>
    <col min="2" max="2" width="15" bestFit="1" customWidth="1"/>
  </cols>
  <sheetData>
    <row r="3" spans="1:2" x14ac:dyDescent="0.3">
      <c r="A3" s="2" t="s">
        <v>1603</v>
      </c>
      <c r="B3" t="s">
        <v>1604</v>
      </c>
    </row>
    <row r="4" spans="1:2" x14ac:dyDescent="0.3">
      <c r="A4" s="3" t="s">
        <v>157</v>
      </c>
      <c r="B4">
        <v>22</v>
      </c>
    </row>
    <row r="5" spans="1:2" x14ac:dyDescent="0.3">
      <c r="A5" s="3" t="s">
        <v>350</v>
      </c>
      <c r="B5">
        <v>12</v>
      </c>
    </row>
    <row r="6" spans="1:2" x14ac:dyDescent="0.3">
      <c r="A6" s="3" t="s">
        <v>152</v>
      </c>
      <c r="B6">
        <v>22</v>
      </c>
    </row>
    <row r="7" spans="1:2" x14ac:dyDescent="0.3">
      <c r="A7" s="3" t="s">
        <v>251</v>
      </c>
      <c r="B7">
        <v>17</v>
      </c>
    </row>
    <row r="8" spans="1:2" x14ac:dyDescent="0.3">
      <c r="A8" s="3" t="s">
        <v>189</v>
      </c>
      <c r="B8">
        <v>13</v>
      </c>
    </row>
    <row r="9" spans="1:2" x14ac:dyDescent="0.3">
      <c r="A9" s="3" t="s">
        <v>31</v>
      </c>
      <c r="B9">
        <v>12</v>
      </c>
    </row>
    <row r="10" spans="1:2" x14ac:dyDescent="0.3">
      <c r="A10" s="3" t="s">
        <v>87</v>
      </c>
      <c r="B10">
        <v>17</v>
      </c>
    </row>
    <row r="11" spans="1:2" x14ac:dyDescent="0.3">
      <c r="A11" s="3" t="s">
        <v>190</v>
      </c>
      <c r="B11">
        <v>18</v>
      </c>
    </row>
    <row r="12" spans="1:2" x14ac:dyDescent="0.3">
      <c r="A12" s="3" t="s">
        <v>133</v>
      </c>
      <c r="B12">
        <v>14</v>
      </c>
    </row>
    <row r="13" spans="1:2" x14ac:dyDescent="0.3">
      <c r="A13" s="3" t="s">
        <v>61</v>
      </c>
      <c r="B13">
        <v>16</v>
      </c>
    </row>
    <row r="14" spans="1:2" x14ac:dyDescent="0.3">
      <c r="A14" s="3" t="s">
        <v>314</v>
      </c>
      <c r="B14">
        <v>12</v>
      </c>
    </row>
    <row r="15" spans="1:2" x14ac:dyDescent="0.3">
      <c r="A15" s="3" t="s">
        <v>75</v>
      </c>
      <c r="B15">
        <v>15</v>
      </c>
    </row>
    <row r="16" spans="1:2" x14ac:dyDescent="0.3">
      <c r="A16" s="3" t="s">
        <v>1602</v>
      </c>
      <c r="B16">
        <v>190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O25"/>
  <sheetViews>
    <sheetView workbookViewId="0">
      <selection activeCell="O8" sqref="O8"/>
    </sheetView>
  </sheetViews>
  <sheetFormatPr defaultRowHeight="14.4" x14ac:dyDescent="0.3"/>
  <cols>
    <col min="1" max="1" width="13.109375" customWidth="1"/>
    <col min="2" max="2" width="15.44140625" customWidth="1"/>
    <col min="3" max="3" width="10.88671875" customWidth="1"/>
    <col min="13" max="14" width="10.88671875" customWidth="1"/>
  </cols>
  <sheetData>
    <row r="3" spans="1:15" x14ac:dyDescent="0.3">
      <c r="A3" s="2" t="s">
        <v>1603</v>
      </c>
      <c r="B3" t="s">
        <v>1606</v>
      </c>
    </row>
    <row r="4" spans="1:15" x14ac:dyDescent="0.3">
      <c r="A4" s="3" t="s">
        <v>798</v>
      </c>
      <c r="B4">
        <v>386</v>
      </c>
    </row>
    <row r="5" spans="1:15" x14ac:dyDescent="0.3">
      <c r="A5" s="3" t="s">
        <v>801</v>
      </c>
      <c r="B5">
        <v>413</v>
      </c>
    </row>
    <row r="6" spans="1:15" x14ac:dyDescent="0.3">
      <c r="A6" s="3" t="s">
        <v>1602</v>
      </c>
      <c r="B6">
        <v>799</v>
      </c>
    </row>
    <row r="8" spans="1:15" x14ac:dyDescent="0.3">
      <c r="M8" s="5"/>
      <c r="N8" s="6"/>
      <c r="O8" s="7"/>
    </row>
    <row r="9" spans="1:15" x14ac:dyDescent="0.3">
      <c r="M9" s="8"/>
      <c r="N9" s="9"/>
      <c r="O9" s="10"/>
    </row>
    <row r="10" spans="1:15" x14ac:dyDescent="0.3">
      <c r="M10" s="8"/>
      <c r="N10" s="9"/>
      <c r="O10" s="10"/>
    </row>
    <row r="11" spans="1:15" x14ac:dyDescent="0.3">
      <c r="M11" s="8"/>
      <c r="N11" s="9"/>
      <c r="O11" s="10"/>
    </row>
    <row r="12" spans="1:15" x14ac:dyDescent="0.3">
      <c r="M12" s="8"/>
      <c r="N12" s="9"/>
      <c r="O12" s="10"/>
    </row>
    <row r="13" spans="1:15" x14ac:dyDescent="0.3">
      <c r="M13" s="8"/>
      <c r="N13" s="9"/>
      <c r="O13" s="10"/>
    </row>
    <row r="14" spans="1:15" x14ac:dyDescent="0.3">
      <c r="M14" s="8"/>
      <c r="N14" s="9"/>
      <c r="O14" s="10"/>
    </row>
    <row r="15" spans="1:15" x14ac:dyDescent="0.3">
      <c r="M15" s="8"/>
      <c r="N15" s="9"/>
      <c r="O15" s="10"/>
    </row>
    <row r="16" spans="1:15" x14ac:dyDescent="0.3">
      <c r="M16" s="8"/>
      <c r="N16" s="9"/>
      <c r="O16" s="10"/>
    </row>
    <row r="17" spans="13:15" x14ac:dyDescent="0.3">
      <c r="M17" s="8"/>
      <c r="N17" s="9"/>
      <c r="O17" s="10"/>
    </row>
    <row r="18" spans="13:15" x14ac:dyDescent="0.3">
      <c r="M18" s="8"/>
      <c r="N18" s="9"/>
      <c r="O18" s="10"/>
    </row>
    <row r="19" spans="13:15" x14ac:dyDescent="0.3">
      <c r="M19" s="8"/>
      <c r="N19" s="9"/>
      <c r="O19" s="10"/>
    </row>
    <row r="20" spans="13:15" x14ac:dyDescent="0.3">
      <c r="M20" s="8"/>
      <c r="N20" s="9"/>
      <c r="O20" s="10"/>
    </row>
    <row r="21" spans="13:15" x14ac:dyDescent="0.3">
      <c r="M21" s="8"/>
      <c r="N21" s="9"/>
      <c r="O21" s="10"/>
    </row>
    <row r="22" spans="13:15" x14ac:dyDescent="0.3">
      <c r="M22" s="8"/>
      <c r="N22" s="9"/>
      <c r="O22" s="10"/>
    </row>
    <row r="23" spans="13:15" x14ac:dyDescent="0.3">
      <c r="M23" s="8"/>
      <c r="N23" s="9"/>
      <c r="O23" s="10"/>
    </row>
    <row r="24" spans="13:15" x14ac:dyDescent="0.3">
      <c r="M24" s="8"/>
      <c r="N24" s="9"/>
      <c r="O24" s="10"/>
    </row>
    <row r="25" spans="13:15" x14ac:dyDescent="0.3">
      <c r="M25" s="11"/>
      <c r="N25" s="12"/>
      <c r="O25" s="1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90C385-ACE8-464B-B2B9-93E19B6DBB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 </vt:lpstr>
      <vt:lpstr>IPL Matches 2008-2020 - New</vt:lpstr>
      <vt:lpstr>Cleaned Data </vt:lpstr>
      <vt:lpstr>Matches per Season</vt:lpstr>
      <vt:lpstr>Most Frequent Umpires</vt:lpstr>
      <vt:lpstr>Team Wise Perfomance </vt:lpstr>
      <vt:lpstr>Mode of Wins</vt:lpstr>
      <vt:lpstr>Players of the Match</vt:lpstr>
      <vt:lpstr>Toss Decision Priority</vt:lpstr>
      <vt:lpstr>Top players</vt:lpstr>
      <vt:lpstr>Toss Impact on Victory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Bhavika</dc:creator>
  <cp:keywords/>
  <dc:description/>
  <cp:lastModifiedBy>ADITYA PASARKAR SOB MBA</cp:lastModifiedBy>
  <cp:revision/>
  <dcterms:created xsi:type="dcterms:W3CDTF">2026-04-26T21:23:15Z</dcterms:created>
  <dcterms:modified xsi:type="dcterms:W3CDTF">2026-06-11T15:01:10Z</dcterms:modified>
  <cp:category/>
  <cp:contentStatus/>
</cp:coreProperties>
</file>